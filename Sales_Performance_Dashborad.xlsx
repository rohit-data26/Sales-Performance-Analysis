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b84128eae6e0b365/Documents/"/>
    </mc:Choice>
  </mc:AlternateContent>
  <xr:revisionPtr revIDLastSave="3" documentId="8_{5A12B110-9546-4AA7-967D-BCF7EB037934}" xr6:coauthVersionLast="47" xr6:coauthVersionMax="47" xr10:uidLastSave="{C9AB4B89-8F8F-45A2-8E56-279E972D29CD}"/>
  <bookViews>
    <workbookView xWindow="-108" yWindow="-108" windowWidth="23256" windowHeight="12456" activeTab="2" xr2:uid="{00000000-000D-0000-FFFF-FFFF00000000}"/>
  </bookViews>
  <sheets>
    <sheet name="Pivot Table" sheetId="6" r:id="rId1"/>
    <sheet name="Dashboard" sheetId="8" r:id="rId2"/>
    <sheet name="Sales Performance Data" sheetId="1" r:id="rId3"/>
    <sheet name="Cleaned Data" sheetId="3" r:id="rId4"/>
    <sheet name="README" sheetId="2" r:id="rId5"/>
  </sheets>
  <definedNames>
    <definedName name="_xlnm._FilterDatabase" localSheetId="2" hidden="1">'Sales Performance Data'!$A$1:$O$1501</definedName>
    <definedName name="ExternalData_1" localSheetId="3" hidden="1">'Cleaned Data'!$A$1:$Q$1501</definedName>
    <definedName name="Slicer_Channel">#N/A</definedName>
    <definedName name="Slicer_Customer_Segment">#N/A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3" l="1"/>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R2" i="3"/>
  <c r="T2" i="3" s="1"/>
  <c r="U2" i="3" s="1"/>
  <c r="R3" i="3"/>
  <c r="T3" i="3" s="1"/>
  <c r="U3" i="3" s="1"/>
  <c r="R4" i="3"/>
  <c r="T4" i="3" s="1"/>
  <c r="U4" i="3" s="1"/>
  <c r="R5" i="3"/>
  <c r="T5" i="3" s="1"/>
  <c r="U5" i="3" s="1"/>
  <c r="R6" i="3"/>
  <c r="T6" i="3" s="1"/>
  <c r="U6" i="3" s="1"/>
  <c r="R7" i="3"/>
  <c r="T7" i="3" s="1"/>
  <c r="U7" i="3" s="1"/>
  <c r="R8" i="3"/>
  <c r="T8" i="3" s="1"/>
  <c r="U8" i="3" s="1"/>
  <c r="R9" i="3"/>
  <c r="T9" i="3" s="1"/>
  <c r="U9" i="3" s="1"/>
  <c r="R10" i="3"/>
  <c r="T10" i="3" s="1"/>
  <c r="U10" i="3" s="1"/>
  <c r="R11" i="3"/>
  <c r="T11" i="3" s="1"/>
  <c r="U11" i="3" s="1"/>
  <c r="R12" i="3"/>
  <c r="T12" i="3" s="1"/>
  <c r="U12" i="3" s="1"/>
  <c r="R13" i="3"/>
  <c r="T13" i="3" s="1"/>
  <c r="U13" i="3" s="1"/>
  <c r="R14" i="3"/>
  <c r="T14" i="3" s="1"/>
  <c r="U14" i="3" s="1"/>
  <c r="R15" i="3"/>
  <c r="T15" i="3" s="1"/>
  <c r="U15" i="3" s="1"/>
  <c r="R16" i="3"/>
  <c r="T16" i="3" s="1"/>
  <c r="U16" i="3" s="1"/>
  <c r="R17" i="3"/>
  <c r="T17" i="3" s="1"/>
  <c r="U17" i="3" s="1"/>
  <c r="R18" i="3"/>
  <c r="T18" i="3" s="1"/>
  <c r="U18" i="3" s="1"/>
  <c r="R19" i="3"/>
  <c r="T19" i="3" s="1"/>
  <c r="U19" i="3" s="1"/>
  <c r="R20" i="3"/>
  <c r="T20" i="3" s="1"/>
  <c r="U20" i="3" s="1"/>
  <c r="R21" i="3"/>
  <c r="T21" i="3" s="1"/>
  <c r="U21" i="3" s="1"/>
  <c r="R22" i="3"/>
  <c r="T22" i="3" s="1"/>
  <c r="U22" i="3" s="1"/>
  <c r="R23" i="3"/>
  <c r="T23" i="3" s="1"/>
  <c r="U23" i="3" s="1"/>
  <c r="R24" i="3"/>
  <c r="T24" i="3" s="1"/>
  <c r="U24" i="3" s="1"/>
  <c r="R25" i="3"/>
  <c r="T25" i="3" s="1"/>
  <c r="U25" i="3" s="1"/>
  <c r="R26" i="3"/>
  <c r="T26" i="3" s="1"/>
  <c r="U26" i="3" s="1"/>
  <c r="R27" i="3"/>
  <c r="T27" i="3" s="1"/>
  <c r="U27" i="3" s="1"/>
  <c r="R28" i="3"/>
  <c r="T28" i="3" s="1"/>
  <c r="U28" i="3" s="1"/>
  <c r="R29" i="3"/>
  <c r="T29" i="3" s="1"/>
  <c r="U29" i="3" s="1"/>
  <c r="R30" i="3"/>
  <c r="T30" i="3" s="1"/>
  <c r="U30" i="3" s="1"/>
  <c r="R31" i="3"/>
  <c r="T31" i="3" s="1"/>
  <c r="U31" i="3" s="1"/>
  <c r="R32" i="3"/>
  <c r="T32" i="3" s="1"/>
  <c r="U32" i="3" s="1"/>
  <c r="R33" i="3"/>
  <c r="T33" i="3" s="1"/>
  <c r="U33" i="3" s="1"/>
  <c r="R34" i="3"/>
  <c r="T34" i="3" s="1"/>
  <c r="U34" i="3" s="1"/>
  <c r="R35" i="3"/>
  <c r="T35" i="3" s="1"/>
  <c r="U35" i="3" s="1"/>
  <c r="R36" i="3"/>
  <c r="T36" i="3" s="1"/>
  <c r="U36" i="3" s="1"/>
  <c r="R37" i="3"/>
  <c r="T37" i="3" s="1"/>
  <c r="U37" i="3" s="1"/>
  <c r="R38" i="3"/>
  <c r="T38" i="3" s="1"/>
  <c r="U38" i="3" s="1"/>
  <c r="R39" i="3"/>
  <c r="T39" i="3" s="1"/>
  <c r="U39" i="3" s="1"/>
  <c r="R40" i="3"/>
  <c r="T40" i="3" s="1"/>
  <c r="U40" i="3" s="1"/>
  <c r="R41" i="3"/>
  <c r="T41" i="3" s="1"/>
  <c r="U41" i="3" s="1"/>
  <c r="R42" i="3"/>
  <c r="T42" i="3" s="1"/>
  <c r="U42" i="3" s="1"/>
  <c r="R43" i="3"/>
  <c r="T43" i="3" s="1"/>
  <c r="U43" i="3" s="1"/>
  <c r="R44" i="3"/>
  <c r="T44" i="3" s="1"/>
  <c r="U44" i="3" s="1"/>
  <c r="R45" i="3"/>
  <c r="T45" i="3" s="1"/>
  <c r="U45" i="3" s="1"/>
  <c r="R46" i="3"/>
  <c r="T46" i="3" s="1"/>
  <c r="U46" i="3" s="1"/>
  <c r="R47" i="3"/>
  <c r="T47" i="3" s="1"/>
  <c r="U47" i="3" s="1"/>
  <c r="R48" i="3"/>
  <c r="T48" i="3" s="1"/>
  <c r="U48" i="3" s="1"/>
  <c r="R49" i="3"/>
  <c r="T49" i="3" s="1"/>
  <c r="U49" i="3" s="1"/>
  <c r="R50" i="3"/>
  <c r="T50" i="3" s="1"/>
  <c r="U50" i="3" s="1"/>
  <c r="R51" i="3"/>
  <c r="T51" i="3" s="1"/>
  <c r="U51" i="3" s="1"/>
  <c r="R52" i="3"/>
  <c r="T52" i="3" s="1"/>
  <c r="U52" i="3" s="1"/>
  <c r="R53" i="3"/>
  <c r="T53" i="3" s="1"/>
  <c r="U53" i="3" s="1"/>
  <c r="R54" i="3"/>
  <c r="T54" i="3" s="1"/>
  <c r="U54" i="3" s="1"/>
  <c r="R55" i="3"/>
  <c r="T55" i="3" s="1"/>
  <c r="U55" i="3" s="1"/>
  <c r="R56" i="3"/>
  <c r="T56" i="3" s="1"/>
  <c r="U56" i="3" s="1"/>
  <c r="R57" i="3"/>
  <c r="T57" i="3" s="1"/>
  <c r="U57" i="3" s="1"/>
  <c r="R58" i="3"/>
  <c r="T58" i="3" s="1"/>
  <c r="U58" i="3" s="1"/>
  <c r="R59" i="3"/>
  <c r="T59" i="3" s="1"/>
  <c r="U59" i="3" s="1"/>
  <c r="R60" i="3"/>
  <c r="T60" i="3" s="1"/>
  <c r="U60" i="3" s="1"/>
  <c r="R61" i="3"/>
  <c r="T61" i="3" s="1"/>
  <c r="U61" i="3" s="1"/>
  <c r="R62" i="3"/>
  <c r="T62" i="3" s="1"/>
  <c r="U62" i="3" s="1"/>
  <c r="R63" i="3"/>
  <c r="T63" i="3" s="1"/>
  <c r="U63" i="3" s="1"/>
  <c r="R64" i="3"/>
  <c r="T64" i="3" s="1"/>
  <c r="U64" i="3" s="1"/>
  <c r="R65" i="3"/>
  <c r="T65" i="3" s="1"/>
  <c r="U65" i="3" s="1"/>
  <c r="R66" i="3"/>
  <c r="T66" i="3" s="1"/>
  <c r="U66" i="3" s="1"/>
  <c r="R67" i="3"/>
  <c r="T67" i="3" s="1"/>
  <c r="U67" i="3" s="1"/>
  <c r="R68" i="3"/>
  <c r="T68" i="3" s="1"/>
  <c r="U68" i="3" s="1"/>
  <c r="R69" i="3"/>
  <c r="T69" i="3" s="1"/>
  <c r="U69" i="3" s="1"/>
  <c r="R70" i="3"/>
  <c r="T70" i="3" s="1"/>
  <c r="U70" i="3" s="1"/>
  <c r="R71" i="3"/>
  <c r="T71" i="3" s="1"/>
  <c r="U71" i="3" s="1"/>
  <c r="R72" i="3"/>
  <c r="T72" i="3" s="1"/>
  <c r="U72" i="3" s="1"/>
  <c r="R73" i="3"/>
  <c r="T73" i="3" s="1"/>
  <c r="U73" i="3" s="1"/>
  <c r="R74" i="3"/>
  <c r="T74" i="3" s="1"/>
  <c r="U74" i="3" s="1"/>
  <c r="R75" i="3"/>
  <c r="T75" i="3" s="1"/>
  <c r="U75" i="3" s="1"/>
  <c r="R76" i="3"/>
  <c r="T76" i="3" s="1"/>
  <c r="U76" i="3" s="1"/>
  <c r="R77" i="3"/>
  <c r="T77" i="3" s="1"/>
  <c r="U77" i="3" s="1"/>
  <c r="R78" i="3"/>
  <c r="T78" i="3" s="1"/>
  <c r="U78" i="3" s="1"/>
  <c r="R79" i="3"/>
  <c r="T79" i="3" s="1"/>
  <c r="U79" i="3" s="1"/>
  <c r="R80" i="3"/>
  <c r="T80" i="3" s="1"/>
  <c r="U80" i="3" s="1"/>
  <c r="R81" i="3"/>
  <c r="T81" i="3" s="1"/>
  <c r="U81" i="3" s="1"/>
  <c r="R82" i="3"/>
  <c r="T82" i="3" s="1"/>
  <c r="U82" i="3" s="1"/>
  <c r="R83" i="3"/>
  <c r="T83" i="3" s="1"/>
  <c r="U83" i="3" s="1"/>
  <c r="R84" i="3"/>
  <c r="T84" i="3" s="1"/>
  <c r="U84" i="3" s="1"/>
  <c r="R85" i="3"/>
  <c r="T85" i="3" s="1"/>
  <c r="U85" i="3" s="1"/>
  <c r="R86" i="3"/>
  <c r="T86" i="3" s="1"/>
  <c r="U86" i="3" s="1"/>
  <c r="R87" i="3"/>
  <c r="T87" i="3" s="1"/>
  <c r="U87" i="3" s="1"/>
  <c r="R88" i="3"/>
  <c r="T88" i="3" s="1"/>
  <c r="U88" i="3" s="1"/>
  <c r="R89" i="3"/>
  <c r="T89" i="3" s="1"/>
  <c r="U89" i="3" s="1"/>
  <c r="R90" i="3"/>
  <c r="T90" i="3" s="1"/>
  <c r="U90" i="3" s="1"/>
  <c r="R91" i="3"/>
  <c r="T91" i="3" s="1"/>
  <c r="U91" i="3" s="1"/>
  <c r="R92" i="3"/>
  <c r="T92" i="3" s="1"/>
  <c r="U92" i="3" s="1"/>
  <c r="R93" i="3"/>
  <c r="T93" i="3" s="1"/>
  <c r="U93" i="3" s="1"/>
  <c r="R94" i="3"/>
  <c r="T94" i="3" s="1"/>
  <c r="U94" i="3" s="1"/>
  <c r="R95" i="3"/>
  <c r="T95" i="3" s="1"/>
  <c r="U95" i="3" s="1"/>
  <c r="R96" i="3"/>
  <c r="T96" i="3" s="1"/>
  <c r="U96" i="3" s="1"/>
  <c r="R97" i="3"/>
  <c r="T97" i="3" s="1"/>
  <c r="U97" i="3" s="1"/>
  <c r="R98" i="3"/>
  <c r="T98" i="3" s="1"/>
  <c r="U98" i="3" s="1"/>
  <c r="R99" i="3"/>
  <c r="T99" i="3" s="1"/>
  <c r="U99" i="3" s="1"/>
  <c r="R100" i="3"/>
  <c r="T100" i="3" s="1"/>
  <c r="U100" i="3" s="1"/>
  <c r="R101" i="3"/>
  <c r="T101" i="3" s="1"/>
  <c r="U101" i="3" s="1"/>
  <c r="R102" i="3"/>
  <c r="T102" i="3" s="1"/>
  <c r="U102" i="3" s="1"/>
  <c r="R103" i="3"/>
  <c r="T103" i="3" s="1"/>
  <c r="U103" i="3" s="1"/>
  <c r="R104" i="3"/>
  <c r="T104" i="3" s="1"/>
  <c r="U104" i="3" s="1"/>
  <c r="R105" i="3"/>
  <c r="T105" i="3" s="1"/>
  <c r="U105" i="3" s="1"/>
  <c r="R106" i="3"/>
  <c r="T106" i="3" s="1"/>
  <c r="U106" i="3" s="1"/>
  <c r="R107" i="3"/>
  <c r="T107" i="3" s="1"/>
  <c r="U107" i="3" s="1"/>
  <c r="R108" i="3"/>
  <c r="T108" i="3" s="1"/>
  <c r="U108" i="3" s="1"/>
  <c r="R109" i="3"/>
  <c r="T109" i="3" s="1"/>
  <c r="U109" i="3" s="1"/>
  <c r="R110" i="3"/>
  <c r="T110" i="3" s="1"/>
  <c r="U110" i="3" s="1"/>
  <c r="R111" i="3"/>
  <c r="T111" i="3" s="1"/>
  <c r="U111" i="3" s="1"/>
  <c r="R112" i="3"/>
  <c r="T112" i="3" s="1"/>
  <c r="U112" i="3" s="1"/>
  <c r="R113" i="3"/>
  <c r="T113" i="3" s="1"/>
  <c r="U113" i="3" s="1"/>
  <c r="R114" i="3"/>
  <c r="T114" i="3" s="1"/>
  <c r="U114" i="3" s="1"/>
  <c r="R115" i="3"/>
  <c r="T115" i="3" s="1"/>
  <c r="U115" i="3" s="1"/>
  <c r="R116" i="3"/>
  <c r="T116" i="3" s="1"/>
  <c r="U116" i="3" s="1"/>
  <c r="R117" i="3"/>
  <c r="T117" i="3" s="1"/>
  <c r="U117" i="3" s="1"/>
  <c r="R118" i="3"/>
  <c r="T118" i="3" s="1"/>
  <c r="U118" i="3" s="1"/>
  <c r="R119" i="3"/>
  <c r="T119" i="3" s="1"/>
  <c r="U119" i="3" s="1"/>
  <c r="R120" i="3"/>
  <c r="T120" i="3" s="1"/>
  <c r="U120" i="3" s="1"/>
  <c r="R121" i="3"/>
  <c r="T121" i="3" s="1"/>
  <c r="U121" i="3" s="1"/>
  <c r="R122" i="3"/>
  <c r="T122" i="3" s="1"/>
  <c r="U122" i="3" s="1"/>
  <c r="R123" i="3"/>
  <c r="T123" i="3" s="1"/>
  <c r="U123" i="3" s="1"/>
  <c r="R124" i="3"/>
  <c r="T124" i="3" s="1"/>
  <c r="U124" i="3" s="1"/>
  <c r="R125" i="3"/>
  <c r="T125" i="3" s="1"/>
  <c r="U125" i="3" s="1"/>
  <c r="R126" i="3"/>
  <c r="T126" i="3" s="1"/>
  <c r="U126" i="3" s="1"/>
  <c r="R127" i="3"/>
  <c r="T127" i="3" s="1"/>
  <c r="U127" i="3" s="1"/>
  <c r="R128" i="3"/>
  <c r="T128" i="3" s="1"/>
  <c r="U128" i="3" s="1"/>
  <c r="R129" i="3"/>
  <c r="T129" i="3" s="1"/>
  <c r="U129" i="3" s="1"/>
  <c r="R130" i="3"/>
  <c r="T130" i="3" s="1"/>
  <c r="U130" i="3" s="1"/>
  <c r="R131" i="3"/>
  <c r="T131" i="3" s="1"/>
  <c r="U131" i="3" s="1"/>
  <c r="R132" i="3"/>
  <c r="T132" i="3" s="1"/>
  <c r="U132" i="3" s="1"/>
  <c r="R133" i="3"/>
  <c r="T133" i="3" s="1"/>
  <c r="U133" i="3" s="1"/>
  <c r="R134" i="3"/>
  <c r="T134" i="3" s="1"/>
  <c r="U134" i="3" s="1"/>
  <c r="R135" i="3"/>
  <c r="T135" i="3" s="1"/>
  <c r="U135" i="3" s="1"/>
  <c r="R136" i="3"/>
  <c r="T136" i="3" s="1"/>
  <c r="U136" i="3" s="1"/>
  <c r="R137" i="3"/>
  <c r="T137" i="3" s="1"/>
  <c r="U137" i="3" s="1"/>
  <c r="R138" i="3"/>
  <c r="T138" i="3" s="1"/>
  <c r="U138" i="3" s="1"/>
  <c r="R139" i="3"/>
  <c r="T139" i="3" s="1"/>
  <c r="U139" i="3" s="1"/>
  <c r="R140" i="3"/>
  <c r="T140" i="3" s="1"/>
  <c r="U140" i="3" s="1"/>
  <c r="R141" i="3"/>
  <c r="T141" i="3" s="1"/>
  <c r="U141" i="3" s="1"/>
  <c r="R142" i="3"/>
  <c r="T142" i="3" s="1"/>
  <c r="U142" i="3" s="1"/>
  <c r="R143" i="3"/>
  <c r="T143" i="3" s="1"/>
  <c r="U143" i="3" s="1"/>
  <c r="R144" i="3"/>
  <c r="T144" i="3" s="1"/>
  <c r="U144" i="3" s="1"/>
  <c r="R145" i="3"/>
  <c r="T145" i="3" s="1"/>
  <c r="U145" i="3" s="1"/>
  <c r="R146" i="3"/>
  <c r="T146" i="3" s="1"/>
  <c r="U146" i="3" s="1"/>
  <c r="R147" i="3"/>
  <c r="T147" i="3" s="1"/>
  <c r="U147" i="3" s="1"/>
  <c r="R148" i="3"/>
  <c r="T148" i="3" s="1"/>
  <c r="U148" i="3" s="1"/>
  <c r="R149" i="3"/>
  <c r="T149" i="3" s="1"/>
  <c r="U149" i="3" s="1"/>
  <c r="R150" i="3"/>
  <c r="T150" i="3" s="1"/>
  <c r="U150" i="3" s="1"/>
  <c r="R151" i="3"/>
  <c r="T151" i="3" s="1"/>
  <c r="U151" i="3" s="1"/>
  <c r="R152" i="3"/>
  <c r="T152" i="3" s="1"/>
  <c r="U152" i="3" s="1"/>
  <c r="R153" i="3"/>
  <c r="T153" i="3" s="1"/>
  <c r="U153" i="3" s="1"/>
  <c r="R154" i="3"/>
  <c r="T154" i="3" s="1"/>
  <c r="U154" i="3" s="1"/>
  <c r="R155" i="3"/>
  <c r="T155" i="3" s="1"/>
  <c r="U155" i="3" s="1"/>
  <c r="R156" i="3"/>
  <c r="T156" i="3" s="1"/>
  <c r="U156" i="3" s="1"/>
  <c r="R157" i="3"/>
  <c r="T157" i="3" s="1"/>
  <c r="U157" i="3" s="1"/>
  <c r="R158" i="3"/>
  <c r="T158" i="3" s="1"/>
  <c r="U158" i="3" s="1"/>
  <c r="R159" i="3"/>
  <c r="T159" i="3" s="1"/>
  <c r="U159" i="3" s="1"/>
  <c r="R160" i="3"/>
  <c r="T160" i="3" s="1"/>
  <c r="U160" i="3" s="1"/>
  <c r="R161" i="3"/>
  <c r="T161" i="3" s="1"/>
  <c r="U161" i="3" s="1"/>
  <c r="R162" i="3"/>
  <c r="T162" i="3" s="1"/>
  <c r="U162" i="3" s="1"/>
  <c r="R163" i="3"/>
  <c r="T163" i="3" s="1"/>
  <c r="U163" i="3" s="1"/>
  <c r="R164" i="3"/>
  <c r="T164" i="3" s="1"/>
  <c r="U164" i="3" s="1"/>
  <c r="R165" i="3"/>
  <c r="T165" i="3" s="1"/>
  <c r="U165" i="3" s="1"/>
  <c r="R166" i="3"/>
  <c r="T166" i="3" s="1"/>
  <c r="U166" i="3" s="1"/>
  <c r="R167" i="3"/>
  <c r="T167" i="3" s="1"/>
  <c r="U167" i="3" s="1"/>
  <c r="R168" i="3"/>
  <c r="T168" i="3" s="1"/>
  <c r="U168" i="3" s="1"/>
  <c r="R169" i="3"/>
  <c r="T169" i="3" s="1"/>
  <c r="U169" i="3" s="1"/>
  <c r="R170" i="3"/>
  <c r="T170" i="3" s="1"/>
  <c r="U170" i="3" s="1"/>
  <c r="R171" i="3"/>
  <c r="T171" i="3" s="1"/>
  <c r="U171" i="3" s="1"/>
  <c r="R172" i="3"/>
  <c r="T172" i="3" s="1"/>
  <c r="U172" i="3" s="1"/>
  <c r="R173" i="3"/>
  <c r="T173" i="3" s="1"/>
  <c r="U173" i="3" s="1"/>
  <c r="R174" i="3"/>
  <c r="T174" i="3" s="1"/>
  <c r="U174" i="3" s="1"/>
  <c r="R175" i="3"/>
  <c r="T175" i="3" s="1"/>
  <c r="U175" i="3" s="1"/>
  <c r="R176" i="3"/>
  <c r="T176" i="3" s="1"/>
  <c r="U176" i="3" s="1"/>
  <c r="R177" i="3"/>
  <c r="T177" i="3" s="1"/>
  <c r="U177" i="3" s="1"/>
  <c r="R178" i="3"/>
  <c r="T178" i="3" s="1"/>
  <c r="U178" i="3" s="1"/>
  <c r="R179" i="3"/>
  <c r="T179" i="3" s="1"/>
  <c r="U179" i="3" s="1"/>
  <c r="R180" i="3"/>
  <c r="T180" i="3" s="1"/>
  <c r="U180" i="3" s="1"/>
  <c r="R181" i="3"/>
  <c r="T181" i="3" s="1"/>
  <c r="U181" i="3" s="1"/>
  <c r="R182" i="3"/>
  <c r="T182" i="3" s="1"/>
  <c r="U182" i="3" s="1"/>
  <c r="R183" i="3"/>
  <c r="T183" i="3" s="1"/>
  <c r="U183" i="3" s="1"/>
  <c r="R184" i="3"/>
  <c r="T184" i="3" s="1"/>
  <c r="U184" i="3" s="1"/>
  <c r="R185" i="3"/>
  <c r="T185" i="3" s="1"/>
  <c r="U185" i="3" s="1"/>
  <c r="R186" i="3"/>
  <c r="T186" i="3" s="1"/>
  <c r="U186" i="3" s="1"/>
  <c r="R187" i="3"/>
  <c r="T187" i="3" s="1"/>
  <c r="U187" i="3" s="1"/>
  <c r="R188" i="3"/>
  <c r="T188" i="3" s="1"/>
  <c r="U188" i="3" s="1"/>
  <c r="R189" i="3"/>
  <c r="T189" i="3" s="1"/>
  <c r="U189" i="3" s="1"/>
  <c r="R190" i="3"/>
  <c r="T190" i="3" s="1"/>
  <c r="U190" i="3" s="1"/>
  <c r="R191" i="3"/>
  <c r="T191" i="3" s="1"/>
  <c r="U191" i="3" s="1"/>
  <c r="R192" i="3"/>
  <c r="T192" i="3" s="1"/>
  <c r="U192" i="3" s="1"/>
  <c r="R193" i="3"/>
  <c r="T193" i="3" s="1"/>
  <c r="U193" i="3" s="1"/>
  <c r="R194" i="3"/>
  <c r="T194" i="3" s="1"/>
  <c r="U194" i="3" s="1"/>
  <c r="R195" i="3"/>
  <c r="T195" i="3" s="1"/>
  <c r="U195" i="3" s="1"/>
  <c r="R196" i="3"/>
  <c r="T196" i="3" s="1"/>
  <c r="U196" i="3" s="1"/>
  <c r="R197" i="3"/>
  <c r="T197" i="3" s="1"/>
  <c r="U197" i="3" s="1"/>
  <c r="R198" i="3"/>
  <c r="T198" i="3" s="1"/>
  <c r="U198" i="3" s="1"/>
  <c r="R199" i="3"/>
  <c r="T199" i="3" s="1"/>
  <c r="U199" i="3" s="1"/>
  <c r="R200" i="3"/>
  <c r="T200" i="3" s="1"/>
  <c r="U200" i="3" s="1"/>
  <c r="R201" i="3"/>
  <c r="T201" i="3" s="1"/>
  <c r="U201" i="3" s="1"/>
  <c r="R202" i="3"/>
  <c r="T202" i="3" s="1"/>
  <c r="U202" i="3" s="1"/>
  <c r="R203" i="3"/>
  <c r="T203" i="3" s="1"/>
  <c r="U203" i="3" s="1"/>
  <c r="R204" i="3"/>
  <c r="T204" i="3" s="1"/>
  <c r="U204" i="3" s="1"/>
  <c r="R205" i="3"/>
  <c r="T205" i="3" s="1"/>
  <c r="U205" i="3" s="1"/>
  <c r="R206" i="3"/>
  <c r="T206" i="3" s="1"/>
  <c r="U206" i="3" s="1"/>
  <c r="R207" i="3"/>
  <c r="T207" i="3" s="1"/>
  <c r="U207" i="3" s="1"/>
  <c r="R208" i="3"/>
  <c r="T208" i="3" s="1"/>
  <c r="U208" i="3" s="1"/>
  <c r="R209" i="3"/>
  <c r="T209" i="3" s="1"/>
  <c r="U209" i="3" s="1"/>
  <c r="R210" i="3"/>
  <c r="T210" i="3" s="1"/>
  <c r="U210" i="3" s="1"/>
  <c r="R211" i="3"/>
  <c r="T211" i="3" s="1"/>
  <c r="U211" i="3" s="1"/>
  <c r="R212" i="3"/>
  <c r="T212" i="3" s="1"/>
  <c r="U212" i="3" s="1"/>
  <c r="R213" i="3"/>
  <c r="T213" i="3" s="1"/>
  <c r="U213" i="3" s="1"/>
  <c r="R214" i="3"/>
  <c r="T214" i="3" s="1"/>
  <c r="U214" i="3" s="1"/>
  <c r="R215" i="3"/>
  <c r="T215" i="3" s="1"/>
  <c r="U215" i="3" s="1"/>
  <c r="R216" i="3"/>
  <c r="T216" i="3" s="1"/>
  <c r="U216" i="3" s="1"/>
  <c r="R217" i="3"/>
  <c r="T217" i="3" s="1"/>
  <c r="U217" i="3" s="1"/>
  <c r="R218" i="3"/>
  <c r="T218" i="3" s="1"/>
  <c r="U218" i="3" s="1"/>
  <c r="R219" i="3"/>
  <c r="T219" i="3" s="1"/>
  <c r="U219" i="3" s="1"/>
  <c r="R220" i="3"/>
  <c r="T220" i="3" s="1"/>
  <c r="U220" i="3" s="1"/>
  <c r="R221" i="3"/>
  <c r="T221" i="3" s="1"/>
  <c r="U221" i="3" s="1"/>
  <c r="R222" i="3"/>
  <c r="T222" i="3" s="1"/>
  <c r="U222" i="3" s="1"/>
  <c r="R223" i="3"/>
  <c r="T223" i="3" s="1"/>
  <c r="U223" i="3" s="1"/>
  <c r="R224" i="3"/>
  <c r="T224" i="3" s="1"/>
  <c r="U224" i="3" s="1"/>
  <c r="R225" i="3"/>
  <c r="T225" i="3" s="1"/>
  <c r="U225" i="3" s="1"/>
  <c r="R226" i="3"/>
  <c r="T226" i="3" s="1"/>
  <c r="U226" i="3" s="1"/>
  <c r="R227" i="3"/>
  <c r="T227" i="3" s="1"/>
  <c r="U227" i="3" s="1"/>
  <c r="R228" i="3"/>
  <c r="T228" i="3" s="1"/>
  <c r="U228" i="3" s="1"/>
  <c r="R229" i="3"/>
  <c r="T229" i="3" s="1"/>
  <c r="U229" i="3" s="1"/>
  <c r="R230" i="3"/>
  <c r="T230" i="3" s="1"/>
  <c r="U230" i="3" s="1"/>
  <c r="R231" i="3"/>
  <c r="T231" i="3" s="1"/>
  <c r="U231" i="3" s="1"/>
  <c r="R232" i="3"/>
  <c r="T232" i="3" s="1"/>
  <c r="U232" i="3" s="1"/>
  <c r="R233" i="3"/>
  <c r="T233" i="3" s="1"/>
  <c r="U233" i="3" s="1"/>
  <c r="R234" i="3"/>
  <c r="T234" i="3" s="1"/>
  <c r="U234" i="3" s="1"/>
  <c r="R235" i="3"/>
  <c r="T235" i="3" s="1"/>
  <c r="U235" i="3" s="1"/>
  <c r="R236" i="3"/>
  <c r="T236" i="3" s="1"/>
  <c r="U236" i="3" s="1"/>
  <c r="R237" i="3"/>
  <c r="T237" i="3" s="1"/>
  <c r="U237" i="3" s="1"/>
  <c r="R238" i="3"/>
  <c r="T238" i="3" s="1"/>
  <c r="U238" i="3" s="1"/>
  <c r="R239" i="3"/>
  <c r="T239" i="3" s="1"/>
  <c r="U239" i="3" s="1"/>
  <c r="R240" i="3"/>
  <c r="T240" i="3" s="1"/>
  <c r="U240" i="3" s="1"/>
  <c r="R241" i="3"/>
  <c r="T241" i="3" s="1"/>
  <c r="U241" i="3" s="1"/>
  <c r="R242" i="3"/>
  <c r="T242" i="3" s="1"/>
  <c r="U242" i="3" s="1"/>
  <c r="R243" i="3"/>
  <c r="T243" i="3" s="1"/>
  <c r="U243" i="3" s="1"/>
  <c r="R244" i="3"/>
  <c r="T244" i="3" s="1"/>
  <c r="U244" i="3" s="1"/>
  <c r="R245" i="3"/>
  <c r="T245" i="3" s="1"/>
  <c r="U245" i="3" s="1"/>
  <c r="R246" i="3"/>
  <c r="T246" i="3" s="1"/>
  <c r="U246" i="3" s="1"/>
  <c r="R247" i="3"/>
  <c r="T247" i="3" s="1"/>
  <c r="U247" i="3" s="1"/>
  <c r="R248" i="3"/>
  <c r="T248" i="3" s="1"/>
  <c r="U248" i="3" s="1"/>
  <c r="R249" i="3"/>
  <c r="T249" i="3" s="1"/>
  <c r="U249" i="3" s="1"/>
  <c r="R250" i="3"/>
  <c r="T250" i="3" s="1"/>
  <c r="U250" i="3" s="1"/>
  <c r="R251" i="3"/>
  <c r="T251" i="3" s="1"/>
  <c r="U251" i="3" s="1"/>
  <c r="R252" i="3"/>
  <c r="T252" i="3" s="1"/>
  <c r="U252" i="3" s="1"/>
  <c r="R253" i="3"/>
  <c r="T253" i="3" s="1"/>
  <c r="U253" i="3" s="1"/>
  <c r="R254" i="3"/>
  <c r="T254" i="3" s="1"/>
  <c r="U254" i="3" s="1"/>
  <c r="R255" i="3"/>
  <c r="T255" i="3" s="1"/>
  <c r="U255" i="3" s="1"/>
  <c r="R256" i="3"/>
  <c r="T256" i="3" s="1"/>
  <c r="U256" i="3" s="1"/>
  <c r="R257" i="3"/>
  <c r="T257" i="3" s="1"/>
  <c r="U257" i="3" s="1"/>
  <c r="R258" i="3"/>
  <c r="T258" i="3" s="1"/>
  <c r="U258" i="3" s="1"/>
  <c r="R259" i="3"/>
  <c r="T259" i="3" s="1"/>
  <c r="U259" i="3" s="1"/>
  <c r="R260" i="3"/>
  <c r="T260" i="3" s="1"/>
  <c r="U260" i="3" s="1"/>
  <c r="R261" i="3"/>
  <c r="T261" i="3" s="1"/>
  <c r="U261" i="3" s="1"/>
  <c r="R262" i="3"/>
  <c r="T262" i="3" s="1"/>
  <c r="U262" i="3" s="1"/>
  <c r="R263" i="3"/>
  <c r="T263" i="3" s="1"/>
  <c r="U263" i="3" s="1"/>
  <c r="R264" i="3"/>
  <c r="T264" i="3" s="1"/>
  <c r="U264" i="3" s="1"/>
  <c r="R265" i="3"/>
  <c r="T265" i="3" s="1"/>
  <c r="U265" i="3" s="1"/>
  <c r="R266" i="3"/>
  <c r="T266" i="3" s="1"/>
  <c r="U266" i="3" s="1"/>
  <c r="R267" i="3"/>
  <c r="T267" i="3" s="1"/>
  <c r="U267" i="3" s="1"/>
  <c r="R268" i="3"/>
  <c r="T268" i="3" s="1"/>
  <c r="U268" i="3" s="1"/>
  <c r="R269" i="3"/>
  <c r="T269" i="3" s="1"/>
  <c r="U269" i="3" s="1"/>
  <c r="R270" i="3"/>
  <c r="T270" i="3" s="1"/>
  <c r="U270" i="3" s="1"/>
  <c r="R271" i="3"/>
  <c r="T271" i="3" s="1"/>
  <c r="U271" i="3" s="1"/>
  <c r="R272" i="3"/>
  <c r="T272" i="3" s="1"/>
  <c r="U272" i="3" s="1"/>
  <c r="R273" i="3"/>
  <c r="T273" i="3" s="1"/>
  <c r="U273" i="3" s="1"/>
  <c r="R274" i="3"/>
  <c r="T274" i="3" s="1"/>
  <c r="U274" i="3" s="1"/>
  <c r="R275" i="3"/>
  <c r="T275" i="3" s="1"/>
  <c r="U275" i="3" s="1"/>
  <c r="R276" i="3"/>
  <c r="T276" i="3" s="1"/>
  <c r="U276" i="3" s="1"/>
  <c r="R277" i="3"/>
  <c r="T277" i="3" s="1"/>
  <c r="U277" i="3" s="1"/>
  <c r="R278" i="3"/>
  <c r="T278" i="3" s="1"/>
  <c r="U278" i="3" s="1"/>
  <c r="R279" i="3"/>
  <c r="T279" i="3" s="1"/>
  <c r="U279" i="3" s="1"/>
  <c r="R280" i="3"/>
  <c r="T280" i="3" s="1"/>
  <c r="U280" i="3" s="1"/>
  <c r="R281" i="3"/>
  <c r="T281" i="3" s="1"/>
  <c r="U281" i="3" s="1"/>
  <c r="R282" i="3"/>
  <c r="T282" i="3" s="1"/>
  <c r="U282" i="3" s="1"/>
  <c r="R283" i="3"/>
  <c r="T283" i="3" s="1"/>
  <c r="U283" i="3" s="1"/>
  <c r="R284" i="3"/>
  <c r="T284" i="3" s="1"/>
  <c r="U284" i="3" s="1"/>
  <c r="R285" i="3"/>
  <c r="T285" i="3" s="1"/>
  <c r="U285" i="3" s="1"/>
  <c r="R286" i="3"/>
  <c r="T286" i="3" s="1"/>
  <c r="U286" i="3" s="1"/>
  <c r="R287" i="3"/>
  <c r="T287" i="3" s="1"/>
  <c r="U287" i="3" s="1"/>
  <c r="R288" i="3"/>
  <c r="T288" i="3" s="1"/>
  <c r="U288" i="3" s="1"/>
  <c r="R289" i="3"/>
  <c r="T289" i="3" s="1"/>
  <c r="U289" i="3" s="1"/>
  <c r="R290" i="3"/>
  <c r="T290" i="3" s="1"/>
  <c r="U290" i="3" s="1"/>
  <c r="R291" i="3"/>
  <c r="T291" i="3" s="1"/>
  <c r="U291" i="3" s="1"/>
  <c r="R292" i="3"/>
  <c r="T292" i="3" s="1"/>
  <c r="U292" i="3" s="1"/>
  <c r="R293" i="3"/>
  <c r="T293" i="3" s="1"/>
  <c r="U293" i="3" s="1"/>
  <c r="R294" i="3"/>
  <c r="T294" i="3" s="1"/>
  <c r="U294" i="3" s="1"/>
  <c r="R295" i="3"/>
  <c r="T295" i="3" s="1"/>
  <c r="U295" i="3" s="1"/>
  <c r="R296" i="3"/>
  <c r="T296" i="3" s="1"/>
  <c r="U296" i="3" s="1"/>
  <c r="R297" i="3"/>
  <c r="T297" i="3" s="1"/>
  <c r="U297" i="3" s="1"/>
  <c r="R298" i="3"/>
  <c r="T298" i="3" s="1"/>
  <c r="U298" i="3" s="1"/>
  <c r="R299" i="3"/>
  <c r="T299" i="3" s="1"/>
  <c r="U299" i="3" s="1"/>
  <c r="R300" i="3"/>
  <c r="T300" i="3" s="1"/>
  <c r="U300" i="3" s="1"/>
  <c r="R301" i="3"/>
  <c r="T301" i="3" s="1"/>
  <c r="U301" i="3" s="1"/>
  <c r="R302" i="3"/>
  <c r="T302" i="3" s="1"/>
  <c r="U302" i="3" s="1"/>
  <c r="R303" i="3"/>
  <c r="T303" i="3" s="1"/>
  <c r="U303" i="3" s="1"/>
  <c r="R304" i="3"/>
  <c r="T304" i="3" s="1"/>
  <c r="U304" i="3" s="1"/>
  <c r="R305" i="3"/>
  <c r="T305" i="3" s="1"/>
  <c r="U305" i="3" s="1"/>
  <c r="R306" i="3"/>
  <c r="T306" i="3" s="1"/>
  <c r="U306" i="3" s="1"/>
  <c r="R307" i="3"/>
  <c r="T307" i="3" s="1"/>
  <c r="U307" i="3" s="1"/>
  <c r="R308" i="3"/>
  <c r="T308" i="3" s="1"/>
  <c r="U308" i="3" s="1"/>
  <c r="R309" i="3"/>
  <c r="T309" i="3" s="1"/>
  <c r="U309" i="3" s="1"/>
  <c r="R310" i="3"/>
  <c r="T310" i="3" s="1"/>
  <c r="U310" i="3" s="1"/>
  <c r="R311" i="3"/>
  <c r="T311" i="3" s="1"/>
  <c r="U311" i="3" s="1"/>
  <c r="R312" i="3"/>
  <c r="T312" i="3" s="1"/>
  <c r="U312" i="3" s="1"/>
  <c r="R313" i="3"/>
  <c r="T313" i="3" s="1"/>
  <c r="U313" i="3" s="1"/>
  <c r="R314" i="3"/>
  <c r="T314" i="3" s="1"/>
  <c r="U314" i="3" s="1"/>
  <c r="R315" i="3"/>
  <c r="T315" i="3" s="1"/>
  <c r="U315" i="3" s="1"/>
  <c r="R316" i="3"/>
  <c r="T316" i="3" s="1"/>
  <c r="U316" i="3" s="1"/>
  <c r="R317" i="3"/>
  <c r="T317" i="3" s="1"/>
  <c r="U317" i="3" s="1"/>
  <c r="R318" i="3"/>
  <c r="T318" i="3" s="1"/>
  <c r="U318" i="3" s="1"/>
  <c r="R319" i="3"/>
  <c r="T319" i="3" s="1"/>
  <c r="U319" i="3" s="1"/>
  <c r="R320" i="3"/>
  <c r="T320" i="3" s="1"/>
  <c r="U320" i="3" s="1"/>
  <c r="R321" i="3"/>
  <c r="T321" i="3" s="1"/>
  <c r="U321" i="3" s="1"/>
  <c r="R322" i="3"/>
  <c r="T322" i="3" s="1"/>
  <c r="U322" i="3" s="1"/>
  <c r="R323" i="3"/>
  <c r="T323" i="3" s="1"/>
  <c r="U323" i="3" s="1"/>
  <c r="R324" i="3"/>
  <c r="T324" i="3" s="1"/>
  <c r="U324" i="3" s="1"/>
  <c r="R325" i="3"/>
  <c r="T325" i="3" s="1"/>
  <c r="U325" i="3" s="1"/>
  <c r="R326" i="3"/>
  <c r="T326" i="3" s="1"/>
  <c r="U326" i="3" s="1"/>
  <c r="R327" i="3"/>
  <c r="T327" i="3" s="1"/>
  <c r="U327" i="3" s="1"/>
  <c r="R328" i="3"/>
  <c r="T328" i="3" s="1"/>
  <c r="U328" i="3" s="1"/>
  <c r="R329" i="3"/>
  <c r="T329" i="3" s="1"/>
  <c r="U329" i="3" s="1"/>
  <c r="R330" i="3"/>
  <c r="T330" i="3" s="1"/>
  <c r="U330" i="3" s="1"/>
  <c r="R331" i="3"/>
  <c r="T331" i="3" s="1"/>
  <c r="U331" i="3" s="1"/>
  <c r="R332" i="3"/>
  <c r="T332" i="3" s="1"/>
  <c r="U332" i="3" s="1"/>
  <c r="R333" i="3"/>
  <c r="T333" i="3" s="1"/>
  <c r="U333" i="3" s="1"/>
  <c r="R334" i="3"/>
  <c r="T334" i="3" s="1"/>
  <c r="U334" i="3" s="1"/>
  <c r="R335" i="3"/>
  <c r="T335" i="3" s="1"/>
  <c r="U335" i="3" s="1"/>
  <c r="R336" i="3"/>
  <c r="T336" i="3" s="1"/>
  <c r="U336" i="3" s="1"/>
  <c r="R337" i="3"/>
  <c r="T337" i="3" s="1"/>
  <c r="U337" i="3" s="1"/>
  <c r="R338" i="3"/>
  <c r="T338" i="3" s="1"/>
  <c r="U338" i="3" s="1"/>
  <c r="R339" i="3"/>
  <c r="T339" i="3" s="1"/>
  <c r="U339" i="3" s="1"/>
  <c r="R340" i="3"/>
  <c r="T340" i="3" s="1"/>
  <c r="U340" i="3" s="1"/>
  <c r="R341" i="3"/>
  <c r="T341" i="3" s="1"/>
  <c r="U341" i="3" s="1"/>
  <c r="R342" i="3"/>
  <c r="T342" i="3" s="1"/>
  <c r="U342" i="3" s="1"/>
  <c r="R343" i="3"/>
  <c r="T343" i="3" s="1"/>
  <c r="U343" i="3" s="1"/>
  <c r="R344" i="3"/>
  <c r="T344" i="3" s="1"/>
  <c r="U344" i="3" s="1"/>
  <c r="R345" i="3"/>
  <c r="T345" i="3" s="1"/>
  <c r="U345" i="3" s="1"/>
  <c r="R346" i="3"/>
  <c r="T346" i="3" s="1"/>
  <c r="U346" i="3" s="1"/>
  <c r="R347" i="3"/>
  <c r="T347" i="3" s="1"/>
  <c r="U347" i="3" s="1"/>
  <c r="R348" i="3"/>
  <c r="T348" i="3" s="1"/>
  <c r="U348" i="3" s="1"/>
  <c r="R349" i="3"/>
  <c r="T349" i="3" s="1"/>
  <c r="U349" i="3" s="1"/>
  <c r="R350" i="3"/>
  <c r="T350" i="3" s="1"/>
  <c r="U350" i="3" s="1"/>
  <c r="R351" i="3"/>
  <c r="T351" i="3" s="1"/>
  <c r="U351" i="3" s="1"/>
  <c r="R352" i="3"/>
  <c r="T352" i="3" s="1"/>
  <c r="U352" i="3" s="1"/>
  <c r="R353" i="3"/>
  <c r="T353" i="3" s="1"/>
  <c r="U353" i="3" s="1"/>
  <c r="R354" i="3"/>
  <c r="T354" i="3" s="1"/>
  <c r="U354" i="3" s="1"/>
  <c r="R355" i="3"/>
  <c r="T355" i="3" s="1"/>
  <c r="U355" i="3" s="1"/>
  <c r="R356" i="3"/>
  <c r="T356" i="3" s="1"/>
  <c r="U356" i="3" s="1"/>
  <c r="R357" i="3"/>
  <c r="T357" i="3" s="1"/>
  <c r="U357" i="3" s="1"/>
  <c r="R358" i="3"/>
  <c r="T358" i="3" s="1"/>
  <c r="U358" i="3" s="1"/>
  <c r="R359" i="3"/>
  <c r="T359" i="3" s="1"/>
  <c r="U359" i="3" s="1"/>
  <c r="R360" i="3"/>
  <c r="T360" i="3" s="1"/>
  <c r="U360" i="3" s="1"/>
  <c r="R361" i="3"/>
  <c r="T361" i="3" s="1"/>
  <c r="U361" i="3" s="1"/>
  <c r="R362" i="3"/>
  <c r="T362" i="3" s="1"/>
  <c r="U362" i="3" s="1"/>
  <c r="R363" i="3"/>
  <c r="T363" i="3" s="1"/>
  <c r="U363" i="3" s="1"/>
  <c r="R364" i="3"/>
  <c r="T364" i="3" s="1"/>
  <c r="U364" i="3" s="1"/>
  <c r="R365" i="3"/>
  <c r="T365" i="3" s="1"/>
  <c r="U365" i="3" s="1"/>
  <c r="R366" i="3"/>
  <c r="T366" i="3" s="1"/>
  <c r="U366" i="3" s="1"/>
  <c r="R367" i="3"/>
  <c r="T367" i="3" s="1"/>
  <c r="U367" i="3" s="1"/>
  <c r="R368" i="3"/>
  <c r="T368" i="3" s="1"/>
  <c r="U368" i="3" s="1"/>
  <c r="R369" i="3"/>
  <c r="T369" i="3" s="1"/>
  <c r="U369" i="3" s="1"/>
  <c r="R370" i="3"/>
  <c r="T370" i="3" s="1"/>
  <c r="U370" i="3" s="1"/>
  <c r="R371" i="3"/>
  <c r="T371" i="3" s="1"/>
  <c r="U371" i="3" s="1"/>
  <c r="R372" i="3"/>
  <c r="T372" i="3" s="1"/>
  <c r="U372" i="3" s="1"/>
  <c r="R373" i="3"/>
  <c r="T373" i="3" s="1"/>
  <c r="U373" i="3" s="1"/>
  <c r="R374" i="3"/>
  <c r="T374" i="3" s="1"/>
  <c r="U374" i="3" s="1"/>
  <c r="R375" i="3"/>
  <c r="T375" i="3" s="1"/>
  <c r="U375" i="3" s="1"/>
  <c r="R376" i="3"/>
  <c r="T376" i="3" s="1"/>
  <c r="U376" i="3" s="1"/>
  <c r="R377" i="3"/>
  <c r="T377" i="3" s="1"/>
  <c r="U377" i="3" s="1"/>
  <c r="R378" i="3"/>
  <c r="T378" i="3" s="1"/>
  <c r="U378" i="3" s="1"/>
  <c r="R379" i="3"/>
  <c r="T379" i="3" s="1"/>
  <c r="U379" i="3" s="1"/>
  <c r="R380" i="3"/>
  <c r="T380" i="3" s="1"/>
  <c r="U380" i="3" s="1"/>
  <c r="R381" i="3"/>
  <c r="T381" i="3" s="1"/>
  <c r="U381" i="3" s="1"/>
  <c r="R382" i="3"/>
  <c r="T382" i="3" s="1"/>
  <c r="U382" i="3" s="1"/>
  <c r="R383" i="3"/>
  <c r="T383" i="3" s="1"/>
  <c r="U383" i="3" s="1"/>
  <c r="R384" i="3"/>
  <c r="T384" i="3" s="1"/>
  <c r="U384" i="3" s="1"/>
  <c r="R385" i="3"/>
  <c r="T385" i="3" s="1"/>
  <c r="U385" i="3" s="1"/>
  <c r="R386" i="3"/>
  <c r="T386" i="3" s="1"/>
  <c r="U386" i="3" s="1"/>
  <c r="R387" i="3"/>
  <c r="T387" i="3" s="1"/>
  <c r="U387" i="3" s="1"/>
  <c r="R388" i="3"/>
  <c r="T388" i="3" s="1"/>
  <c r="U388" i="3" s="1"/>
  <c r="R389" i="3"/>
  <c r="T389" i="3" s="1"/>
  <c r="U389" i="3" s="1"/>
  <c r="R390" i="3"/>
  <c r="T390" i="3" s="1"/>
  <c r="U390" i="3" s="1"/>
  <c r="R391" i="3"/>
  <c r="T391" i="3" s="1"/>
  <c r="U391" i="3" s="1"/>
  <c r="R392" i="3"/>
  <c r="T392" i="3" s="1"/>
  <c r="U392" i="3" s="1"/>
  <c r="R393" i="3"/>
  <c r="T393" i="3" s="1"/>
  <c r="U393" i="3" s="1"/>
  <c r="R394" i="3"/>
  <c r="T394" i="3" s="1"/>
  <c r="U394" i="3" s="1"/>
  <c r="R395" i="3"/>
  <c r="T395" i="3" s="1"/>
  <c r="U395" i="3" s="1"/>
  <c r="R396" i="3"/>
  <c r="T396" i="3" s="1"/>
  <c r="U396" i="3" s="1"/>
  <c r="R397" i="3"/>
  <c r="T397" i="3" s="1"/>
  <c r="U397" i="3" s="1"/>
  <c r="R398" i="3"/>
  <c r="T398" i="3" s="1"/>
  <c r="U398" i="3" s="1"/>
  <c r="R399" i="3"/>
  <c r="T399" i="3" s="1"/>
  <c r="U399" i="3" s="1"/>
  <c r="R400" i="3"/>
  <c r="T400" i="3" s="1"/>
  <c r="U400" i="3" s="1"/>
  <c r="R401" i="3"/>
  <c r="T401" i="3" s="1"/>
  <c r="U401" i="3" s="1"/>
  <c r="R402" i="3"/>
  <c r="T402" i="3" s="1"/>
  <c r="U402" i="3" s="1"/>
  <c r="R403" i="3"/>
  <c r="T403" i="3" s="1"/>
  <c r="U403" i="3" s="1"/>
  <c r="R404" i="3"/>
  <c r="T404" i="3" s="1"/>
  <c r="U404" i="3" s="1"/>
  <c r="R405" i="3"/>
  <c r="T405" i="3" s="1"/>
  <c r="U405" i="3" s="1"/>
  <c r="R406" i="3"/>
  <c r="T406" i="3" s="1"/>
  <c r="U406" i="3" s="1"/>
  <c r="R407" i="3"/>
  <c r="T407" i="3" s="1"/>
  <c r="U407" i="3" s="1"/>
  <c r="R408" i="3"/>
  <c r="T408" i="3" s="1"/>
  <c r="U408" i="3" s="1"/>
  <c r="R409" i="3"/>
  <c r="T409" i="3" s="1"/>
  <c r="U409" i="3" s="1"/>
  <c r="R410" i="3"/>
  <c r="T410" i="3" s="1"/>
  <c r="U410" i="3" s="1"/>
  <c r="R411" i="3"/>
  <c r="T411" i="3" s="1"/>
  <c r="U411" i="3" s="1"/>
  <c r="R412" i="3"/>
  <c r="T412" i="3" s="1"/>
  <c r="U412" i="3" s="1"/>
  <c r="R413" i="3"/>
  <c r="T413" i="3" s="1"/>
  <c r="U413" i="3" s="1"/>
  <c r="R414" i="3"/>
  <c r="T414" i="3" s="1"/>
  <c r="U414" i="3" s="1"/>
  <c r="R415" i="3"/>
  <c r="T415" i="3" s="1"/>
  <c r="U415" i="3" s="1"/>
  <c r="R416" i="3"/>
  <c r="T416" i="3" s="1"/>
  <c r="U416" i="3" s="1"/>
  <c r="R417" i="3"/>
  <c r="T417" i="3" s="1"/>
  <c r="U417" i="3" s="1"/>
  <c r="R418" i="3"/>
  <c r="T418" i="3" s="1"/>
  <c r="U418" i="3" s="1"/>
  <c r="R419" i="3"/>
  <c r="T419" i="3" s="1"/>
  <c r="U419" i="3" s="1"/>
  <c r="R420" i="3"/>
  <c r="T420" i="3" s="1"/>
  <c r="U420" i="3" s="1"/>
  <c r="R421" i="3"/>
  <c r="T421" i="3" s="1"/>
  <c r="U421" i="3" s="1"/>
  <c r="R422" i="3"/>
  <c r="T422" i="3" s="1"/>
  <c r="U422" i="3" s="1"/>
  <c r="R423" i="3"/>
  <c r="T423" i="3" s="1"/>
  <c r="U423" i="3" s="1"/>
  <c r="R424" i="3"/>
  <c r="T424" i="3" s="1"/>
  <c r="U424" i="3" s="1"/>
  <c r="R425" i="3"/>
  <c r="T425" i="3" s="1"/>
  <c r="U425" i="3" s="1"/>
  <c r="R426" i="3"/>
  <c r="T426" i="3" s="1"/>
  <c r="U426" i="3" s="1"/>
  <c r="R427" i="3"/>
  <c r="T427" i="3" s="1"/>
  <c r="U427" i="3" s="1"/>
  <c r="R428" i="3"/>
  <c r="T428" i="3" s="1"/>
  <c r="U428" i="3" s="1"/>
  <c r="R429" i="3"/>
  <c r="T429" i="3" s="1"/>
  <c r="U429" i="3" s="1"/>
  <c r="R430" i="3"/>
  <c r="T430" i="3" s="1"/>
  <c r="U430" i="3" s="1"/>
  <c r="R431" i="3"/>
  <c r="T431" i="3" s="1"/>
  <c r="U431" i="3" s="1"/>
  <c r="R432" i="3"/>
  <c r="T432" i="3" s="1"/>
  <c r="U432" i="3" s="1"/>
  <c r="R433" i="3"/>
  <c r="T433" i="3" s="1"/>
  <c r="U433" i="3" s="1"/>
  <c r="R434" i="3"/>
  <c r="T434" i="3" s="1"/>
  <c r="U434" i="3" s="1"/>
  <c r="R435" i="3"/>
  <c r="T435" i="3" s="1"/>
  <c r="U435" i="3" s="1"/>
  <c r="R436" i="3"/>
  <c r="T436" i="3" s="1"/>
  <c r="U436" i="3" s="1"/>
  <c r="R437" i="3"/>
  <c r="T437" i="3" s="1"/>
  <c r="U437" i="3" s="1"/>
  <c r="R438" i="3"/>
  <c r="T438" i="3" s="1"/>
  <c r="U438" i="3" s="1"/>
  <c r="R439" i="3"/>
  <c r="T439" i="3" s="1"/>
  <c r="U439" i="3" s="1"/>
  <c r="R440" i="3"/>
  <c r="T440" i="3" s="1"/>
  <c r="U440" i="3" s="1"/>
  <c r="R441" i="3"/>
  <c r="T441" i="3" s="1"/>
  <c r="U441" i="3" s="1"/>
  <c r="R442" i="3"/>
  <c r="T442" i="3" s="1"/>
  <c r="U442" i="3" s="1"/>
  <c r="R443" i="3"/>
  <c r="T443" i="3" s="1"/>
  <c r="U443" i="3" s="1"/>
  <c r="R444" i="3"/>
  <c r="T444" i="3" s="1"/>
  <c r="U444" i="3" s="1"/>
  <c r="R445" i="3"/>
  <c r="T445" i="3" s="1"/>
  <c r="U445" i="3" s="1"/>
  <c r="R446" i="3"/>
  <c r="T446" i="3" s="1"/>
  <c r="U446" i="3" s="1"/>
  <c r="R447" i="3"/>
  <c r="T447" i="3" s="1"/>
  <c r="U447" i="3" s="1"/>
  <c r="R448" i="3"/>
  <c r="T448" i="3" s="1"/>
  <c r="U448" i="3" s="1"/>
  <c r="R449" i="3"/>
  <c r="T449" i="3" s="1"/>
  <c r="U449" i="3" s="1"/>
  <c r="R450" i="3"/>
  <c r="T450" i="3" s="1"/>
  <c r="U450" i="3" s="1"/>
  <c r="R451" i="3"/>
  <c r="T451" i="3" s="1"/>
  <c r="U451" i="3" s="1"/>
  <c r="R452" i="3"/>
  <c r="T452" i="3" s="1"/>
  <c r="U452" i="3" s="1"/>
  <c r="R453" i="3"/>
  <c r="T453" i="3" s="1"/>
  <c r="U453" i="3" s="1"/>
  <c r="R454" i="3"/>
  <c r="T454" i="3" s="1"/>
  <c r="U454" i="3" s="1"/>
  <c r="R455" i="3"/>
  <c r="T455" i="3" s="1"/>
  <c r="U455" i="3" s="1"/>
  <c r="R456" i="3"/>
  <c r="T456" i="3" s="1"/>
  <c r="U456" i="3" s="1"/>
  <c r="R457" i="3"/>
  <c r="T457" i="3" s="1"/>
  <c r="U457" i="3" s="1"/>
  <c r="R458" i="3"/>
  <c r="T458" i="3" s="1"/>
  <c r="U458" i="3" s="1"/>
  <c r="R459" i="3"/>
  <c r="T459" i="3" s="1"/>
  <c r="U459" i="3" s="1"/>
  <c r="R460" i="3"/>
  <c r="T460" i="3" s="1"/>
  <c r="U460" i="3" s="1"/>
  <c r="R461" i="3"/>
  <c r="T461" i="3" s="1"/>
  <c r="U461" i="3" s="1"/>
  <c r="R462" i="3"/>
  <c r="T462" i="3" s="1"/>
  <c r="U462" i="3" s="1"/>
  <c r="R463" i="3"/>
  <c r="T463" i="3" s="1"/>
  <c r="U463" i="3" s="1"/>
  <c r="R464" i="3"/>
  <c r="T464" i="3" s="1"/>
  <c r="U464" i="3" s="1"/>
  <c r="R465" i="3"/>
  <c r="T465" i="3" s="1"/>
  <c r="U465" i="3" s="1"/>
  <c r="R466" i="3"/>
  <c r="T466" i="3" s="1"/>
  <c r="U466" i="3" s="1"/>
  <c r="R467" i="3"/>
  <c r="T467" i="3" s="1"/>
  <c r="U467" i="3" s="1"/>
  <c r="R468" i="3"/>
  <c r="T468" i="3" s="1"/>
  <c r="U468" i="3" s="1"/>
  <c r="R469" i="3"/>
  <c r="T469" i="3" s="1"/>
  <c r="U469" i="3" s="1"/>
  <c r="R470" i="3"/>
  <c r="T470" i="3" s="1"/>
  <c r="U470" i="3" s="1"/>
  <c r="R471" i="3"/>
  <c r="T471" i="3" s="1"/>
  <c r="U471" i="3" s="1"/>
  <c r="R472" i="3"/>
  <c r="T472" i="3" s="1"/>
  <c r="U472" i="3" s="1"/>
  <c r="R473" i="3"/>
  <c r="T473" i="3" s="1"/>
  <c r="U473" i="3" s="1"/>
  <c r="R474" i="3"/>
  <c r="T474" i="3" s="1"/>
  <c r="U474" i="3" s="1"/>
  <c r="R475" i="3"/>
  <c r="T475" i="3" s="1"/>
  <c r="U475" i="3" s="1"/>
  <c r="R476" i="3"/>
  <c r="T476" i="3" s="1"/>
  <c r="U476" i="3" s="1"/>
  <c r="R477" i="3"/>
  <c r="T477" i="3" s="1"/>
  <c r="U477" i="3" s="1"/>
  <c r="R478" i="3"/>
  <c r="T478" i="3" s="1"/>
  <c r="U478" i="3" s="1"/>
  <c r="R479" i="3"/>
  <c r="T479" i="3" s="1"/>
  <c r="U479" i="3" s="1"/>
  <c r="R480" i="3"/>
  <c r="T480" i="3" s="1"/>
  <c r="U480" i="3" s="1"/>
  <c r="R481" i="3"/>
  <c r="T481" i="3" s="1"/>
  <c r="U481" i="3" s="1"/>
  <c r="R482" i="3"/>
  <c r="T482" i="3" s="1"/>
  <c r="U482" i="3" s="1"/>
  <c r="R483" i="3"/>
  <c r="T483" i="3" s="1"/>
  <c r="U483" i="3" s="1"/>
  <c r="R484" i="3"/>
  <c r="T484" i="3" s="1"/>
  <c r="U484" i="3" s="1"/>
  <c r="R485" i="3"/>
  <c r="T485" i="3" s="1"/>
  <c r="U485" i="3" s="1"/>
  <c r="R486" i="3"/>
  <c r="T486" i="3" s="1"/>
  <c r="U486" i="3" s="1"/>
  <c r="R487" i="3"/>
  <c r="T487" i="3" s="1"/>
  <c r="U487" i="3" s="1"/>
  <c r="R488" i="3"/>
  <c r="T488" i="3" s="1"/>
  <c r="U488" i="3" s="1"/>
  <c r="R489" i="3"/>
  <c r="T489" i="3" s="1"/>
  <c r="U489" i="3" s="1"/>
  <c r="R490" i="3"/>
  <c r="T490" i="3" s="1"/>
  <c r="U490" i="3" s="1"/>
  <c r="R491" i="3"/>
  <c r="T491" i="3" s="1"/>
  <c r="U491" i="3" s="1"/>
  <c r="R492" i="3"/>
  <c r="T492" i="3" s="1"/>
  <c r="U492" i="3" s="1"/>
  <c r="R493" i="3"/>
  <c r="T493" i="3" s="1"/>
  <c r="U493" i="3" s="1"/>
  <c r="R494" i="3"/>
  <c r="T494" i="3" s="1"/>
  <c r="U494" i="3" s="1"/>
  <c r="R495" i="3"/>
  <c r="T495" i="3" s="1"/>
  <c r="U495" i="3" s="1"/>
  <c r="R496" i="3"/>
  <c r="T496" i="3" s="1"/>
  <c r="U496" i="3" s="1"/>
  <c r="R497" i="3"/>
  <c r="T497" i="3" s="1"/>
  <c r="U497" i="3" s="1"/>
  <c r="R498" i="3"/>
  <c r="T498" i="3" s="1"/>
  <c r="U498" i="3" s="1"/>
  <c r="R499" i="3"/>
  <c r="T499" i="3" s="1"/>
  <c r="U499" i="3" s="1"/>
  <c r="R500" i="3"/>
  <c r="T500" i="3" s="1"/>
  <c r="U500" i="3" s="1"/>
  <c r="R501" i="3"/>
  <c r="T501" i="3" s="1"/>
  <c r="U501" i="3" s="1"/>
  <c r="R502" i="3"/>
  <c r="T502" i="3" s="1"/>
  <c r="U502" i="3" s="1"/>
  <c r="R503" i="3"/>
  <c r="T503" i="3" s="1"/>
  <c r="U503" i="3" s="1"/>
  <c r="R504" i="3"/>
  <c r="T504" i="3" s="1"/>
  <c r="U504" i="3" s="1"/>
  <c r="R505" i="3"/>
  <c r="T505" i="3" s="1"/>
  <c r="U505" i="3" s="1"/>
  <c r="R506" i="3"/>
  <c r="T506" i="3" s="1"/>
  <c r="U506" i="3" s="1"/>
  <c r="R507" i="3"/>
  <c r="T507" i="3" s="1"/>
  <c r="U507" i="3" s="1"/>
  <c r="R508" i="3"/>
  <c r="T508" i="3" s="1"/>
  <c r="U508" i="3" s="1"/>
  <c r="R509" i="3"/>
  <c r="T509" i="3" s="1"/>
  <c r="U509" i="3" s="1"/>
  <c r="R510" i="3"/>
  <c r="T510" i="3" s="1"/>
  <c r="U510" i="3" s="1"/>
  <c r="R511" i="3"/>
  <c r="T511" i="3" s="1"/>
  <c r="U511" i="3" s="1"/>
  <c r="R512" i="3"/>
  <c r="T512" i="3" s="1"/>
  <c r="U512" i="3" s="1"/>
  <c r="R513" i="3"/>
  <c r="T513" i="3" s="1"/>
  <c r="U513" i="3" s="1"/>
  <c r="R514" i="3"/>
  <c r="T514" i="3" s="1"/>
  <c r="U514" i="3" s="1"/>
  <c r="R515" i="3"/>
  <c r="T515" i="3" s="1"/>
  <c r="U515" i="3" s="1"/>
  <c r="R516" i="3"/>
  <c r="T516" i="3" s="1"/>
  <c r="U516" i="3" s="1"/>
  <c r="R517" i="3"/>
  <c r="T517" i="3" s="1"/>
  <c r="U517" i="3" s="1"/>
  <c r="R518" i="3"/>
  <c r="T518" i="3" s="1"/>
  <c r="U518" i="3" s="1"/>
  <c r="R519" i="3"/>
  <c r="T519" i="3" s="1"/>
  <c r="U519" i="3" s="1"/>
  <c r="R520" i="3"/>
  <c r="T520" i="3" s="1"/>
  <c r="U520" i="3" s="1"/>
  <c r="R521" i="3"/>
  <c r="T521" i="3" s="1"/>
  <c r="U521" i="3" s="1"/>
  <c r="R522" i="3"/>
  <c r="T522" i="3" s="1"/>
  <c r="U522" i="3" s="1"/>
  <c r="R523" i="3"/>
  <c r="T523" i="3" s="1"/>
  <c r="U523" i="3" s="1"/>
  <c r="R524" i="3"/>
  <c r="T524" i="3" s="1"/>
  <c r="U524" i="3" s="1"/>
  <c r="R525" i="3"/>
  <c r="T525" i="3" s="1"/>
  <c r="U525" i="3" s="1"/>
  <c r="R526" i="3"/>
  <c r="T526" i="3" s="1"/>
  <c r="U526" i="3" s="1"/>
  <c r="R527" i="3"/>
  <c r="T527" i="3" s="1"/>
  <c r="U527" i="3" s="1"/>
  <c r="R528" i="3"/>
  <c r="T528" i="3" s="1"/>
  <c r="U528" i="3" s="1"/>
  <c r="R529" i="3"/>
  <c r="T529" i="3" s="1"/>
  <c r="U529" i="3" s="1"/>
  <c r="R530" i="3"/>
  <c r="T530" i="3" s="1"/>
  <c r="U530" i="3" s="1"/>
  <c r="R531" i="3"/>
  <c r="T531" i="3" s="1"/>
  <c r="U531" i="3" s="1"/>
  <c r="R532" i="3"/>
  <c r="T532" i="3" s="1"/>
  <c r="U532" i="3" s="1"/>
  <c r="R533" i="3"/>
  <c r="T533" i="3" s="1"/>
  <c r="U533" i="3" s="1"/>
  <c r="R534" i="3"/>
  <c r="T534" i="3" s="1"/>
  <c r="U534" i="3" s="1"/>
  <c r="R535" i="3"/>
  <c r="T535" i="3" s="1"/>
  <c r="U535" i="3" s="1"/>
  <c r="R536" i="3"/>
  <c r="T536" i="3" s="1"/>
  <c r="U536" i="3" s="1"/>
  <c r="R537" i="3"/>
  <c r="T537" i="3" s="1"/>
  <c r="U537" i="3" s="1"/>
  <c r="R538" i="3"/>
  <c r="T538" i="3" s="1"/>
  <c r="U538" i="3" s="1"/>
  <c r="R539" i="3"/>
  <c r="T539" i="3" s="1"/>
  <c r="U539" i="3" s="1"/>
  <c r="R540" i="3"/>
  <c r="T540" i="3" s="1"/>
  <c r="U540" i="3" s="1"/>
  <c r="R541" i="3"/>
  <c r="T541" i="3" s="1"/>
  <c r="U541" i="3" s="1"/>
  <c r="R542" i="3"/>
  <c r="T542" i="3" s="1"/>
  <c r="U542" i="3" s="1"/>
  <c r="R543" i="3"/>
  <c r="T543" i="3" s="1"/>
  <c r="U543" i="3" s="1"/>
  <c r="R544" i="3"/>
  <c r="T544" i="3" s="1"/>
  <c r="U544" i="3" s="1"/>
  <c r="R545" i="3"/>
  <c r="T545" i="3" s="1"/>
  <c r="U545" i="3" s="1"/>
  <c r="R546" i="3"/>
  <c r="T546" i="3" s="1"/>
  <c r="U546" i="3" s="1"/>
  <c r="R547" i="3"/>
  <c r="T547" i="3" s="1"/>
  <c r="U547" i="3" s="1"/>
  <c r="R548" i="3"/>
  <c r="T548" i="3" s="1"/>
  <c r="U548" i="3" s="1"/>
  <c r="R549" i="3"/>
  <c r="T549" i="3" s="1"/>
  <c r="U549" i="3" s="1"/>
  <c r="R550" i="3"/>
  <c r="T550" i="3" s="1"/>
  <c r="U550" i="3" s="1"/>
  <c r="R551" i="3"/>
  <c r="T551" i="3" s="1"/>
  <c r="U551" i="3" s="1"/>
  <c r="R552" i="3"/>
  <c r="T552" i="3" s="1"/>
  <c r="U552" i="3" s="1"/>
  <c r="R553" i="3"/>
  <c r="T553" i="3" s="1"/>
  <c r="U553" i="3" s="1"/>
  <c r="R554" i="3"/>
  <c r="T554" i="3" s="1"/>
  <c r="U554" i="3" s="1"/>
  <c r="R555" i="3"/>
  <c r="T555" i="3" s="1"/>
  <c r="U555" i="3" s="1"/>
  <c r="R556" i="3"/>
  <c r="T556" i="3" s="1"/>
  <c r="U556" i="3" s="1"/>
  <c r="R557" i="3"/>
  <c r="T557" i="3" s="1"/>
  <c r="U557" i="3" s="1"/>
  <c r="R558" i="3"/>
  <c r="T558" i="3" s="1"/>
  <c r="U558" i="3" s="1"/>
  <c r="R559" i="3"/>
  <c r="T559" i="3" s="1"/>
  <c r="U559" i="3" s="1"/>
  <c r="R560" i="3"/>
  <c r="T560" i="3" s="1"/>
  <c r="U560" i="3" s="1"/>
  <c r="R561" i="3"/>
  <c r="T561" i="3" s="1"/>
  <c r="U561" i="3" s="1"/>
  <c r="R562" i="3"/>
  <c r="T562" i="3" s="1"/>
  <c r="U562" i="3" s="1"/>
  <c r="R563" i="3"/>
  <c r="T563" i="3" s="1"/>
  <c r="U563" i="3" s="1"/>
  <c r="R564" i="3"/>
  <c r="T564" i="3" s="1"/>
  <c r="U564" i="3" s="1"/>
  <c r="R565" i="3"/>
  <c r="T565" i="3" s="1"/>
  <c r="U565" i="3" s="1"/>
  <c r="R566" i="3"/>
  <c r="T566" i="3" s="1"/>
  <c r="U566" i="3" s="1"/>
  <c r="R567" i="3"/>
  <c r="T567" i="3" s="1"/>
  <c r="U567" i="3" s="1"/>
  <c r="R568" i="3"/>
  <c r="T568" i="3" s="1"/>
  <c r="U568" i="3" s="1"/>
  <c r="R569" i="3"/>
  <c r="T569" i="3" s="1"/>
  <c r="U569" i="3" s="1"/>
  <c r="R570" i="3"/>
  <c r="T570" i="3" s="1"/>
  <c r="U570" i="3" s="1"/>
  <c r="R571" i="3"/>
  <c r="T571" i="3" s="1"/>
  <c r="U571" i="3" s="1"/>
  <c r="R572" i="3"/>
  <c r="T572" i="3" s="1"/>
  <c r="U572" i="3" s="1"/>
  <c r="R573" i="3"/>
  <c r="T573" i="3" s="1"/>
  <c r="U573" i="3" s="1"/>
  <c r="R574" i="3"/>
  <c r="T574" i="3" s="1"/>
  <c r="U574" i="3" s="1"/>
  <c r="R575" i="3"/>
  <c r="T575" i="3" s="1"/>
  <c r="U575" i="3" s="1"/>
  <c r="R576" i="3"/>
  <c r="T576" i="3" s="1"/>
  <c r="U576" i="3" s="1"/>
  <c r="R577" i="3"/>
  <c r="T577" i="3" s="1"/>
  <c r="U577" i="3" s="1"/>
  <c r="R578" i="3"/>
  <c r="T578" i="3" s="1"/>
  <c r="U578" i="3" s="1"/>
  <c r="R579" i="3"/>
  <c r="T579" i="3" s="1"/>
  <c r="U579" i="3" s="1"/>
  <c r="R580" i="3"/>
  <c r="T580" i="3" s="1"/>
  <c r="U580" i="3" s="1"/>
  <c r="R581" i="3"/>
  <c r="T581" i="3" s="1"/>
  <c r="U581" i="3" s="1"/>
  <c r="R582" i="3"/>
  <c r="T582" i="3" s="1"/>
  <c r="U582" i="3" s="1"/>
  <c r="R583" i="3"/>
  <c r="T583" i="3" s="1"/>
  <c r="U583" i="3" s="1"/>
  <c r="R584" i="3"/>
  <c r="T584" i="3" s="1"/>
  <c r="U584" i="3" s="1"/>
  <c r="R585" i="3"/>
  <c r="T585" i="3" s="1"/>
  <c r="U585" i="3" s="1"/>
  <c r="R586" i="3"/>
  <c r="T586" i="3" s="1"/>
  <c r="U586" i="3" s="1"/>
  <c r="R587" i="3"/>
  <c r="T587" i="3" s="1"/>
  <c r="U587" i="3" s="1"/>
  <c r="R588" i="3"/>
  <c r="T588" i="3" s="1"/>
  <c r="U588" i="3" s="1"/>
  <c r="R589" i="3"/>
  <c r="T589" i="3" s="1"/>
  <c r="U589" i="3" s="1"/>
  <c r="R590" i="3"/>
  <c r="T590" i="3" s="1"/>
  <c r="U590" i="3" s="1"/>
  <c r="R591" i="3"/>
  <c r="T591" i="3" s="1"/>
  <c r="U591" i="3" s="1"/>
  <c r="R592" i="3"/>
  <c r="T592" i="3" s="1"/>
  <c r="U592" i="3" s="1"/>
  <c r="R593" i="3"/>
  <c r="T593" i="3" s="1"/>
  <c r="U593" i="3" s="1"/>
  <c r="R594" i="3"/>
  <c r="T594" i="3" s="1"/>
  <c r="U594" i="3" s="1"/>
  <c r="R595" i="3"/>
  <c r="T595" i="3" s="1"/>
  <c r="U595" i="3" s="1"/>
  <c r="R596" i="3"/>
  <c r="T596" i="3" s="1"/>
  <c r="U596" i="3" s="1"/>
  <c r="R597" i="3"/>
  <c r="T597" i="3" s="1"/>
  <c r="U597" i="3" s="1"/>
  <c r="R598" i="3"/>
  <c r="T598" i="3" s="1"/>
  <c r="U598" i="3" s="1"/>
  <c r="R599" i="3"/>
  <c r="T599" i="3" s="1"/>
  <c r="U599" i="3" s="1"/>
  <c r="R600" i="3"/>
  <c r="T600" i="3" s="1"/>
  <c r="U600" i="3" s="1"/>
  <c r="R601" i="3"/>
  <c r="T601" i="3" s="1"/>
  <c r="U601" i="3" s="1"/>
  <c r="R602" i="3"/>
  <c r="T602" i="3" s="1"/>
  <c r="U602" i="3" s="1"/>
  <c r="R603" i="3"/>
  <c r="T603" i="3" s="1"/>
  <c r="U603" i="3" s="1"/>
  <c r="R604" i="3"/>
  <c r="T604" i="3" s="1"/>
  <c r="U604" i="3" s="1"/>
  <c r="R605" i="3"/>
  <c r="T605" i="3" s="1"/>
  <c r="U605" i="3" s="1"/>
  <c r="R606" i="3"/>
  <c r="T606" i="3" s="1"/>
  <c r="U606" i="3" s="1"/>
  <c r="R607" i="3"/>
  <c r="T607" i="3" s="1"/>
  <c r="U607" i="3" s="1"/>
  <c r="R608" i="3"/>
  <c r="T608" i="3" s="1"/>
  <c r="U608" i="3" s="1"/>
  <c r="R609" i="3"/>
  <c r="T609" i="3" s="1"/>
  <c r="U609" i="3" s="1"/>
  <c r="R610" i="3"/>
  <c r="T610" i="3" s="1"/>
  <c r="U610" i="3" s="1"/>
  <c r="R611" i="3"/>
  <c r="T611" i="3" s="1"/>
  <c r="U611" i="3" s="1"/>
  <c r="R612" i="3"/>
  <c r="T612" i="3" s="1"/>
  <c r="U612" i="3" s="1"/>
  <c r="R613" i="3"/>
  <c r="T613" i="3" s="1"/>
  <c r="U613" i="3" s="1"/>
  <c r="R614" i="3"/>
  <c r="T614" i="3" s="1"/>
  <c r="U614" i="3" s="1"/>
  <c r="R615" i="3"/>
  <c r="T615" i="3" s="1"/>
  <c r="U615" i="3" s="1"/>
  <c r="R616" i="3"/>
  <c r="T616" i="3" s="1"/>
  <c r="U616" i="3" s="1"/>
  <c r="R617" i="3"/>
  <c r="T617" i="3" s="1"/>
  <c r="U617" i="3" s="1"/>
  <c r="R618" i="3"/>
  <c r="T618" i="3" s="1"/>
  <c r="U618" i="3" s="1"/>
  <c r="R619" i="3"/>
  <c r="T619" i="3" s="1"/>
  <c r="U619" i="3" s="1"/>
  <c r="R620" i="3"/>
  <c r="T620" i="3" s="1"/>
  <c r="U620" i="3" s="1"/>
  <c r="R621" i="3"/>
  <c r="T621" i="3" s="1"/>
  <c r="U621" i="3" s="1"/>
  <c r="R622" i="3"/>
  <c r="T622" i="3" s="1"/>
  <c r="U622" i="3" s="1"/>
  <c r="R623" i="3"/>
  <c r="T623" i="3" s="1"/>
  <c r="U623" i="3" s="1"/>
  <c r="R624" i="3"/>
  <c r="T624" i="3" s="1"/>
  <c r="U624" i="3" s="1"/>
  <c r="R625" i="3"/>
  <c r="T625" i="3" s="1"/>
  <c r="U625" i="3" s="1"/>
  <c r="R626" i="3"/>
  <c r="T626" i="3" s="1"/>
  <c r="U626" i="3" s="1"/>
  <c r="R627" i="3"/>
  <c r="T627" i="3" s="1"/>
  <c r="U627" i="3" s="1"/>
  <c r="R628" i="3"/>
  <c r="T628" i="3" s="1"/>
  <c r="U628" i="3" s="1"/>
  <c r="R629" i="3"/>
  <c r="T629" i="3" s="1"/>
  <c r="U629" i="3" s="1"/>
  <c r="R630" i="3"/>
  <c r="T630" i="3" s="1"/>
  <c r="U630" i="3" s="1"/>
  <c r="R631" i="3"/>
  <c r="T631" i="3" s="1"/>
  <c r="U631" i="3" s="1"/>
  <c r="R632" i="3"/>
  <c r="T632" i="3" s="1"/>
  <c r="U632" i="3" s="1"/>
  <c r="R633" i="3"/>
  <c r="T633" i="3" s="1"/>
  <c r="U633" i="3" s="1"/>
  <c r="R634" i="3"/>
  <c r="T634" i="3" s="1"/>
  <c r="U634" i="3" s="1"/>
  <c r="R635" i="3"/>
  <c r="T635" i="3" s="1"/>
  <c r="U635" i="3" s="1"/>
  <c r="R636" i="3"/>
  <c r="T636" i="3" s="1"/>
  <c r="U636" i="3" s="1"/>
  <c r="R637" i="3"/>
  <c r="T637" i="3" s="1"/>
  <c r="U637" i="3" s="1"/>
  <c r="R638" i="3"/>
  <c r="T638" i="3" s="1"/>
  <c r="U638" i="3" s="1"/>
  <c r="R639" i="3"/>
  <c r="T639" i="3" s="1"/>
  <c r="U639" i="3" s="1"/>
  <c r="R640" i="3"/>
  <c r="T640" i="3" s="1"/>
  <c r="U640" i="3" s="1"/>
  <c r="R641" i="3"/>
  <c r="T641" i="3" s="1"/>
  <c r="U641" i="3" s="1"/>
  <c r="R642" i="3"/>
  <c r="T642" i="3" s="1"/>
  <c r="U642" i="3" s="1"/>
  <c r="R643" i="3"/>
  <c r="T643" i="3" s="1"/>
  <c r="U643" i="3" s="1"/>
  <c r="R644" i="3"/>
  <c r="T644" i="3" s="1"/>
  <c r="U644" i="3" s="1"/>
  <c r="R645" i="3"/>
  <c r="T645" i="3" s="1"/>
  <c r="U645" i="3" s="1"/>
  <c r="R646" i="3"/>
  <c r="T646" i="3" s="1"/>
  <c r="U646" i="3" s="1"/>
  <c r="R647" i="3"/>
  <c r="T647" i="3" s="1"/>
  <c r="U647" i="3" s="1"/>
  <c r="R648" i="3"/>
  <c r="T648" i="3" s="1"/>
  <c r="U648" i="3" s="1"/>
  <c r="R649" i="3"/>
  <c r="T649" i="3" s="1"/>
  <c r="U649" i="3" s="1"/>
  <c r="R650" i="3"/>
  <c r="T650" i="3" s="1"/>
  <c r="U650" i="3" s="1"/>
  <c r="R651" i="3"/>
  <c r="T651" i="3" s="1"/>
  <c r="U651" i="3" s="1"/>
  <c r="R652" i="3"/>
  <c r="T652" i="3" s="1"/>
  <c r="U652" i="3" s="1"/>
  <c r="R653" i="3"/>
  <c r="T653" i="3" s="1"/>
  <c r="U653" i="3" s="1"/>
  <c r="R654" i="3"/>
  <c r="T654" i="3" s="1"/>
  <c r="U654" i="3" s="1"/>
  <c r="R655" i="3"/>
  <c r="T655" i="3" s="1"/>
  <c r="U655" i="3" s="1"/>
  <c r="R656" i="3"/>
  <c r="T656" i="3" s="1"/>
  <c r="U656" i="3" s="1"/>
  <c r="R657" i="3"/>
  <c r="T657" i="3" s="1"/>
  <c r="U657" i="3" s="1"/>
  <c r="R658" i="3"/>
  <c r="T658" i="3" s="1"/>
  <c r="U658" i="3" s="1"/>
  <c r="R659" i="3"/>
  <c r="T659" i="3" s="1"/>
  <c r="U659" i="3" s="1"/>
  <c r="R660" i="3"/>
  <c r="T660" i="3" s="1"/>
  <c r="U660" i="3" s="1"/>
  <c r="R661" i="3"/>
  <c r="T661" i="3" s="1"/>
  <c r="U661" i="3" s="1"/>
  <c r="R662" i="3"/>
  <c r="T662" i="3" s="1"/>
  <c r="U662" i="3" s="1"/>
  <c r="R663" i="3"/>
  <c r="T663" i="3" s="1"/>
  <c r="U663" i="3" s="1"/>
  <c r="R664" i="3"/>
  <c r="T664" i="3" s="1"/>
  <c r="U664" i="3" s="1"/>
  <c r="R665" i="3"/>
  <c r="T665" i="3" s="1"/>
  <c r="U665" i="3" s="1"/>
  <c r="R666" i="3"/>
  <c r="T666" i="3" s="1"/>
  <c r="U666" i="3" s="1"/>
  <c r="R667" i="3"/>
  <c r="T667" i="3" s="1"/>
  <c r="U667" i="3" s="1"/>
  <c r="R668" i="3"/>
  <c r="T668" i="3" s="1"/>
  <c r="U668" i="3" s="1"/>
  <c r="R669" i="3"/>
  <c r="T669" i="3" s="1"/>
  <c r="U669" i="3" s="1"/>
  <c r="R670" i="3"/>
  <c r="T670" i="3" s="1"/>
  <c r="U670" i="3" s="1"/>
  <c r="R671" i="3"/>
  <c r="T671" i="3" s="1"/>
  <c r="U671" i="3" s="1"/>
  <c r="R672" i="3"/>
  <c r="T672" i="3" s="1"/>
  <c r="U672" i="3" s="1"/>
  <c r="R673" i="3"/>
  <c r="T673" i="3" s="1"/>
  <c r="U673" i="3" s="1"/>
  <c r="R674" i="3"/>
  <c r="T674" i="3" s="1"/>
  <c r="U674" i="3" s="1"/>
  <c r="R675" i="3"/>
  <c r="T675" i="3" s="1"/>
  <c r="U675" i="3" s="1"/>
  <c r="R676" i="3"/>
  <c r="T676" i="3" s="1"/>
  <c r="U676" i="3" s="1"/>
  <c r="R677" i="3"/>
  <c r="T677" i="3" s="1"/>
  <c r="U677" i="3" s="1"/>
  <c r="R678" i="3"/>
  <c r="T678" i="3" s="1"/>
  <c r="U678" i="3" s="1"/>
  <c r="R679" i="3"/>
  <c r="T679" i="3" s="1"/>
  <c r="U679" i="3" s="1"/>
  <c r="R680" i="3"/>
  <c r="T680" i="3" s="1"/>
  <c r="U680" i="3" s="1"/>
  <c r="R681" i="3"/>
  <c r="T681" i="3" s="1"/>
  <c r="U681" i="3" s="1"/>
  <c r="R682" i="3"/>
  <c r="T682" i="3" s="1"/>
  <c r="U682" i="3" s="1"/>
  <c r="R683" i="3"/>
  <c r="T683" i="3" s="1"/>
  <c r="U683" i="3" s="1"/>
  <c r="R684" i="3"/>
  <c r="T684" i="3" s="1"/>
  <c r="U684" i="3" s="1"/>
  <c r="R685" i="3"/>
  <c r="T685" i="3" s="1"/>
  <c r="U685" i="3" s="1"/>
  <c r="R686" i="3"/>
  <c r="T686" i="3" s="1"/>
  <c r="U686" i="3" s="1"/>
  <c r="R687" i="3"/>
  <c r="T687" i="3" s="1"/>
  <c r="U687" i="3" s="1"/>
  <c r="R688" i="3"/>
  <c r="T688" i="3" s="1"/>
  <c r="U688" i="3" s="1"/>
  <c r="R689" i="3"/>
  <c r="T689" i="3" s="1"/>
  <c r="U689" i="3" s="1"/>
  <c r="R690" i="3"/>
  <c r="T690" i="3" s="1"/>
  <c r="U690" i="3" s="1"/>
  <c r="R691" i="3"/>
  <c r="T691" i="3" s="1"/>
  <c r="U691" i="3" s="1"/>
  <c r="R692" i="3"/>
  <c r="T692" i="3" s="1"/>
  <c r="U692" i="3" s="1"/>
  <c r="R693" i="3"/>
  <c r="T693" i="3" s="1"/>
  <c r="U693" i="3" s="1"/>
  <c r="R694" i="3"/>
  <c r="T694" i="3" s="1"/>
  <c r="U694" i="3" s="1"/>
  <c r="R695" i="3"/>
  <c r="T695" i="3" s="1"/>
  <c r="U695" i="3" s="1"/>
  <c r="R696" i="3"/>
  <c r="T696" i="3" s="1"/>
  <c r="U696" i="3" s="1"/>
  <c r="R697" i="3"/>
  <c r="T697" i="3" s="1"/>
  <c r="U697" i="3" s="1"/>
  <c r="R698" i="3"/>
  <c r="T698" i="3" s="1"/>
  <c r="U698" i="3" s="1"/>
  <c r="R699" i="3"/>
  <c r="T699" i="3" s="1"/>
  <c r="U699" i="3" s="1"/>
  <c r="R700" i="3"/>
  <c r="T700" i="3" s="1"/>
  <c r="U700" i="3" s="1"/>
  <c r="R701" i="3"/>
  <c r="T701" i="3" s="1"/>
  <c r="U701" i="3" s="1"/>
  <c r="R702" i="3"/>
  <c r="T702" i="3" s="1"/>
  <c r="U702" i="3" s="1"/>
  <c r="R703" i="3"/>
  <c r="T703" i="3" s="1"/>
  <c r="U703" i="3" s="1"/>
  <c r="R704" i="3"/>
  <c r="T704" i="3" s="1"/>
  <c r="U704" i="3" s="1"/>
  <c r="R705" i="3"/>
  <c r="T705" i="3" s="1"/>
  <c r="U705" i="3" s="1"/>
  <c r="R706" i="3"/>
  <c r="T706" i="3" s="1"/>
  <c r="U706" i="3" s="1"/>
  <c r="R707" i="3"/>
  <c r="T707" i="3" s="1"/>
  <c r="U707" i="3" s="1"/>
  <c r="R708" i="3"/>
  <c r="T708" i="3" s="1"/>
  <c r="U708" i="3" s="1"/>
  <c r="R709" i="3"/>
  <c r="T709" i="3" s="1"/>
  <c r="U709" i="3" s="1"/>
  <c r="R710" i="3"/>
  <c r="T710" i="3" s="1"/>
  <c r="U710" i="3" s="1"/>
  <c r="R711" i="3"/>
  <c r="T711" i="3" s="1"/>
  <c r="U711" i="3" s="1"/>
  <c r="R712" i="3"/>
  <c r="T712" i="3" s="1"/>
  <c r="U712" i="3" s="1"/>
  <c r="R713" i="3"/>
  <c r="T713" i="3" s="1"/>
  <c r="U713" i="3" s="1"/>
  <c r="R714" i="3"/>
  <c r="T714" i="3" s="1"/>
  <c r="U714" i="3" s="1"/>
  <c r="R715" i="3"/>
  <c r="T715" i="3" s="1"/>
  <c r="U715" i="3" s="1"/>
  <c r="R716" i="3"/>
  <c r="T716" i="3" s="1"/>
  <c r="U716" i="3" s="1"/>
  <c r="R717" i="3"/>
  <c r="T717" i="3" s="1"/>
  <c r="U717" i="3" s="1"/>
  <c r="R718" i="3"/>
  <c r="T718" i="3" s="1"/>
  <c r="U718" i="3" s="1"/>
  <c r="R719" i="3"/>
  <c r="T719" i="3" s="1"/>
  <c r="U719" i="3" s="1"/>
  <c r="R720" i="3"/>
  <c r="T720" i="3" s="1"/>
  <c r="U720" i="3" s="1"/>
  <c r="R721" i="3"/>
  <c r="T721" i="3" s="1"/>
  <c r="U721" i="3" s="1"/>
  <c r="R722" i="3"/>
  <c r="T722" i="3" s="1"/>
  <c r="U722" i="3" s="1"/>
  <c r="R723" i="3"/>
  <c r="T723" i="3" s="1"/>
  <c r="U723" i="3" s="1"/>
  <c r="R724" i="3"/>
  <c r="T724" i="3" s="1"/>
  <c r="U724" i="3" s="1"/>
  <c r="R725" i="3"/>
  <c r="T725" i="3" s="1"/>
  <c r="U725" i="3" s="1"/>
  <c r="R726" i="3"/>
  <c r="T726" i="3" s="1"/>
  <c r="U726" i="3" s="1"/>
  <c r="R727" i="3"/>
  <c r="T727" i="3" s="1"/>
  <c r="U727" i="3" s="1"/>
  <c r="R728" i="3"/>
  <c r="T728" i="3" s="1"/>
  <c r="U728" i="3" s="1"/>
  <c r="R729" i="3"/>
  <c r="T729" i="3" s="1"/>
  <c r="U729" i="3" s="1"/>
  <c r="R730" i="3"/>
  <c r="T730" i="3" s="1"/>
  <c r="U730" i="3" s="1"/>
  <c r="R731" i="3"/>
  <c r="T731" i="3" s="1"/>
  <c r="U731" i="3" s="1"/>
  <c r="R732" i="3"/>
  <c r="T732" i="3" s="1"/>
  <c r="U732" i="3" s="1"/>
  <c r="R733" i="3"/>
  <c r="T733" i="3" s="1"/>
  <c r="U733" i="3" s="1"/>
  <c r="R734" i="3"/>
  <c r="T734" i="3" s="1"/>
  <c r="U734" i="3" s="1"/>
  <c r="R735" i="3"/>
  <c r="T735" i="3" s="1"/>
  <c r="U735" i="3" s="1"/>
  <c r="R736" i="3"/>
  <c r="T736" i="3" s="1"/>
  <c r="U736" i="3" s="1"/>
  <c r="R737" i="3"/>
  <c r="T737" i="3" s="1"/>
  <c r="U737" i="3" s="1"/>
  <c r="R738" i="3"/>
  <c r="T738" i="3" s="1"/>
  <c r="U738" i="3" s="1"/>
  <c r="R739" i="3"/>
  <c r="T739" i="3" s="1"/>
  <c r="U739" i="3" s="1"/>
  <c r="R740" i="3"/>
  <c r="T740" i="3" s="1"/>
  <c r="U740" i="3" s="1"/>
  <c r="R741" i="3"/>
  <c r="T741" i="3" s="1"/>
  <c r="U741" i="3" s="1"/>
  <c r="R742" i="3"/>
  <c r="T742" i="3" s="1"/>
  <c r="U742" i="3" s="1"/>
  <c r="R743" i="3"/>
  <c r="T743" i="3" s="1"/>
  <c r="U743" i="3" s="1"/>
  <c r="R744" i="3"/>
  <c r="T744" i="3" s="1"/>
  <c r="U744" i="3" s="1"/>
  <c r="R745" i="3"/>
  <c r="T745" i="3" s="1"/>
  <c r="U745" i="3" s="1"/>
  <c r="R746" i="3"/>
  <c r="T746" i="3" s="1"/>
  <c r="U746" i="3" s="1"/>
  <c r="R747" i="3"/>
  <c r="T747" i="3" s="1"/>
  <c r="U747" i="3" s="1"/>
  <c r="R748" i="3"/>
  <c r="T748" i="3" s="1"/>
  <c r="U748" i="3" s="1"/>
  <c r="R749" i="3"/>
  <c r="T749" i="3" s="1"/>
  <c r="U749" i="3" s="1"/>
  <c r="R750" i="3"/>
  <c r="T750" i="3" s="1"/>
  <c r="U750" i="3" s="1"/>
  <c r="R751" i="3"/>
  <c r="T751" i="3" s="1"/>
  <c r="U751" i="3" s="1"/>
  <c r="R752" i="3"/>
  <c r="T752" i="3" s="1"/>
  <c r="U752" i="3" s="1"/>
  <c r="R753" i="3"/>
  <c r="T753" i="3" s="1"/>
  <c r="U753" i="3" s="1"/>
  <c r="R754" i="3"/>
  <c r="T754" i="3" s="1"/>
  <c r="U754" i="3" s="1"/>
  <c r="R755" i="3"/>
  <c r="T755" i="3" s="1"/>
  <c r="U755" i="3" s="1"/>
  <c r="R756" i="3"/>
  <c r="T756" i="3" s="1"/>
  <c r="U756" i="3" s="1"/>
  <c r="R757" i="3"/>
  <c r="T757" i="3" s="1"/>
  <c r="U757" i="3" s="1"/>
  <c r="R758" i="3"/>
  <c r="T758" i="3" s="1"/>
  <c r="U758" i="3" s="1"/>
  <c r="R759" i="3"/>
  <c r="T759" i="3" s="1"/>
  <c r="U759" i="3" s="1"/>
  <c r="R760" i="3"/>
  <c r="T760" i="3" s="1"/>
  <c r="U760" i="3" s="1"/>
  <c r="R761" i="3"/>
  <c r="T761" i="3" s="1"/>
  <c r="U761" i="3" s="1"/>
  <c r="R762" i="3"/>
  <c r="T762" i="3" s="1"/>
  <c r="U762" i="3" s="1"/>
  <c r="R763" i="3"/>
  <c r="T763" i="3" s="1"/>
  <c r="U763" i="3" s="1"/>
  <c r="R764" i="3"/>
  <c r="T764" i="3" s="1"/>
  <c r="U764" i="3" s="1"/>
  <c r="R765" i="3"/>
  <c r="T765" i="3" s="1"/>
  <c r="U765" i="3" s="1"/>
  <c r="R766" i="3"/>
  <c r="T766" i="3" s="1"/>
  <c r="U766" i="3" s="1"/>
  <c r="R767" i="3"/>
  <c r="T767" i="3" s="1"/>
  <c r="U767" i="3" s="1"/>
  <c r="R768" i="3"/>
  <c r="T768" i="3" s="1"/>
  <c r="U768" i="3" s="1"/>
  <c r="R769" i="3"/>
  <c r="T769" i="3" s="1"/>
  <c r="U769" i="3" s="1"/>
  <c r="R770" i="3"/>
  <c r="T770" i="3" s="1"/>
  <c r="U770" i="3" s="1"/>
  <c r="R771" i="3"/>
  <c r="T771" i="3" s="1"/>
  <c r="U771" i="3" s="1"/>
  <c r="R772" i="3"/>
  <c r="T772" i="3" s="1"/>
  <c r="U772" i="3" s="1"/>
  <c r="R773" i="3"/>
  <c r="T773" i="3" s="1"/>
  <c r="U773" i="3" s="1"/>
  <c r="R774" i="3"/>
  <c r="T774" i="3" s="1"/>
  <c r="U774" i="3" s="1"/>
  <c r="R775" i="3"/>
  <c r="T775" i="3" s="1"/>
  <c r="U775" i="3" s="1"/>
  <c r="R776" i="3"/>
  <c r="T776" i="3" s="1"/>
  <c r="U776" i="3" s="1"/>
  <c r="R777" i="3"/>
  <c r="T777" i="3" s="1"/>
  <c r="U777" i="3" s="1"/>
  <c r="R778" i="3"/>
  <c r="T778" i="3" s="1"/>
  <c r="U778" i="3" s="1"/>
  <c r="R779" i="3"/>
  <c r="T779" i="3" s="1"/>
  <c r="U779" i="3" s="1"/>
  <c r="R780" i="3"/>
  <c r="T780" i="3" s="1"/>
  <c r="U780" i="3" s="1"/>
  <c r="R781" i="3"/>
  <c r="T781" i="3" s="1"/>
  <c r="U781" i="3" s="1"/>
  <c r="R782" i="3"/>
  <c r="T782" i="3" s="1"/>
  <c r="U782" i="3" s="1"/>
  <c r="R783" i="3"/>
  <c r="T783" i="3" s="1"/>
  <c r="U783" i="3" s="1"/>
  <c r="R784" i="3"/>
  <c r="T784" i="3" s="1"/>
  <c r="U784" i="3" s="1"/>
  <c r="R785" i="3"/>
  <c r="T785" i="3" s="1"/>
  <c r="U785" i="3" s="1"/>
  <c r="R786" i="3"/>
  <c r="T786" i="3" s="1"/>
  <c r="U786" i="3" s="1"/>
  <c r="R787" i="3"/>
  <c r="T787" i="3" s="1"/>
  <c r="U787" i="3" s="1"/>
  <c r="R788" i="3"/>
  <c r="T788" i="3" s="1"/>
  <c r="U788" i="3" s="1"/>
  <c r="R789" i="3"/>
  <c r="T789" i="3" s="1"/>
  <c r="U789" i="3" s="1"/>
  <c r="R790" i="3"/>
  <c r="T790" i="3" s="1"/>
  <c r="U790" i="3" s="1"/>
  <c r="R791" i="3"/>
  <c r="T791" i="3" s="1"/>
  <c r="U791" i="3" s="1"/>
  <c r="R792" i="3"/>
  <c r="T792" i="3" s="1"/>
  <c r="U792" i="3" s="1"/>
  <c r="R793" i="3"/>
  <c r="T793" i="3" s="1"/>
  <c r="U793" i="3" s="1"/>
  <c r="R794" i="3"/>
  <c r="T794" i="3" s="1"/>
  <c r="U794" i="3" s="1"/>
  <c r="R795" i="3"/>
  <c r="T795" i="3" s="1"/>
  <c r="U795" i="3" s="1"/>
  <c r="R796" i="3"/>
  <c r="T796" i="3" s="1"/>
  <c r="U796" i="3" s="1"/>
  <c r="R797" i="3"/>
  <c r="T797" i="3" s="1"/>
  <c r="U797" i="3" s="1"/>
  <c r="R798" i="3"/>
  <c r="T798" i="3" s="1"/>
  <c r="U798" i="3" s="1"/>
  <c r="R799" i="3"/>
  <c r="T799" i="3" s="1"/>
  <c r="U799" i="3" s="1"/>
  <c r="R800" i="3"/>
  <c r="T800" i="3" s="1"/>
  <c r="U800" i="3" s="1"/>
  <c r="R801" i="3"/>
  <c r="T801" i="3" s="1"/>
  <c r="U801" i="3" s="1"/>
  <c r="R802" i="3"/>
  <c r="T802" i="3" s="1"/>
  <c r="U802" i="3" s="1"/>
  <c r="R803" i="3"/>
  <c r="T803" i="3" s="1"/>
  <c r="U803" i="3" s="1"/>
  <c r="R804" i="3"/>
  <c r="T804" i="3" s="1"/>
  <c r="U804" i="3" s="1"/>
  <c r="R805" i="3"/>
  <c r="T805" i="3" s="1"/>
  <c r="U805" i="3" s="1"/>
  <c r="R806" i="3"/>
  <c r="T806" i="3" s="1"/>
  <c r="U806" i="3" s="1"/>
  <c r="R807" i="3"/>
  <c r="T807" i="3" s="1"/>
  <c r="U807" i="3" s="1"/>
  <c r="R808" i="3"/>
  <c r="T808" i="3" s="1"/>
  <c r="U808" i="3" s="1"/>
  <c r="R809" i="3"/>
  <c r="T809" i="3" s="1"/>
  <c r="U809" i="3" s="1"/>
  <c r="R810" i="3"/>
  <c r="T810" i="3" s="1"/>
  <c r="U810" i="3" s="1"/>
  <c r="R811" i="3"/>
  <c r="T811" i="3" s="1"/>
  <c r="U811" i="3" s="1"/>
  <c r="R812" i="3"/>
  <c r="T812" i="3" s="1"/>
  <c r="U812" i="3" s="1"/>
  <c r="R813" i="3"/>
  <c r="T813" i="3" s="1"/>
  <c r="U813" i="3" s="1"/>
  <c r="R814" i="3"/>
  <c r="T814" i="3" s="1"/>
  <c r="U814" i="3" s="1"/>
  <c r="R815" i="3"/>
  <c r="T815" i="3" s="1"/>
  <c r="U815" i="3" s="1"/>
  <c r="R816" i="3"/>
  <c r="T816" i="3" s="1"/>
  <c r="U816" i="3" s="1"/>
  <c r="R817" i="3"/>
  <c r="T817" i="3" s="1"/>
  <c r="U817" i="3" s="1"/>
  <c r="R818" i="3"/>
  <c r="T818" i="3" s="1"/>
  <c r="U818" i="3" s="1"/>
  <c r="R819" i="3"/>
  <c r="T819" i="3" s="1"/>
  <c r="U819" i="3" s="1"/>
  <c r="R820" i="3"/>
  <c r="T820" i="3" s="1"/>
  <c r="U820" i="3" s="1"/>
  <c r="R821" i="3"/>
  <c r="T821" i="3" s="1"/>
  <c r="U821" i="3" s="1"/>
  <c r="R822" i="3"/>
  <c r="T822" i="3" s="1"/>
  <c r="U822" i="3" s="1"/>
  <c r="R823" i="3"/>
  <c r="T823" i="3" s="1"/>
  <c r="U823" i="3" s="1"/>
  <c r="R824" i="3"/>
  <c r="T824" i="3" s="1"/>
  <c r="U824" i="3" s="1"/>
  <c r="R825" i="3"/>
  <c r="T825" i="3" s="1"/>
  <c r="U825" i="3" s="1"/>
  <c r="R826" i="3"/>
  <c r="T826" i="3" s="1"/>
  <c r="U826" i="3" s="1"/>
  <c r="R827" i="3"/>
  <c r="T827" i="3" s="1"/>
  <c r="U827" i="3" s="1"/>
  <c r="R828" i="3"/>
  <c r="T828" i="3" s="1"/>
  <c r="U828" i="3" s="1"/>
  <c r="R829" i="3"/>
  <c r="T829" i="3" s="1"/>
  <c r="U829" i="3" s="1"/>
  <c r="R830" i="3"/>
  <c r="T830" i="3" s="1"/>
  <c r="U830" i="3" s="1"/>
  <c r="R831" i="3"/>
  <c r="T831" i="3" s="1"/>
  <c r="U831" i="3" s="1"/>
  <c r="R832" i="3"/>
  <c r="T832" i="3" s="1"/>
  <c r="U832" i="3" s="1"/>
  <c r="R833" i="3"/>
  <c r="T833" i="3" s="1"/>
  <c r="U833" i="3" s="1"/>
  <c r="R834" i="3"/>
  <c r="T834" i="3" s="1"/>
  <c r="U834" i="3" s="1"/>
  <c r="R835" i="3"/>
  <c r="T835" i="3" s="1"/>
  <c r="U835" i="3" s="1"/>
  <c r="R836" i="3"/>
  <c r="T836" i="3" s="1"/>
  <c r="U836" i="3" s="1"/>
  <c r="R837" i="3"/>
  <c r="T837" i="3" s="1"/>
  <c r="U837" i="3" s="1"/>
  <c r="R838" i="3"/>
  <c r="T838" i="3" s="1"/>
  <c r="U838" i="3" s="1"/>
  <c r="R839" i="3"/>
  <c r="T839" i="3" s="1"/>
  <c r="U839" i="3" s="1"/>
  <c r="R840" i="3"/>
  <c r="T840" i="3" s="1"/>
  <c r="U840" i="3" s="1"/>
  <c r="R841" i="3"/>
  <c r="T841" i="3" s="1"/>
  <c r="U841" i="3" s="1"/>
  <c r="R842" i="3"/>
  <c r="T842" i="3" s="1"/>
  <c r="U842" i="3" s="1"/>
  <c r="R843" i="3"/>
  <c r="T843" i="3" s="1"/>
  <c r="U843" i="3" s="1"/>
  <c r="R844" i="3"/>
  <c r="T844" i="3" s="1"/>
  <c r="U844" i="3" s="1"/>
  <c r="R845" i="3"/>
  <c r="T845" i="3" s="1"/>
  <c r="U845" i="3" s="1"/>
  <c r="R846" i="3"/>
  <c r="T846" i="3" s="1"/>
  <c r="U846" i="3" s="1"/>
  <c r="R847" i="3"/>
  <c r="T847" i="3" s="1"/>
  <c r="U847" i="3" s="1"/>
  <c r="R848" i="3"/>
  <c r="T848" i="3" s="1"/>
  <c r="U848" i="3" s="1"/>
  <c r="R849" i="3"/>
  <c r="T849" i="3" s="1"/>
  <c r="U849" i="3" s="1"/>
  <c r="R850" i="3"/>
  <c r="T850" i="3" s="1"/>
  <c r="U850" i="3" s="1"/>
  <c r="R851" i="3"/>
  <c r="T851" i="3" s="1"/>
  <c r="U851" i="3" s="1"/>
  <c r="R852" i="3"/>
  <c r="T852" i="3" s="1"/>
  <c r="U852" i="3" s="1"/>
  <c r="R853" i="3"/>
  <c r="T853" i="3" s="1"/>
  <c r="U853" i="3" s="1"/>
  <c r="R854" i="3"/>
  <c r="T854" i="3" s="1"/>
  <c r="U854" i="3" s="1"/>
  <c r="R855" i="3"/>
  <c r="T855" i="3" s="1"/>
  <c r="U855" i="3" s="1"/>
  <c r="R856" i="3"/>
  <c r="T856" i="3" s="1"/>
  <c r="U856" i="3" s="1"/>
  <c r="R857" i="3"/>
  <c r="T857" i="3" s="1"/>
  <c r="U857" i="3" s="1"/>
  <c r="R858" i="3"/>
  <c r="T858" i="3" s="1"/>
  <c r="U858" i="3" s="1"/>
  <c r="R859" i="3"/>
  <c r="T859" i="3" s="1"/>
  <c r="U859" i="3" s="1"/>
  <c r="R860" i="3"/>
  <c r="T860" i="3" s="1"/>
  <c r="U860" i="3" s="1"/>
  <c r="R861" i="3"/>
  <c r="T861" i="3" s="1"/>
  <c r="U861" i="3" s="1"/>
  <c r="R862" i="3"/>
  <c r="T862" i="3" s="1"/>
  <c r="U862" i="3" s="1"/>
  <c r="R863" i="3"/>
  <c r="T863" i="3" s="1"/>
  <c r="U863" i="3" s="1"/>
  <c r="R864" i="3"/>
  <c r="T864" i="3" s="1"/>
  <c r="U864" i="3" s="1"/>
  <c r="R865" i="3"/>
  <c r="T865" i="3" s="1"/>
  <c r="U865" i="3" s="1"/>
  <c r="R866" i="3"/>
  <c r="T866" i="3" s="1"/>
  <c r="U866" i="3" s="1"/>
  <c r="R867" i="3"/>
  <c r="T867" i="3" s="1"/>
  <c r="U867" i="3" s="1"/>
  <c r="R868" i="3"/>
  <c r="T868" i="3" s="1"/>
  <c r="U868" i="3" s="1"/>
  <c r="R869" i="3"/>
  <c r="T869" i="3" s="1"/>
  <c r="U869" i="3" s="1"/>
  <c r="R870" i="3"/>
  <c r="T870" i="3" s="1"/>
  <c r="U870" i="3" s="1"/>
  <c r="R871" i="3"/>
  <c r="T871" i="3" s="1"/>
  <c r="U871" i="3" s="1"/>
  <c r="R872" i="3"/>
  <c r="T872" i="3" s="1"/>
  <c r="U872" i="3" s="1"/>
  <c r="R873" i="3"/>
  <c r="T873" i="3" s="1"/>
  <c r="U873" i="3" s="1"/>
  <c r="R874" i="3"/>
  <c r="T874" i="3" s="1"/>
  <c r="U874" i="3" s="1"/>
  <c r="R875" i="3"/>
  <c r="T875" i="3" s="1"/>
  <c r="U875" i="3" s="1"/>
  <c r="R876" i="3"/>
  <c r="T876" i="3" s="1"/>
  <c r="U876" i="3" s="1"/>
  <c r="R877" i="3"/>
  <c r="T877" i="3" s="1"/>
  <c r="U877" i="3" s="1"/>
  <c r="R878" i="3"/>
  <c r="T878" i="3" s="1"/>
  <c r="U878" i="3" s="1"/>
  <c r="R879" i="3"/>
  <c r="T879" i="3" s="1"/>
  <c r="U879" i="3" s="1"/>
  <c r="R880" i="3"/>
  <c r="T880" i="3" s="1"/>
  <c r="U880" i="3" s="1"/>
  <c r="R881" i="3"/>
  <c r="T881" i="3" s="1"/>
  <c r="U881" i="3" s="1"/>
  <c r="R882" i="3"/>
  <c r="T882" i="3" s="1"/>
  <c r="U882" i="3" s="1"/>
  <c r="R883" i="3"/>
  <c r="T883" i="3" s="1"/>
  <c r="U883" i="3" s="1"/>
  <c r="R884" i="3"/>
  <c r="T884" i="3" s="1"/>
  <c r="U884" i="3" s="1"/>
  <c r="R885" i="3"/>
  <c r="T885" i="3" s="1"/>
  <c r="U885" i="3" s="1"/>
  <c r="R886" i="3"/>
  <c r="T886" i="3" s="1"/>
  <c r="U886" i="3" s="1"/>
  <c r="R887" i="3"/>
  <c r="T887" i="3" s="1"/>
  <c r="U887" i="3" s="1"/>
  <c r="R888" i="3"/>
  <c r="T888" i="3" s="1"/>
  <c r="U888" i="3" s="1"/>
  <c r="R889" i="3"/>
  <c r="T889" i="3" s="1"/>
  <c r="U889" i="3" s="1"/>
  <c r="R890" i="3"/>
  <c r="T890" i="3" s="1"/>
  <c r="U890" i="3" s="1"/>
  <c r="R891" i="3"/>
  <c r="T891" i="3" s="1"/>
  <c r="U891" i="3" s="1"/>
  <c r="R892" i="3"/>
  <c r="T892" i="3" s="1"/>
  <c r="U892" i="3" s="1"/>
  <c r="R893" i="3"/>
  <c r="T893" i="3" s="1"/>
  <c r="U893" i="3" s="1"/>
  <c r="R894" i="3"/>
  <c r="T894" i="3" s="1"/>
  <c r="U894" i="3" s="1"/>
  <c r="R895" i="3"/>
  <c r="T895" i="3" s="1"/>
  <c r="U895" i="3" s="1"/>
  <c r="R896" i="3"/>
  <c r="T896" i="3" s="1"/>
  <c r="U896" i="3" s="1"/>
  <c r="R897" i="3"/>
  <c r="T897" i="3" s="1"/>
  <c r="U897" i="3" s="1"/>
  <c r="R898" i="3"/>
  <c r="T898" i="3" s="1"/>
  <c r="U898" i="3" s="1"/>
  <c r="R899" i="3"/>
  <c r="T899" i="3" s="1"/>
  <c r="U899" i="3" s="1"/>
  <c r="R900" i="3"/>
  <c r="T900" i="3" s="1"/>
  <c r="U900" i="3" s="1"/>
  <c r="R901" i="3"/>
  <c r="T901" i="3" s="1"/>
  <c r="U901" i="3" s="1"/>
  <c r="R902" i="3"/>
  <c r="T902" i="3" s="1"/>
  <c r="U902" i="3" s="1"/>
  <c r="R903" i="3"/>
  <c r="T903" i="3" s="1"/>
  <c r="U903" i="3" s="1"/>
  <c r="R904" i="3"/>
  <c r="T904" i="3" s="1"/>
  <c r="U904" i="3" s="1"/>
  <c r="R905" i="3"/>
  <c r="T905" i="3" s="1"/>
  <c r="U905" i="3" s="1"/>
  <c r="R906" i="3"/>
  <c r="T906" i="3" s="1"/>
  <c r="U906" i="3" s="1"/>
  <c r="R907" i="3"/>
  <c r="T907" i="3" s="1"/>
  <c r="U907" i="3" s="1"/>
  <c r="R908" i="3"/>
  <c r="T908" i="3" s="1"/>
  <c r="U908" i="3" s="1"/>
  <c r="R909" i="3"/>
  <c r="T909" i="3" s="1"/>
  <c r="U909" i="3" s="1"/>
  <c r="R910" i="3"/>
  <c r="T910" i="3" s="1"/>
  <c r="U910" i="3" s="1"/>
  <c r="R911" i="3"/>
  <c r="T911" i="3" s="1"/>
  <c r="U911" i="3" s="1"/>
  <c r="R912" i="3"/>
  <c r="T912" i="3" s="1"/>
  <c r="U912" i="3" s="1"/>
  <c r="R913" i="3"/>
  <c r="T913" i="3" s="1"/>
  <c r="U913" i="3" s="1"/>
  <c r="R914" i="3"/>
  <c r="T914" i="3" s="1"/>
  <c r="U914" i="3" s="1"/>
  <c r="R915" i="3"/>
  <c r="T915" i="3" s="1"/>
  <c r="U915" i="3" s="1"/>
  <c r="R916" i="3"/>
  <c r="T916" i="3" s="1"/>
  <c r="U916" i="3" s="1"/>
  <c r="R917" i="3"/>
  <c r="T917" i="3" s="1"/>
  <c r="U917" i="3" s="1"/>
  <c r="R918" i="3"/>
  <c r="T918" i="3" s="1"/>
  <c r="U918" i="3" s="1"/>
  <c r="R919" i="3"/>
  <c r="T919" i="3" s="1"/>
  <c r="U919" i="3" s="1"/>
  <c r="R920" i="3"/>
  <c r="T920" i="3" s="1"/>
  <c r="U920" i="3" s="1"/>
  <c r="R921" i="3"/>
  <c r="T921" i="3" s="1"/>
  <c r="U921" i="3" s="1"/>
  <c r="R922" i="3"/>
  <c r="T922" i="3" s="1"/>
  <c r="U922" i="3" s="1"/>
  <c r="R923" i="3"/>
  <c r="T923" i="3" s="1"/>
  <c r="U923" i="3" s="1"/>
  <c r="R924" i="3"/>
  <c r="T924" i="3" s="1"/>
  <c r="U924" i="3" s="1"/>
  <c r="R925" i="3"/>
  <c r="T925" i="3" s="1"/>
  <c r="U925" i="3" s="1"/>
  <c r="R926" i="3"/>
  <c r="T926" i="3" s="1"/>
  <c r="U926" i="3" s="1"/>
  <c r="R927" i="3"/>
  <c r="T927" i="3" s="1"/>
  <c r="U927" i="3" s="1"/>
  <c r="R928" i="3"/>
  <c r="T928" i="3" s="1"/>
  <c r="U928" i="3" s="1"/>
  <c r="R929" i="3"/>
  <c r="T929" i="3" s="1"/>
  <c r="U929" i="3" s="1"/>
  <c r="R930" i="3"/>
  <c r="T930" i="3" s="1"/>
  <c r="U930" i="3" s="1"/>
  <c r="R931" i="3"/>
  <c r="T931" i="3" s="1"/>
  <c r="U931" i="3" s="1"/>
  <c r="R932" i="3"/>
  <c r="T932" i="3" s="1"/>
  <c r="U932" i="3" s="1"/>
  <c r="R933" i="3"/>
  <c r="T933" i="3" s="1"/>
  <c r="U933" i="3" s="1"/>
  <c r="R934" i="3"/>
  <c r="T934" i="3" s="1"/>
  <c r="U934" i="3" s="1"/>
  <c r="R935" i="3"/>
  <c r="T935" i="3" s="1"/>
  <c r="U935" i="3" s="1"/>
  <c r="R936" i="3"/>
  <c r="T936" i="3" s="1"/>
  <c r="U936" i="3" s="1"/>
  <c r="R937" i="3"/>
  <c r="T937" i="3" s="1"/>
  <c r="U937" i="3" s="1"/>
  <c r="R938" i="3"/>
  <c r="T938" i="3" s="1"/>
  <c r="U938" i="3" s="1"/>
  <c r="R939" i="3"/>
  <c r="T939" i="3" s="1"/>
  <c r="U939" i="3" s="1"/>
  <c r="R940" i="3"/>
  <c r="T940" i="3" s="1"/>
  <c r="U940" i="3" s="1"/>
  <c r="R941" i="3"/>
  <c r="T941" i="3" s="1"/>
  <c r="U941" i="3" s="1"/>
  <c r="R942" i="3"/>
  <c r="T942" i="3" s="1"/>
  <c r="U942" i="3" s="1"/>
  <c r="R943" i="3"/>
  <c r="T943" i="3" s="1"/>
  <c r="U943" i="3" s="1"/>
  <c r="R944" i="3"/>
  <c r="T944" i="3" s="1"/>
  <c r="U944" i="3" s="1"/>
  <c r="R945" i="3"/>
  <c r="T945" i="3" s="1"/>
  <c r="U945" i="3" s="1"/>
  <c r="R946" i="3"/>
  <c r="T946" i="3" s="1"/>
  <c r="U946" i="3" s="1"/>
  <c r="R947" i="3"/>
  <c r="T947" i="3" s="1"/>
  <c r="U947" i="3" s="1"/>
  <c r="R948" i="3"/>
  <c r="T948" i="3" s="1"/>
  <c r="U948" i="3" s="1"/>
  <c r="R949" i="3"/>
  <c r="T949" i="3" s="1"/>
  <c r="U949" i="3" s="1"/>
  <c r="R950" i="3"/>
  <c r="T950" i="3" s="1"/>
  <c r="U950" i="3" s="1"/>
  <c r="R951" i="3"/>
  <c r="T951" i="3" s="1"/>
  <c r="U951" i="3" s="1"/>
  <c r="R952" i="3"/>
  <c r="T952" i="3" s="1"/>
  <c r="U952" i="3" s="1"/>
  <c r="R953" i="3"/>
  <c r="T953" i="3" s="1"/>
  <c r="U953" i="3" s="1"/>
  <c r="R954" i="3"/>
  <c r="T954" i="3" s="1"/>
  <c r="U954" i="3" s="1"/>
  <c r="R955" i="3"/>
  <c r="T955" i="3" s="1"/>
  <c r="U955" i="3" s="1"/>
  <c r="R956" i="3"/>
  <c r="T956" i="3" s="1"/>
  <c r="U956" i="3" s="1"/>
  <c r="R957" i="3"/>
  <c r="T957" i="3" s="1"/>
  <c r="U957" i="3" s="1"/>
  <c r="R958" i="3"/>
  <c r="T958" i="3" s="1"/>
  <c r="U958" i="3" s="1"/>
  <c r="R959" i="3"/>
  <c r="T959" i="3" s="1"/>
  <c r="U959" i="3" s="1"/>
  <c r="R960" i="3"/>
  <c r="T960" i="3" s="1"/>
  <c r="U960" i="3" s="1"/>
  <c r="R961" i="3"/>
  <c r="T961" i="3" s="1"/>
  <c r="U961" i="3" s="1"/>
  <c r="R962" i="3"/>
  <c r="T962" i="3" s="1"/>
  <c r="U962" i="3" s="1"/>
  <c r="R963" i="3"/>
  <c r="T963" i="3" s="1"/>
  <c r="U963" i="3" s="1"/>
  <c r="R964" i="3"/>
  <c r="T964" i="3" s="1"/>
  <c r="U964" i="3" s="1"/>
  <c r="R965" i="3"/>
  <c r="T965" i="3" s="1"/>
  <c r="U965" i="3" s="1"/>
  <c r="R966" i="3"/>
  <c r="T966" i="3" s="1"/>
  <c r="U966" i="3" s="1"/>
  <c r="R967" i="3"/>
  <c r="T967" i="3" s="1"/>
  <c r="U967" i="3" s="1"/>
  <c r="R968" i="3"/>
  <c r="T968" i="3" s="1"/>
  <c r="U968" i="3" s="1"/>
  <c r="R969" i="3"/>
  <c r="T969" i="3" s="1"/>
  <c r="U969" i="3" s="1"/>
  <c r="R970" i="3"/>
  <c r="T970" i="3" s="1"/>
  <c r="U970" i="3" s="1"/>
  <c r="R971" i="3"/>
  <c r="T971" i="3" s="1"/>
  <c r="U971" i="3" s="1"/>
  <c r="R972" i="3"/>
  <c r="T972" i="3" s="1"/>
  <c r="U972" i="3" s="1"/>
  <c r="R973" i="3"/>
  <c r="T973" i="3" s="1"/>
  <c r="U973" i="3" s="1"/>
  <c r="R974" i="3"/>
  <c r="T974" i="3" s="1"/>
  <c r="U974" i="3" s="1"/>
  <c r="R975" i="3"/>
  <c r="T975" i="3" s="1"/>
  <c r="U975" i="3" s="1"/>
  <c r="R976" i="3"/>
  <c r="T976" i="3" s="1"/>
  <c r="U976" i="3" s="1"/>
  <c r="R977" i="3"/>
  <c r="T977" i="3" s="1"/>
  <c r="U977" i="3" s="1"/>
  <c r="R978" i="3"/>
  <c r="T978" i="3" s="1"/>
  <c r="U978" i="3" s="1"/>
  <c r="R979" i="3"/>
  <c r="T979" i="3" s="1"/>
  <c r="U979" i="3" s="1"/>
  <c r="R980" i="3"/>
  <c r="T980" i="3" s="1"/>
  <c r="U980" i="3" s="1"/>
  <c r="R981" i="3"/>
  <c r="T981" i="3" s="1"/>
  <c r="U981" i="3" s="1"/>
  <c r="R982" i="3"/>
  <c r="T982" i="3" s="1"/>
  <c r="U982" i="3" s="1"/>
  <c r="R983" i="3"/>
  <c r="T983" i="3" s="1"/>
  <c r="U983" i="3" s="1"/>
  <c r="R984" i="3"/>
  <c r="T984" i="3" s="1"/>
  <c r="U984" i="3" s="1"/>
  <c r="R985" i="3"/>
  <c r="T985" i="3" s="1"/>
  <c r="U985" i="3" s="1"/>
  <c r="R986" i="3"/>
  <c r="T986" i="3" s="1"/>
  <c r="U986" i="3" s="1"/>
  <c r="R987" i="3"/>
  <c r="T987" i="3" s="1"/>
  <c r="U987" i="3" s="1"/>
  <c r="R988" i="3"/>
  <c r="T988" i="3" s="1"/>
  <c r="U988" i="3" s="1"/>
  <c r="R989" i="3"/>
  <c r="T989" i="3" s="1"/>
  <c r="U989" i="3" s="1"/>
  <c r="R990" i="3"/>
  <c r="T990" i="3" s="1"/>
  <c r="U990" i="3" s="1"/>
  <c r="R991" i="3"/>
  <c r="T991" i="3" s="1"/>
  <c r="U991" i="3" s="1"/>
  <c r="R992" i="3"/>
  <c r="T992" i="3" s="1"/>
  <c r="U992" i="3" s="1"/>
  <c r="R993" i="3"/>
  <c r="T993" i="3" s="1"/>
  <c r="U993" i="3" s="1"/>
  <c r="R994" i="3"/>
  <c r="T994" i="3" s="1"/>
  <c r="U994" i="3" s="1"/>
  <c r="R995" i="3"/>
  <c r="T995" i="3" s="1"/>
  <c r="U995" i="3" s="1"/>
  <c r="R996" i="3"/>
  <c r="T996" i="3" s="1"/>
  <c r="U996" i="3" s="1"/>
  <c r="R997" i="3"/>
  <c r="T997" i="3" s="1"/>
  <c r="U997" i="3" s="1"/>
  <c r="R998" i="3"/>
  <c r="T998" i="3" s="1"/>
  <c r="U998" i="3" s="1"/>
  <c r="R999" i="3"/>
  <c r="T999" i="3" s="1"/>
  <c r="U999" i="3" s="1"/>
  <c r="R1000" i="3"/>
  <c r="T1000" i="3" s="1"/>
  <c r="U1000" i="3" s="1"/>
  <c r="R1001" i="3"/>
  <c r="T1001" i="3" s="1"/>
  <c r="U1001" i="3" s="1"/>
  <c r="R1002" i="3"/>
  <c r="T1002" i="3" s="1"/>
  <c r="U1002" i="3" s="1"/>
  <c r="R1003" i="3"/>
  <c r="T1003" i="3" s="1"/>
  <c r="U1003" i="3" s="1"/>
  <c r="R1004" i="3"/>
  <c r="T1004" i="3" s="1"/>
  <c r="U1004" i="3" s="1"/>
  <c r="R1005" i="3"/>
  <c r="T1005" i="3" s="1"/>
  <c r="U1005" i="3" s="1"/>
  <c r="R1006" i="3"/>
  <c r="T1006" i="3" s="1"/>
  <c r="U1006" i="3" s="1"/>
  <c r="R1007" i="3"/>
  <c r="T1007" i="3" s="1"/>
  <c r="U1007" i="3" s="1"/>
  <c r="R1008" i="3"/>
  <c r="T1008" i="3" s="1"/>
  <c r="U1008" i="3" s="1"/>
  <c r="R1009" i="3"/>
  <c r="T1009" i="3" s="1"/>
  <c r="U1009" i="3" s="1"/>
  <c r="R1010" i="3"/>
  <c r="T1010" i="3" s="1"/>
  <c r="U1010" i="3" s="1"/>
  <c r="R1011" i="3"/>
  <c r="T1011" i="3" s="1"/>
  <c r="U1011" i="3" s="1"/>
  <c r="R1012" i="3"/>
  <c r="T1012" i="3" s="1"/>
  <c r="U1012" i="3" s="1"/>
  <c r="R1013" i="3"/>
  <c r="T1013" i="3" s="1"/>
  <c r="U1013" i="3" s="1"/>
  <c r="R1014" i="3"/>
  <c r="T1014" i="3" s="1"/>
  <c r="U1014" i="3" s="1"/>
  <c r="R1015" i="3"/>
  <c r="T1015" i="3" s="1"/>
  <c r="U1015" i="3" s="1"/>
  <c r="R1016" i="3"/>
  <c r="T1016" i="3" s="1"/>
  <c r="U1016" i="3" s="1"/>
  <c r="R1017" i="3"/>
  <c r="T1017" i="3" s="1"/>
  <c r="U1017" i="3" s="1"/>
  <c r="R1018" i="3"/>
  <c r="T1018" i="3" s="1"/>
  <c r="U1018" i="3" s="1"/>
  <c r="R1019" i="3"/>
  <c r="T1019" i="3" s="1"/>
  <c r="U1019" i="3" s="1"/>
  <c r="R1020" i="3"/>
  <c r="T1020" i="3" s="1"/>
  <c r="U1020" i="3" s="1"/>
  <c r="R1021" i="3"/>
  <c r="T1021" i="3" s="1"/>
  <c r="U1021" i="3" s="1"/>
  <c r="R1022" i="3"/>
  <c r="T1022" i="3" s="1"/>
  <c r="U1022" i="3" s="1"/>
  <c r="R1023" i="3"/>
  <c r="T1023" i="3" s="1"/>
  <c r="U1023" i="3" s="1"/>
  <c r="R1024" i="3"/>
  <c r="T1024" i="3" s="1"/>
  <c r="U1024" i="3" s="1"/>
  <c r="R1025" i="3"/>
  <c r="T1025" i="3" s="1"/>
  <c r="U1025" i="3" s="1"/>
  <c r="R1026" i="3"/>
  <c r="T1026" i="3" s="1"/>
  <c r="U1026" i="3" s="1"/>
  <c r="R1027" i="3"/>
  <c r="T1027" i="3" s="1"/>
  <c r="U1027" i="3" s="1"/>
  <c r="R1028" i="3"/>
  <c r="T1028" i="3" s="1"/>
  <c r="U1028" i="3" s="1"/>
  <c r="R1029" i="3"/>
  <c r="T1029" i="3" s="1"/>
  <c r="U1029" i="3" s="1"/>
  <c r="R1030" i="3"/>
  <c r="T1030" i="3" s="1"/>
  <c r="U1030" i="3" s="1"/>
  <c r="R1031" i="3"/>
  <c r="T1031" i="3" s="1"/>
  <c r="U1031" i="3" s="1"/>
  <c r="R1032" i="3"/>
  <c r="T1032" i="3" s="1"/>
  <c r="U1032" i="3" s="1"/>
  <c r="R1033" i="3"/>
  <c r="T1033" i="3" s="1"/>
  <c r="U1033" i="3" s="1"/>
  <c r="R1034" i="3"/>
  <c r="T1034" i="3" s="1"/>
  <c r="U1034" i="3" s="1"/>
  <c r="R1035" i="3"/>
  <c r="T1035" i="3" s="1"/>
  <c r="U1035" i="3" s="1"/>
  <c r="R1036" i="3"/>
  <c r="T1036" i="3" s="1"/>
  <c r="U1036" i="3" s="1"/>
  <c r="R1037" i="3"/>
  <c r="T1037" i="3" s="1"/>
  <c r="U1037" i="3" s="1"/>
  <c r="R1038" i="3"/>
  <c r="T1038" i="3" s="1"/>
  <c r="U1038" i="3" s="1"/>
  <c r="R1039" i="3"/>
  <c r="T1039" i="3" s="1"/>
  <c r="U1039" i="3" s="1"/>
  <c r="R1040" i="3"/>
  <c r="T1040" i="3" s="1"/>
  <c r="U1040" i="3" s="1"/>
  <c r="R1041" i="3"/>
  <c r="T1041" i="3" s="1"/>
  <c r="U1041" i="3" s="1"/>
  <c r="R1042" i="3"/>
  <c r="T1042" i="3" s="1"/>
  <c r="U1042" i="3" s="1"/>
  <c r="R1043" i="3"/>
  <c r="T1043" i="3" s="1"/>
  <c r="U1043" i="3" s="1"/>
  <c r="R1044" i="3"/>
  <c r="T1044" i="3" s="1"/>
  <c r="U1044" i="3" s="1"/>
  <c r="R1045" i="3"/>
  <c r="T1045" i="3" s="1"/>
  <c r="U1045" i="3" s="1"/>
  <c r="R1046" i="3"/>
  <c r="T1046" i="3" s="1"/>
  <c r="U1046" i="3" s="1"/>
  <c r="R1047" i="3"/>
  <c r="T1047" i="3" s="1"/>
  <c r="U1047" i="3" s="1"/>
  <c r="R1048" i="3"/>
  <c r="T1048" i="3" s="1"/>
  <c r="U1048" i="3" s="1"/>
  <c r="R1049" i="3"/>
  <c r="T1049" i="3" s="1"/>
  <c r="U1049" i="3" s="1"/>
  <c r="R1050" i="3"/>
  <c r="T1050" i="3" s="1"/>
  <c r="U1050" i="3" s="1"/>
  <c r="R1051" i="3"/>
  <c r="T1051" i="3" s="1"/>
  <c r="U1051" i="3" s="1"/>
  <c r="R1052" i="3"/>
  <c r="T1052" i="3" s="1"/>
  <c r="U1052" i="3" s="1"/>
  <c r="R1053" i="3"/>
  <c r="T1053" i="3" s="1"/>
  <c r="U1053" i="3" s="1"/>
  <c r="R1054" i="3"/>
  <c r="T1054" i="3" s="1"/>
  <c r="U1054" i="3" s="1"/>
  <c r="R1055" i="3"/>
  <c r="T1055" i="3" s="1"/>
  <c r="U1055" i="3" s="1"/>
  <c r="R1056" i="3"/>
  <c r="T1056" i="3" s="1"/>
  <c r="U1056" i="3" s="1"/>
  <c r="R1057" i="3"/>
  <c r="T1057" i="3" s="1"/>
  <c r="U1057" i="3" s="1"/>
  <c r="R1058" i="3"/>
  <c r="T1058" i="3" s="1"/>
  <c r="U1058" i="3" s="1"/>
  <c r="R1059" i="3"/>
  <c r="T1059" i="3" s="1"/>
  <c r="U1059" i="3" s="1"/>
  <c r="R1060" i="3"/>
  <c r="T1060" i="3" s="1"/>
  <c r="U1060" i="3" s="1"/>
  <c r="R1061" i="3"/>
  <c r="T1061" i="3" s="1"/>
  <c r="U1061" i="3" s="1"/>
  <c r="R1062" i="3"/>
  <c r="T1062" i="3" s="1"/>
  <c r="U1062" i="3" s="1"/>
  <c r="R1063" i="3"/>
  <c r="T1063" i="3" s="1"/>
  <c r="U1063" i="3" s="1"/>
  <c r="R1064" i="3"/>
  <c r="T1064" i="3" s="1"/>
  <c r="U1064" i="3" s="1"/>
  <c r="R1065" i="3"/>
  <c r="T1065" i="3" s="1"/>
  <c r="U1065" i="3" s="1"/>
  <c r="R1066" i="3"/>
  <c r="T1066" i="3" s="1"/>
  <c r="U1066" i="3" s="1"/>
  <c r="R1067" i="3"/>
  <c r="T1067" i="3" s="1"/>
  <c r="U1067" i="3" s="1"/>
  <c r="R1068" i="3"/>
  <c r="T1068" i="3" s="1"/>
  <c r="U1068" i="3" s="1"/>
  <c r="R1069" i="3"/>
  <c r="T1069" i="3" s="1"/>
  <c r="U1069" i="3" s="1"/>
  <c r="R1070" i="3"/>
  <c r="T1070" i="3" s="1"/>
  <c r="U1070" i="3" s="1"/>
  <c r="R1071" i="3"/>
  <c r="T1071" i="3" s="1"/>
  <c r="U1071" i="3" s="1"/>
  <c r="R1072" i="3"/>
  <c r="T1072" i="3" s="1"/>
  <c r="U1072" i="3" s="1"/>
  <c r="R1073" i="3"/>
  <c r="T1073" i="3" s="1"/>
  <c r="U1073" i="3" s="1"/>
  <c r="R1074" i="3"/>
  <c r="T1074" i="3" s="1"/>
  <c r="U1074" i="3" s="1"/>
  <c r="R1075" i="3"/>
  <c r="T1075" i="3" s="1"/>
  <c r="U1075" i="3" s="1"/>
  <c r="R1076" i="3"/>
  <c r="T1076" i="3" s="1"/>
  <c r="U1076" i="3" s="1"/>
  <c r="R1077" i="3"/>
  <c r="T1077" i="3" s="1"/>
  <c r="U1077" i="3" s="1"/>
  <c r="R1078" i="3"/>
  <c r="T1078" i="3" s="1"/>
  <c r="U1078" i="3" s="1"/>
  <c r="R1079" i="3"/>
  <c r="T1079" i="3" s="1"/>
  <c r="U1079" i="3" s="1"/>
  <c r="R1080" i="3"/>
  <c r="T1080" i="3" s="1"/>
  <c r="U1080" i="3" s="1"/>
  <c r="R1081" i="3"/>
  <c r="T1081" i="3" s="1"/>
  <c r="U1081" i="3" s="1"/>
  <c r="R1082" i="3"/>
  <c r="T1082" i="3" s="1"/>
  <c r="U1082" i="3" s="1"/>
  <c r="R1083" i="3"/>
  <c r="T1083" i="3" s="1"/>
  <c r="U1083" i="3" s="1"/>
  <c r="R1084" i="3"/>
  <c r="T1084" i="3" s="1"/>
  <c r="U1084" i="3" s="1"/>
  <c r="R1085" i="3"/>
  <c r="T1085" i="3" s="1"/>
  <c r="U1085" i="3" s="1"/>
  <c r="R1086" i="3"/>
  <c r="T1086" i="3" s="1"/>
  <c r="U1086" i="3" s="1"/>
  <c r="R1087" i="3"/>
  <c r="T1087" i="3" s="1"/>
  <c r="U1087" i="3" s="1"/>
  <c r="R1088" i="3"/>
  <c r="T1088" i="3" s="1"/>
  <c r="U1088" i="3" s="1"/>
  <c r="R1089" i="3"/>
  <c r="T1089" i="3" s="1"/>
  <c r="U1089" i="3" s="1"/>
  <c r="R1090" i="3"/>
  <c r="T1090" i="3" s="1"/>
  <c r="U1090" i="3" s="1"/>
  <c r="R1091" i="3"/>
  <c r="T1091" i="3" s="1"/>
  <c r="U1091" i="3" s="1"/>
  <c r="R1092" i="3"/>
  <c r="T1092" i="3" s="1"/>
  <c r="U1092" i="3" s="1"/>
  <c r="R1093" i="3"/>
  <c r="T1093" i="3" s="1"/>
  <c r="U1093" i="3" s="1"/>
  <c r="R1094" i="3"/>
  <c r="T1094" i="3" s="1"/>
  <c r="U1094" i="3" s="1"/>
  <c r="R1095" i="3"/>
  <c r="T1095" i="3" s="1"/>
  <c r="U1095" i="3" s="1"/>
  <c r="R1096" i="3"/>
  <c r="T1096" i="3" s="1"/>
  <c r="U1096" i="3" s="1"/>
  <c r="R1097" i="3"/>
  <c r="T1097" i="3" s="1"/>
  <c r="U1097" i="3" s="1"/>
  <c r="R1098" i="3"/>
  <c r="T1098" i="3" s="1"/>
  <c r="U1098" i="3" s="1"/>
  <c r="R1099" i="3"/>
  <c r="T1099" i="3" s="1"/>
  <c r="U1099" i="3" s="1"/>
  <c r="R1100" i="3"/>
  <c r="T1100" i="3" s="1"/>
  <c r="U1100" i="3" s="1"/>
  <c r="R1101" i="3"/>
  <c r="T1101" i="3" s="1"/>
  <c r="U1101" i="3" s="1"/>
  <c r="R1102" i="3"/>
  <c r="T1102" i="3" s="1"/>
  <c r="U1102" i="3" s="1"/>
  <c r="R1103" i="3"/>
  <c r="T1103" i="3" s="1"/>
  <c r="U1103" i="3" s="1"/>
  <c r="R1104" i="3"/>
  <c r="T1104" i="3" s="1"/>
  <c r="U1104" i="3" s="1"/>
  <c r="R1105" i="3"/>
  <c r="T1105" i="3" s="1"/>
  <c r="U1105" i="3" s="1"/>
  <c r="R1106" i="3"/>
  <c r="T1106" i="3" s="1"/>
  <c r="U1106" i="3" s="1"/>
  <c r="R1107" i="3"/>
  <c r="T1107" i="3" s="1"/>
  <c r="U1107" i="3" s="1"/>
  <c r="R1108" i="3"/>
  <c r="T1108" i="3" s="1"/>
  <c r="U1108" i="3" s="1"/>
  <c r="R1109" i="3"/>
  <c r="T1109" i="3" s="1"/>
  <c r="U1109" i="3" s="1"/>
  <c r="R1110" i="3"/>
  <c r="T1110" i="3" s="1"/>
  <c r="U1110" i="3" s="1"/>
  <c r="R1111" i="3"/>
  <c r="T1111" i="3" s="1"/>
  <c r="U1111" i="3" s="1"/>
  <c r="R1112" i="3"/>
  <c r="T1112" i="3" s="1"/>
  <c r="U1112" i="3" s="1"/>
  <c r="R1113" i="3"/>
  <c r="T1113" i="3" s="1"/>
  <c r="U1113" i="3" s="1"/>
  <c r="R1114" i="3"/>
  <c r="T1114" i="3" s="1"/>
  <c r="U1114" i="3" s="1"/>
  <c r="R1115" i="3"/>
  <c r="T1115" i="3" s="1"/>
  <c r="U1115" i="3" s="1"/>
  <c r="R1116" i="3"/>
  <c r="T1116" i="3" s="1"/>
  <c r="U1116" i="3" s="1"/>
  <c r="R1117" i="3"/>
  <c r="T1117" i="3" s="1"/>
  <c r="U1117" i="3" s="1"/>
  <c r="R1118" i="3"/>
  <c r="T1118" i="3" s="1"/>
  <c r="U1118" i="3" s="1"/>
  <c r="R1119" i="3"/>
  <c r="T1119" i="3" s="1"/>
  <c r="U1119" i="3" s="1"/>
  <c r="R1120" i="3"/>
  <c r="T1120" i="3" s="1"/>
  <c r="U1120" i="3" s="1"/>
  <c r="R1121" i="3"/>
  <c r="T1121" i="3" s="1"/>
  <c r="U1121" i="3" s="1"/>
  <c r="R1122" i="3"/>
  <c r="T1122" i="3" s="1"/>
  <c r="U1122" i="3" s="1"/>
  <c r="R1123" i="3"/>
  <c r="T1123" i="3" s="1"/>
  <c r="U1123" i="3" s="1"/>
  <c r="R1124" i="3"/>
  <c r="T1124" i="3" s="1"/>
  <c r="U1124" i="3" s="1"/>
  <c r="R1125" i="3"/>
  <c r="T1125" i="3" s="1"/>
  <c r="U1125" i="3" s="1"/>
  <c r="R1126" i="3"/>
  <c r="T1126" i="3" s="1"/>
  <c r="U1126" i="3" s="1"/>
  <c r="R1127" i="3"/>
  <c r="T1127" i="3" s="1"/>
  <c r="U1127" i="3" s="1"/>
  <c r="R1128" i="3"/>
  <c r="T1128" i="3" s="1"/>
  <c r="U1128" i="3" s="1"/>
  <c r="R1129" i="3"/>
  <c r="T1129" i="3" s="1"/>
  <c r="U1129" i="3" s="1"/>
  <c r="R1130" i="3"/>
  <c r="T1130" i="3" s="1"/>
  <c r="U1130" i="3" s="1"/>
  <c r="R1131" i="3"/>
  <c r="T1131" i="3" s="1"/>
  <c r="U1131" i="3" s="1"/>
  <c r="R1132" i="3"/>
  <c r="T1132" i="3" s="1"/>
  <c r="U1132" i="3" s="1"/>
  <c r="R1133" i="3"/>
  <c r="T1133" i="3" s="1"/>
  <c r="U1133" i="3" s="1"/>
  <c r="R1134" i="3"/>
  <c r="T1134" i="3" s="1"/>
  <c r="U1134" i="3" s="1"/>
  <c r="R1135" i="3"/>
  <c r="T1135" i="3" s="1"/>
  <c r="U1135" i="3" s="1"/>
  <c r="R1136" i="3"/>
  <c r="T1136" i="3" s="1"/>
  <c r="U1136" i="3" s="1"/>
  <c r="R1137" i="3"/>
  <c r="T1137" i="3" s="1"/>
  <c r="U1137" i="3" s="1"/>
  <c r="R1138" i="3"/>
  <c r="T1138" i="3" s="1"/>
  <c r="U1138" i="3" s="1"/>
  <c r="R1139" i="3"/>
  <c r="T1139" i="3" s="1"/>
  <c r="U1139" i="3" s="1"/>
  <c r="R1140" i="3"/>
  <c r="T1140" i="3" s="1"/>
  <c r="U1140" i="3" s="1"/>
  <c r="R1141" i="3"/>
  <c r="T1141" i="3" s="1"/>
  <c r="U1141" i="3" s="1"/>
  <c r="R1142" i="3"/>
  <c r="T1142" i="3" s="1"/>
  <c r="U1142" i="3" s="1"/>
  <c r="R1143" i="3"/>
  <c r="T1143" i="3" s="1"/>
  <c r="U1143" i="3" s="1"/>
  <c r="R1144" i="3"/>
  <c r="T1144" i="3" s="1"/>
  <c r="U1144" i="3" s="1"/>
  <c r="R1145" i="3"/>
  <c r="T1145" i="3" s="1"/>
  <c r="U1145" i="3" s="1"/>
  <c r="R1146" i="3"/>
  <c r="T1146" i="3" s="1"/>
  <c r="U1146" i="3" s="1"/>
  <c r="R1147" i="3"/>
  <c r="T1147" i="3" s="1"/>
  <c r="U1147" i="3" s="1"/>
  <c r="R1148" i="3"/>
  <c r="T1148" i="3" s="1"/>
  <c r="U1148" i="3" s="1"/>
  <c r="R1149" i="3"/>
  <c r="T1149" i="3" s="1"/>
  <c r="U1149" i="3" s="1"/>
  <c r="R1150" i="3"/>
  <c r="T1150" i="3" s="1"/>
  <c r="U1150" i="3" s="1"/>
  <c r="R1151" i="3"/>
  <c r="T1151" i="3" s="1"/>
  <c r="U1151" i="3" s="1"/>
  <c r="R1152" i="3"/>
  <c r="T1152" i="3" s="1"/>
  <c r="U1152" i="3" s="1"/>
  <c r="R1153" i="3"/>
  <c r="T1153" i="3" s="1"/>
  <c r="U1153" i="3" s="1"/>
  <c r="R1154" i="3"/>
  <c r="T1154" i="3" s="1"/>
  <c r="U1154" i="3" s="1"/>
  <c r="R1155" i="3"/>
  <c r="T1155" i="3" s="1"/>
  <c r="U1155" i="3" s="1"/>
  <c r="R1156" i="3"/>
  <c r="T1156" i="3" s="1"/>
  <c r="U1156" i="3" s="1"/>
  <c r="R1157" i="3"/>
  <c r="T1157" i="3" s="1"/>
  <c r="U1157" i="3" s="1"/>
  <c r="R1158" i="3"/>
  <c r="T1158" i="3" s="1"/>
  <c r="U1158" i="3" s="1"/>
  <c r="R1159" i="3"/>
  <c r="T1159" i="3" s="1"/>
  <c r="U1159" i="3" s="1"/>
  <c r="R1160" i="3"/>
  <c r="T1160" i="3" s="1"/>
  <c r="U1160" i="3" s="1"/>
  <c r="R1161" i="3"/>
  <c r="T1161" i="3" s="1"/>
  <c r="U1161" i="3" s="1"/>
  <c r="R1162" i="3"/>
  <c r="T1162" i="3" s="1"/>
  <c r="U1162" i="3" s="1"/>
  <c r="R1163" i="3"/>
  <c r="T1163" i="3" s="1"/>
  <c r="U1163" i="3" s="1"/>
  <c r="R1164" i="3"/>
  <c r="T1164" i="3" s="1"/>
  <c r="U1164" i="3" s="1"/>
  <c r="R1165" i="3"/>
  <c r="T1165" i="3" s="1"/>
  <c r="U1165" i="3" s="1"/>
  <c r="R1166" i="3"/>
  <c r="T1166" i="3" s="1"/>
  <c r="U1166" i="3" s="1"/>
  <c r="R1167" i="3"/>
  <c r="T1167" i="3" s="1"/>
  <c r="U1167" i="3" s="1"/>
  <c r="R1168" i="3"/>
  <c r="T1168" i="3" s="1"/>
  <c r="U1168" i="3" s="1"/>
  <c r="R1169" i="3"/>
  <c r="T1169" i="3" s="1"/>
  <c r="U1169" i="3" s="1"/>
  <c r="R1170" i="3"/>
  <c r="T1170" i="3" s="1"/>
  <c r="U1170" i="3" s="1"/>
  <c r="R1171" i="3"/>
  <c r="T1171" i="3" s="1"/>
  <c r="U1171" i="3" s="1"/>
  <c r="R1172" i="3"/>
  <c r="T1172" i="3" s="1"/>
  <c r="U1172" i="3" s="1"/>
  <c r="R1173" i="3"/>
  <c r="T1173" i="3" s="1"/>
  <c r="U1173" i="3" s="1"/>
  <c r="R1174" i="3"/>
  <c r="T1174" i="3" s="1"/>
  <c r="U1174" i="3" s="1"/>
  <c r="R1175" i="3"/>
  <c r="T1175" i="3" s="1"/>
  <c r="U1175" i="3" s="1"/>
  <c r="R1176" i="3"/>
  <c r="T1176" i="3" s="1"/>
  <c r="U1176" i="3" s="1"/>
  <c r="R1177" i="3"/>
  <c r="T1177" i="3" s="1"/>
  <c r="U1177" i="3" s="1"/>
  <c r="R1178" i="3"/>
  <c r="T1178" i="3" s="1"/>
  <c r="U1178" i="3" s="1"/>
  <c r="R1179" i="3"/>
  <c r="T1179" i="3" s="1"/>
  <c r="U1179" i="3" s="1"/>
  <c r="R1180" i="3"/>
  <c r="T1180" i="3" s="1"/>
  <c r="U1180" i="3" s="1"/>
  <c r="R1181" i="3"/>
  <c r="T1181" i="3" s="1"/>
  <c r="U1181" i="3" s="1"/>
  <c r="R1182" i="3"/>
  <c r="T1182" i="3" s="1"/>
  <c r="U1182" i="3" s="1"/>
  <c r="R1183" i="3"/>
  <c r="T1183" i="3" s="1"/>
  <c r="U1183" i="3" s="1"/>
  <c r="R1184" i="3"/>
  <c r="T1184" i="3" s="1"/>
  <c r="U1184" i="3" s="1"/>
  <c r="R1185" i="3"/>
  <c r="T1185" i="3" s="1"/>
  <c r="U1185" i="3" s="1"/>
  <c r="R1186" i="3"/>
  <c r="T1186" i="3" s="1"/>
  <c r="U1186" i="3" s="1"/>
  <c r="R1187" i="3"/>
  <c r="T1187" i="3" s="1"/>
  <c r="U1187" i="3" s="1"/>
  <c r="R1188" i="3"/>
  <c r="T1188" i="3" s="1"/>
  <c r="U1188" i="3" s="1"/>
  <c r="R1189" i="3"/>
  <c r="T1189" i="3" s="1"/>
  <c r="U1189" i="3" s="1"/>
  <c r="R1190" i="3"/>
  <c r="T1190" i="3" s="1"/>
  <c r="U1190" i="3" s="1"/>
  <c r="R1191" i="3"/>
  <c r="T1191" i="3" s="1"/>
  <c r="U1191" i="3" s="1"/>
  <c r="R1192" i="3"/>
  <c r="T1192" i="3" s="1"/>
  <c r="U1192" i="3" s="1"/>
  <c r="R1193" i="3"/>
  <c r="T1193" i="3" s="1"/>
  <c r="U1193" i="3" s="1"/>
  <c r="R1194" i="3"/>
  <c r="T1194" i="3" s="1"/>
  <c r="U1194" i="3" s="1"/>
  <c r="R1195" i="3"/>
  <c r="T1195" i="3" s="1"/>
  <c r="U1195" i="3" s="1"/>
  <c r="R1196" i="3"/>
  <c r="T1196" i="3" s="1"/>
  <c r="U1196" i="3" s="1"/>
  <c r="R1197" i="3"/>
  <c r="T1197" i="3" s="1"/>
  <c r="U1197" i="3" s="1"/>
  <c r="R1198" i="3"/>
  <c r="T1198" i="3" s="1"/>
  <c r="U1198" i="3" s="1"/>
  <c r="R1199" i="3"/>
  <c r="T1199" i="3" s="1"/>
  <c r="U1199" i="3" s="1"/>
  <c r="R1200" i="3"/>
  <c r="T1200" i="3" s="1"/>
  <c r="U1200" i="3" s="1"/>
  <c r="R1201" i="3"/>
  <c r="T1201" i="3" s="1"/>
  <c r="U1201" i="3" s="1"/>
  <c r="R1202" i="3"/>
  <c r="T1202" i="3" s="1"/>
  <c r="U1202" i="3" s="1"/>
  <c r="R1203" i="3"/>
  <c r="T1203" i="3" s="1"/>
  <c r="U1203" i="3" s="1"/>
  <c r="R1204" i="3"/>
  <c r="T1204" i="3" s="1"/>
  <c r="U1204" i="3" s="1"/>
  <c r="R1205" i="3"/>
  <c r="T1205" i="3" s="1"/>
  <c r="U1205" i="3" s="1"/>
  <c r="R1206" i="3"/>
  <c r="T1206" i="3" s="1"/>
  <c r="U1206" i="3" s="1"/>
  <c r="R1207" i="3"/>
  <c r="T1207" i="3" s="1"/>
  <c r="U1207" i="3" s="1"/>
  <c r="R1208" i="3"/>
  <c r="T1208" i="3" s="1"/>
  <c r="U1208" i="3" s="1"/>
  <c r="R1209" i="3"/>
  <c r="T1209" i="3" s="1"/>
  <c r="U1209" i="3" s="1"/>
  <c r="R1210" i="3"/>
  <c r="T1210" i="3" s="1"/>
  <c r="U1210" i="3" s="1"/>
  <c r="R1211" i="3"/>
  <c r="T1211" i="3" s="1"/>
  <c r="U1211" i="3" s="1"/>
  <c r="R1212" i="3"/>
  <c r="T1212" i="3" s="1"/>
  <c r="U1212" i="3" s="1"/>
  <c r="R1213" i="3"/>
  <c r="T1213" i="3" s="1"/>
  <c r="U1213" i="3" s="1"/>
  <c r="R1214" i="3"/>
  <c r="T1214" i="3" s="1"/>
  <c r="U1214" i="3" s="1"/>
  <c r="R1215" i="3"/>
  <c r="T1215" i="3" s="1"/>
  <c r="U1215" i="3" s="1"/>
  <c r="R1216" i="3"/>
  <c r="T1216" i="3" s="1"/>
  <c r="U1216" i="3" s="1"/>
  <c r="R1217" i="3"/>
  <c r="T1217" i="3" s="1"/>
  <c r="U1217" i="3" s="1"/>
  <c r="R1218" i="3"/>
  <c r="T1218" i="3" s="1"/>
  <c r="U1218" i="3" s="1"/>
  <c r="R1219" i="3"/>
  <c r="T1219" i="3" s="1"/>
  <c r="U1219" i="3" s="1"/>
  <c r="R1220" i="3"/>
  <c r="T1220" i="3" s="1"/>
  <c r="U1220" i="3" s="1"/>
  <c r="R1221" i="3"/>
  <c r="T1221" i="3" s="1"/>
  <c r="U1221" i="3" s="1"/>
  <c r="R1222" i="3"/>
  <c r="T1222" i="3" s="1"/>
  <c r="U1222" i="3" s="1"/>
  <c r="R1223" i="3"/>
  <c r="T1223" i="3" s="1"/>
  <c r="U1223" i="3" s="1"/>
  <c r="R1224" i="3"/>
  <c r="T1224" i="3" s="1"/>
  <c r="U1224" i="3" s="1"/>
  <c r="R1225" i="3"/>
  <c r="T1225" i="3" s="1"/>
  <c r="U1225" i="3" s="1"/>
  <c r="R1226" i="3"/>
  <c r="T1226" i="3" s="1"/>
  <c r="U1226" i="3" s="1"/>
  <c r="R1227" i="3"/>
  <c r="T1227" i="3" s="1"/>
  <c r="U1227" i="3" s="1"/>
  <c r="R1228" i="3"/>
  <c r="T1228" i="3" s="1"/>
  <c r="U1228" i="3" s="1"/>
  <c r="R1229" i="3"/>
  <c r="T1229" i="3" s="1"/>
  <c r="U1229" i="3" s="1"/>
  <c r="R1230" i="3"/>
  <c r="T1230" i="3" s="1"/>
  <c r="U1230" i="3" s="1"/>
  <c r="R1231" i="3"/>
  <c r="T1231" i="3" s="1"/>
  <c r="U1231" i="3" s="1"/>
  <c r="R1232" i="3"/>
  <c r="T1232" i="3" s="1"/>
  <c r="U1232" i="3" s="1"/>
  <c r="R1233" i="3"/>
  <c r="T1233" i="3" s="1"/>
  <c r="U1233" i="3" s="1"/>
  <c r="R1234" i="3"/>
  <c r="T1234" i="3" s="1"/>
  <c r="U1234" i="3" s="1"/>
  <c r="R1235" i="3"/>
  <c r="T1235" i="3" s="1"/>
  <c r="U1235" i="3" s="1"/>
  <c r="R1236" i="3"/>
  <c r="T1236" i="3" s="1"/>
  <c r="U1236" i="3" s="1"/>
  <c r="R1237" i="3"/>
  <c r="T1237" i="3" s="1"/>
  <c r="U1237" i="3" s="1"/>
  <c r="R1238" i="3"/>
  <c r="T1238" i="3" s="1"/>
  <c r="U1238" i="3" s="1"/>
  <c r="R1239" i="3"/>
  <c r="T1239" i="3" s="1"/>
  <c r="U1239" i="3" s="1"/>
  <c r="R1240" i="3"/>
  <c r="T1240" i="3" s="1"/>
  <c r="U1240" i="3" s="1"/>
  <c r="R1241" i="3"/>
  <c r="T1241" i="3" s="1"/>
  <c r="U1241" i="3" s="1"/>
  <c r="R1242" i="3"/>
  <c r="T1242" i="3" s="1"/>
  <c r="U1242" i="3" s="1"/>
  <c r="R1243" i="3"/>
  <c r="T1243" i="3" s="1"/>
  <c r="U1243" i="3" s="1"/>
  <c r="R1244" i="3"/>
  <c r="T1244" i="3" s="1"/>
  <c r="U1244" i="3" s="1"/>
  <c r="R1245" i="3"/>
  <c r="T1245" i="3" s="1"/>
  <c r="U1245" i="3" s="1"/>
  <c r="R1246" i="3"/>
  <c r="T1246" i="3" s="1"/>
  <c r="U1246" i="3" s="1"/>
  <c r="R1247" i="3"/>
  <c r="T1247" i="3" s="1"/>
  <c r="U1247" i="3" s="1"/>
  <c r="R1248" i="3"/>
  <c r="T1248" i="3" s="1"/>
  <c r="U1248" i="3" s="1"/>
  <c r="R1249" i="3"/>
  <c r="T1249" i="3" s="1"/>
  <c r="U1249" i="3" s="1"/>
  <c r="R1250" i="3"/>
  <c r="T1250" i="3" s="1"/>
  <c r="U1250" i="3" s="1"/>
  <c r="R1251" i="3"/>
  <c r="T1251" i="3" s="1"/>
  <c r="U1251" i="3" s="1"/>
  <c r="R1252" i="3"/>
  <c r="T1252" i="3" s="1"/>
  <c r="U1252" i="3" s="1"/>
  <c r="R1253" i="3"/>
  <c r="T1253" i="3" s="1"/>
  <c r="U1253" i="3" s="1"/>
  <c r="R1254" i="3"/>
  <c r="T1254" i="3" s="1"/>
  <c r="U1254" i="3" s="1"/>
  <c r="R1255" i="3"/>
  <c r="T1255" i="3" s="1"/>
  <c r="U1255" i="3" s="1"/>
  <c r="R1256" i="3"/>
  <c r="T1256" i="3" s="1"/>
  <c r="U1256" i="3" s="1"/>
  <c r="R1257" i="3"/>
  <c r="T1257" i="3" s="1"/>
  <c r="U1257" i="3" s="1"/>
  <c r="R1258" i="3"/>
  <c r="T1258" i="3" s="1"/>
  <c r="U1258" i="3" s="1"/>
  <c r="R1259" i="3"/>
  <c r="T1259" i="3" s="1"/>
  <c r="U1259" i="3" s="1"/>
  <c r="R1260" i="3"/>
  <c r="T1260" i="3" s="1"/>
  <c r="U1260" i="3" s="1"/>
  <c r="R1261" i="3"/>
  <c r="T1261" i="3" s="1"/>
  <c r="U1261" i="3" s="1"/>
  <c r="R1262" i="3"/>
  <c r="T1262" i="3" s="1"/>
  <c r="U1262" i="3" s="1"/>
  <c r="R1263" i="3"/>
  <c r="T1263" i="3" s="1"/>
  <c r="U1263" i="3" s="1"/>
  <c r="R1264" i="3"/>
  <c r="T1264" i="3" s="1"/>
  <c r="U1264" i="3" s="1"/>
  <c r="R1265" i="3"/>
  <c r="T1265" i="3" s="1"/>
  <c r="U1265" i="3" s="1"/>
  <c r="R1266" i="3"/>
  <c r="T1266" i="3" s="1"/>
  <c r="U1266" i="3" s="1"/>
  <c r="R1267" i="3"/>
  <c r="T1267" i="3" s="1"/>
  <c r="U1267" i="3" s="1"/>
  <c r="R1268" i="3"/>
  <c r="T1268" i="3" s="1"/>
  <c r="U1268" i="3" s="1"/>
  <c r="R1269" i="3"/>
  <c r="T1269" i="3" s="1"/>
  <c r="U1269" i="3" s="1"/>
  <c r="R1270" i="3"/>
  <c r="T1270" i="3" s="1"/>
  <c r="U1270" i="3" s="1"/>
  <c r="R1271" i="3"/>
  <c r="T1271" i="3" s="1"/>
  <c r="U1271" i="3" s="1"/>
  <c r="R1272" i="3"/>
  <c r="T1272" i="3" s="1"/>
  <c r="U1272" i="3" s="1"/>
  <c r="R1273" i="3"/>
  <c r="T1273" i="3" s="1"/>
  <c r="U1273" i="3" s="1"/>
  <c r="R1274" i="3"/>
  <c r="T1274" i="3" s="1"/>
  <c r="U1274" i="3" s="1"/>
  <c r="R1275" i="3"/>
  <c r="T1275" i="3" s="1"/>
  <c r="U1275" i="3" s="1"/>
  <c r="R1276" i="3"/>
  <c r="T1276" i="3" s="1"/>
  <c r="U1276" i="3" s="1"/>
  <c r="R1277" i="3"/>
  <c r="T1277" i="3" s="1"/>
  <c r="U1277" i="3" s="1"/>
  <c r="R1278" i="3"/>
  <c r="T1278" i="3" s="1"/>
  <c r="U1278" i="3" s="1"/>
  <c r="R1279" i="3"/>
  <c r="T1279" i="3" s="1"/>
  <c r="U1279" i="3" s="1"/>
  <c r="R1280" i="3"/>
  <c r="T1280" i="3" s="1"/>
  <c r="U1280" i="3" s="1"/>
  <c r="R1281" i="3"/>
  <c r="T1281" i="3" s="1"/>
  <c r="U1281" i="3" s="1"/>
  <c r="R1282" i="3"/>
  <c r="T1282" i="3" s="1"/>
  <c r="U1282" i="3" s="1"/>
  <c r="R1283" i="3"/>
  <c r="T1283" i="3" s="1"/>
  <c r="U1283" i="3" s="1"/>
  <c r="R1284" i="3"/>
  <c r="T1284" i="3" s="1"/>
  <c r="U1284" i="3" s="1"/>
  <c r="R1285" i="3"/>
  <c r="T1285" i="3" s="1"/>
  <c r="U1285" i="3" s="1"/>
  <c r="R1286" i="3"/>
  <c r="T1286" i="3" s="1"/>
  <c r="U1286" i="3" s="1"/>
  <c r="R1287" i="3"/>
  <c r="T1287" i="3" s="1"/>
  <c r="U1287" i="3" s="1"/>
  <c r="R1288" i="3"/>
  <c r="T1288" i="3" s="1"/>
  <c r="U1288" i="3" s="1"/>
  <c r="R1289" i="3"/>
  <c r="T1289" i="3" s="1"/>
  <c r="U1289" i="3" s="1"/>
  <c r="R1290" i="3"/>
  <c r="T1290" i="3" s="1"/>
  <c r="U1290" i="3" s="1"/>
  <c r="R1291" i="3"/>
  <c r="T1291" i="3" s="1"/>
  <c r="U1291" i="3" s="1"/>
  <c r="R1292" i="3"/>
  <c r="T1292" i="3" s="1"/>
  <c r="U1292" i="3" s="1"/>
  <c r="R1293" i="3"/>
  <c r="T1293" i="3" s="1"/>
  <c r="U1293" i="3" s="1"/>
  <c r="R1294" i="3"/>
  <c r="T1294" i="3" s="1"/>
  <c r="U1294" i="3" s="1"/>
  <c r="R1295" i="3"/>
  <c r="T1295" i="3" s="1"/>
  <c r="U1295" i="3" s="1"/>
  <c r="R1296" i="3"/>
  <c r="T1296" i="3" s="1"/>
  <c r="U1296" i="3" s="1"/>
  <c r="R1297" i="3"/>
  <c r="T1297" i="3" s="1"/>
  <c r="U1297" i="3" s="1"/>
  <c r="R1298" i="3"/>
  <c r="T1298" i="3" s="1"/>
  <c r="U1298" i="3" s="1"/>
  <c r="R1299" i="3"/>
  <c r="T1299" i="3" s="1"/>
  <c r="U1299" i="3" s="1"/>
  <c r="R1300" i="3"/>
  <c r="T1300" i="3" s="1"/>
  <c r="U1300" i="3" s="1"/>
  <c r="R1301" i="3"/>
  <c r="T1301" i="3" s="1"/>
  <c r="U1301" i="3" s="1"/>
  <c r="R1302" i="3"/>
  <c r="T1302" i="3" s="1"/>
  <c r="U1302" i="3" s="1"/>
  <c r="R1303" i="3"/>
  <c r="T1303" i="3" s="1"/>
  <c r="U1303" i="3" s="1"/>
  <c r="R1304" i="3"/>
  <c r="T1304" i="3" s="1"/>
  <c r="U1304" i="3" s="1"/>
  <c r="R1305" i="3"/>
  <c r="T1305" i="3" s="1"/>
  <c r="U1305" i="3" s="1"/>
  <c r="R1306" i="3"/>
  <c r="T1306" i="3" s="1"/>
  <c r="U1306" i="3" s="1"/>
  <c r="R1307" i="3"/>
  <c r="T1307" i="3" s="1"/>
  <c r="U1307" i="3" s="1"/>
  <c r="R1308" i="3"/>
  <c r="T1308" i="3" s="1"/>
  <c r="U1308" i="3" s="1"/>
  <c r="R1309" i="3"/>
  <c r="T1309" i="3" s="1"/>
  <c r="U1309" i="3" s="1"/>
  <c r="R1310" i="3"/>
  <c r="T1310" i="3" s="1"/>
  <c r="U1310" i="3" s="1"/>
  <c r="R1311" i="3"/>
  <c r="T1311" i="3" s="1"/>
  <c r="U1311" i="3" s="1"/>
  <c r="R1312" i="3"/>
  <c r="T1312" i="3" s="1"/>
  <c r="U1312" i="3" s="1"/>
  <c r="R1313" i="3"/>
  <c r="T1313" i="3" s="1"/>
  <c r="U1313" i="3" s="1"/>
  <c r="R1314" i="3"/>
  <c r="T1314" i="3" s="1"/>
  <c r="U1314" i="3" s="1"/>
  <c r="R1315" i="3"/>
  <c r="T1315" i="3" s="1"/>
  <c r="U1315" i="3" s="1"/>
  <c r="R1316" i="3"/>
  <c r="T1316" i="3" s="1"/>
  <c r="U1316" i="3" s="1"/>
  <c r="R1317" i="3"/>
  <c r="T1317" i="3" s="1"/>
  <c r="U1317" i="3" s="1"/>
  <c r="R1318" i="3"/>
  <c r="T1318" i="3" s="1"/>
  <c r="U1318" i="3" s="1"/>
  <c r="R1319" i="3"/>
  <c r="T1319" i="3" s="1"/>
  <c r="U1319" i="3" s="1"/>
  <c r="R1320" i="3"/>
  <c r="T1320" i="3" s="1"/>
  <c r="U1320" i="3" s="1"/>
  <c r="R1321" i="3"/>
  <c r="T1321" i="3" s="1"/>
  <c r="U1321" i="3" s="1"/>
  <c r="R1322" i="3"/>
  <c r="T1322" i="3" s="1"/>
  <c r="U1322" i="3" s="1"/>
  <c r="R1323" i="3"/>
  <c r="T1323" i="3" s="1"/>
  <c r="U1323" i="3" s="1"/>
  <c r="R1324" i="3"/>
  <c r="T1324" i="3" s="1"/>
  <c r="U1324" i="3" s="1"/>
  <c r="R1325" i="3"/>
  <c r="T1325" i="3" s="1"/>
  <c r="U1325" i="3" s="1"/>
  <c r="R1326" i="3"/>
  <c r="T1326" i="3" s="1"/>
  <c r="U1326" i="3" s="1"/>
  <c r="R1327" i="3"/>
  <c r="T1327" i="3" s="1"/>
  <c r="U1327" i="3" s="1"/>
  <c r="R1328" i="3"/>
  <c r="T1328" i="3" s="1"/>
  <c r="U1328" i="3" s="1"/>
  <c r="R1329" i="3"/>
  <c r="T1329" i="3" s="1"/>
  <c r="U1329" i="3" s="1"/>
  <c r="R1330" i="3"/>
  <c r="T1330" i="3" s="1"/>
  <c r="U1330" i="3" s="1"/>
  <c r="R1331" i="3"/>
  <c r="T1331" i="3" s="1"/>
  <c r="U1331" i="3" s="1"/>
  <c r="R1332" i="3"/>
  <c r="T1332" i="3" s="1"/>
  <c r="U1332" i="3" s="1"/>
  <c r="R1333" i="3"/>
  <c r="T1333" i="3" s="1"/>
  <c r="U1333" i="3" s="1"/>
  <c r="R1334" i="3"/>
  <c r="T1334" i="3" s="1"/>
  <c r="U1334" i="3" s="1"/>
  <c r="R1335" i="3"/>
  <c r="T1335" i="3" s="1"/>
  <c r="U1335" i="3" s="1"/>
  <c r="R1336" i="3"/>
  <c r="T1336" i="3" s="1"/>
  <c r="U1336" i="3" s="1"/>
  <c r="R1337" i="3"/>
  <c r="T1337" i="3" s="1"/>
  <c r="U1337" i="3" s="1"/>
  <c r="R1338" i="3"/>
  <c r="T1338" i="3" s="1"/>
  <c r="U1338" i="3" s="1"/>
  <c r="R1339" i="3"/>
  <c r="T1339" i="3" s="1"/>
  <c r="U1339" i="3" s="1"/>
  <c r="R1340" i="3"/>
  <c r="T1340" i="3" s="1"/>
  <c r="U1340" i="3" s="1"/>
  <c r="R1341" i="3"/>
  <c r="T1341" i="3" s="1"/>
  <c r="U1341" i="3" s="1"/>
  <c r="R1342" i="3"/>
  <c r="T1342" i="3" s="1"/>
  <c r="U1342" i="3" s="1"/>
  <c r="R1343" i="3"/>
  <c r="T1343" i="3" s="1"/>
  <c r="U1343" i="3" s="1"/>
  <c r="R1344" i="3"/>
  <c r="T1344" i="3" s="1"/>
  <c r="U1344" i="3" s="1"/>
  <c r="R1345" i="3"/>
  <c r="T1345" i="3" s="1"/>
  <c r="U1345" i="3" s="1"/>
  <c r="R1346" i="3"/>
  <c r="T1346" i="3" s="1"/>
  <c r="U1346" i="3" s="1"/>
  <c r="R1347" i="3"/>
  <c r="T1347" i="3" s="1"/>
  <c r="U1347" i="3" s="1"/>
  <c r="R1348" i="3"/>
  <c r="T1348" i="3" s="1"/>
  <c r="U1348" i="3" s="1"/>
  <c r="R1349" i="3"/>
  <c r="T1349" i="3" s="1"/>
  <c r="U1349" i="3" s="1"/>
  <c r="R1350" i="3"/>
  <c r="T1350" i="3" s="1"/>
  <c r="U1350" i="3" s="1"/>
  <c r="R1351" i="3"/>
  <c r="T1351" i="3" s="1"/>
  <c r="U1351" i="3" s="1"/>
  <c r="R1352" i="3"/>
  <c r="T1352" i="3" s="1"/>
  <c r="U1352" i="3" s="1"/>
  <c r="R1353" i="3"/>
  <c r="T1353" i="3" s="1"/>
  <c r="U1353" i="3" s="1"/>
  <c r="R1354" i="3"/>
  <c r="T1354" i="3" s="1"/>
  <c r="U1354" i="3" s="1"/>
  <c r="R1355" i="3"/>
  <c r="T1355" i="3" s="1"/>
  <c r="U1355" i="3" s="1"/>
  <c r="R1356" i="3"/>
  <c r="T1356" i="3" s="1"/>
  <c r="U1356" i="3" s="1"/>
  <c r="R1357" i="3"/>
  <c r="T1357" i="3" s="1"/>
  <c r="U1357" i="3" s="1"/>
  <c r="R1358" i="3"/>
  <c r="T1358" i="3" s="1"/>
  <c r="U1358" i="3" s="1"/>
  <c r="R1359" i="3"/>
  <c r="T1359" i="3" s="1"/>
  <c r="U1359" i="3" s="1"/>
  <c r="R1360" i="3"/>
  <c r="T1360" i="3" s="1"/>
  <c r="U1360" i="3" s="1"/>
  <c r="R1361" i="3"/>
  <c r="T1361" i="3" s="1"/>
  <c r="U1361" i="3" s="1"/>
  <c r="R1362" i="3"/>
  <c r="T1362" i="3" s="1"/>
  <c r="U1362" i="3" s="1"/>
  <c r="R1363" i="3"/>
  <c r="T1363" i="3" s="1"/>
  <c r="U1363" i="3" s="1"/>
  <c r="R1364" i="3"/>
  <c r="T1364" i="3" s="1"/>
  <c r="U1364" i="3" s="1"/>
  <c r="R1365" i="3"/>
  <c r="T1365" i="3" s="1"/>
  <c r="U1365" i="3" s="1"/>
  <c r="R1366" i="3"/>
  <c r="T1366" i="3" s="1"/>
  <c r="U1366" i="3" s="1"/>
  <c r="R1367" i="3"/>
  <c r="T1367" i="3" s="1"/>
  <c r="U1367" i="3" s="1"/>
  <c r="R1368" i="3"/>
  <c r="T1368" i="3" s="1"/>
  <c r="U1368" i="3" s="1"/>
  <c r="R1369" i="3"/>
  <c r="T1369" i="3" s="1"/>
  <c r="U1369" i="3" s="1"/>
  <c r="R1370" i="3"/>
  <c r="T1370" i="3" s="1"/>
  <c r="U1370" i="3" s="1"/>
  <c r="R1371" i="3"/>
  <c r="T1371" i="3" s="1"/>
  <c r="U1371" i="3" s="1"/>
  <c r="R1372" i="3"/>
  <c r="T1372" i="3" s="1"/>
  <c r="U1372" i="3" s="1"/>
  <c r="R1373" i="3"/>
  <c r="T1373" i="3" s="1"/>
  <c r="U1373" i="3" s="1"/>
  <c r="R1374" i="3"/>
  <c r="T1374" i="3" s="1"/>
  <c r="U1374" i="3" s="1"/>
  <c r="R1375" i="3"/>
  <c r="T1375" i="3" s="1"/>
  <c r="U1375" i="3" s="1"/>
  <c r="R1376" i="3"/>
  <c r="T1376" i="3" s="1"/>
  <c r="U1376" i="3" s="1"/>
  <c r="R1377" i="3"/>
  <c r="T1377" i="3" s="1"/>
  <c r="U1377" i="3" s="1"/>
  <c r="R1378" i="3"/>
  <c r="T1378" i="3" s="1"/>
  <c r="U1378" i="3" s="1"/>
  <c r="R1379" i="3"/>
  <c r="T1379" i="3" s="1"/>
  <c r="U1379" i="3" s="1"/>
  <c r="R1380" i="3"/>
  <c r="T1380" i="3" s="1"/>
  <c r="U1380" i="3" s="1"/>
  <c r="R1381" i="3"/>
  <c r="T1381" i="3" s="1"/>
  <c r="U1381" i="3" s="1"/>
  <c r="R1382" i="3"/>
  <c r="T1382" i="3" s="1"/>
  <c r="U1382" i="3" s="1"/>
  <c r="R1383" i="3"/>
  <c r="T1383" i="3" s="1"/>
  <c r="U1383" i="3" s="1"/>
  <c r="R1384" i="3"/>
  <c r="T1384" i="3" s="1"/>
  <c r="U1384" i="3" s="1"/>
  <c r="R1385" i="3"/>
  <c r="T1385" i="3" s="1"/>
  <c r="U1385" i="3" s="1"/>
  <c r="R1386" i="3"/>
  <c r="T1386" i="3" s="1"/>
  <c r="U1386" i="3" s="1"/>
  <c r="R1387" i="3"/>
  <c r="T1387" i="3" s="1"/>
  <c r="U1387" i="3" s="1"/>
  <c r="R1388" i="3"/>
  <c r="T1388" i="3" s="1"/>
  <c r="U1388" i="3" s="1"/>
  <c r="R1389" i="3"/>
  <c r="T1389" i="3" s="1"/>
  <c r="U1389" i="3" s="1"/>
  <c r="R1390" i="3"/>
  <c r="T1390" i="3" s="1"/>
  <c r="U1390" i="3" s="1"/>
  <c r="R1391" i="3"/>
  <c r="T1391" i="3" s="1"/>
  <c r="U1391" i="3" s="1"/>
  <c r="R1392" i="3"/>
  <c r="T1392" i="3" s="1"/>
  <c r="U1392" i="3" s="1"/>
  <c r="R1393" i="3"/>
  <c r="T1393" i="3" s="1"/>
  <c r="U1393" i="3" s="1"/>
  <c r="R1394" i="3"/>
  <c r="T1394" i="3" s="1"/>
  <c r="U1394" i="3" s="1"/>
  <c r="R1395" i="3"/>
  <c r="T1395" i="3" s="1"/>
  <c r="U1395" i="3" s="1"/>
  <c r="R1396" i="3"/>
  <c r="T1396" i="3" s="1"/>
  <c r="U1396" i="3" s="1"/>
  <c r="R1397" i="3"/>
  <c r="T1397" i="3" s="1"/>
  <c r="U1397" i="3" s="1"/>
  <c r="R1398" i="3"/>
  <c r="T1398" i="3" s="1"/>
  <c r="U1398" i="3" s="1"/>
  <c r="R1399" i="3"/>
  <c r="T1399" i="3" s="1"/>
  <c r="U1399" i="3" s="1"/>
  <c r="R1400" i="3"/>
  <c r="T1400" i="3" s="1"/>
  <c r="U1400" i="3" s="1"/>
  <c r="R1401" i="3"/>
  <c r="T1401" i="3" s="1"/>
  <c r="U1401" i="3" s="1"/>
  <c r="R1402" i="3"/>
  <c r="T1402" i="3" s="1"/>
  <c r="U1402" i="3" s="1"/>
  <c r="R1403" i="3"/>
  <c r="T1403" i="3" s="1"/>
  <c r="U1403" i="3" s="1"/>
  <c r="R1404" i="3"/>
  <c r="T1404" i="3" s="1"/>
  <c r="U1404" i="3" s="1"/>
  <c r="R1405" i="3"/>
  <c r="T1405" i="3" s="1"/>
  <c r="U1405" i="3" s="1"/>
  <c r="R1406" i="3"/>
  <c r="T1406" i="3" s="1"/>
  <c r="U1406" i="3" s="1"/>
  <c r="R1407" i="3"/>
  <c r="T1407" i="3" s="1"/>
  <c r="U1407" i="3" s="1"/>
  <c r="R1408" i="3"/>
  <c r="T1408" i="3" s="1"/>
  <c r="U1408" i="3" s="1"/>
  <c r="R1409" i="3"/>
  <c r="T1409" i="3" s="1"/>
  <c r="U1409" i="3" s="1"/>
  <c r="R1410" i="3"/>
  <c r="T1410" i="3" s="1"/>
  <c r="U1410" i="3" s="1"/>
  <c r="R1411" i="3"/>
  <c r="T1411" i="3" s="1"/>
  <c r="U1411" i="3" s="1"/>
  <c r="R1412" i="3"/>
  <c r="T1412" i="3" s="1"/>
  <c r="U1412" i="3" s="1"/>
  <c r="R1413" i="3"/>
  <c r="T1413" i="3" s="1"/>
  <c r="U1413" i="3" s="1"/>
  <c r="R1414" i="3"/>
  <c r="T1414" i="3" s="1"/>
  <c r="U1414" i="3" s="1"/>
  <c r="R1415" i="3"/>
  <c r="T1415" i="3" s="1"/>
  <c r="U1415" i="3" s="1"/>
  <c r="R1416" i="3"/>
  <c r="T1416" i="3" s="1"/>
  <c r="U1416" i="3" s="1"/>
  <c r="R1417" i="3"/>
  <c r="T1417" i="3" s="1"/>
  <c r="U1417" i="3" s="1"/>
  <c r="R1418" i="3"/>
  <c r="T1418" i="3" s="1"/>
  <c r="U1418" i="3" s="1"/>
  <c r="R1419" i="3"/>
  <c r="T1419" i="3" s="1"/>
  <c r="U1419" i="3" s="1"/>
  <c r="R1420" i="3"/>
  <c r="T1420" i="3" s="1"/>
  <c r="U1420" i="3" s="1"/>
  <c r="R1421" i="3"/>
  <c r="T1421" i="3" s="1"/>
  <c r="U1421" i="3" s="1"/>
  <c r="R1422" i="3"/>
  <c r="T1422" i="3" s="1"/>
  <c r="U1422" i="3" s="1"/>
  <c r="R1423" i="3"/>
  <c r="T1423" i="3" s="1"/>
  <c r="U1423" i="3" s="1"/>
  <c r="R1424" i="3"/>
  <c r="T1424" i="3" s="1"/>
  <c r="U1424" i="3" s="1"/>
  <c r="R1425" i="3"/>
  <c r="T1425" i="3" s="1"/>
  <c r="U1425" i="3" s="1"/>
  <c r="R1426" i="3"/>
  <c r="T1426" i="3" s="1"/>
  <c r="U1426" i="3" s="1"/>
  <c r="R1427" i="3"/>
  <c r="T1427" i="3" s="1"/>
  <c r="U1427" i="3" s="1"/>
  <c r="R1428" i="3"/>
  <c r="T1428" i="3" s="1"/>
  <c r="U1428" i="3" s="1"/>
  <c r="R1429" i="3"/>
  <c r="T1429" i="3" s="1"/>
  <c r="U1429" i="3" s="1"/>
  <c r="R1430" i="3"/>
  <c r="T1430" i="3" s="1"/>
  <c r="U1430" i="3" s="1"/>
  <c r="R1431" i="3"/>
  <c r="T1431" i="3" s="1"/>
  <c r="U1431" i="3" s="1"/>
  <c r="R1432" i="3"/>
  <c r="T1432" i="3" s="1"/>
  <c r="U1432" i="3" s="1"/>
  <c r="R1433" i="3"/>
  <c r="T1433" i="3" s="1"/>
  <c r="U1433" i="3" s="1"/>
  <c r="R1434" i="3"/>
  <c r="T1434" i="3" s="1"/>
  <c r="U1434" i="3" s="1"/>
  <c r="R1435" i="3"/>
  <c r="T1435" i="3" s="1"/>
  <c r="U1435" i="3" s="1"/>
  <c r="R1436" i="3"/>
  <c r="T1436" i="3" s="1"/>
  <c r="U1436" i="3" s="1"/>
  <c r="R1437" i="3"/>
  <c r="T1437" i="3" s="1"/>
  <c r="U1437" i="3" s="1"/>
  <c r="R1438" i="3"/>
  <c r="T1438" i="3" s="1"/>
  <c r="U1438" i="3" s="1"/>
  <c r="R1439" i="3"/>
  <c r="T1439" i="3" s="1"/>
  <c r="U1439" i="3" s="1"/>
  <c r="R1440" i="3"/>
  <c r="T1440" i="3" s="1"/>
  <c r="U1440" i="3" s="1"/>
  <c r="R1441" i="3"/>
  <c r="T1441" i="3" s="1"/>
  <c r="U1441" i="3" s="1"/>
  <c r="R1442" i="3"/>
  <c r="T1442" i="3" s="1"/>
  <c r="U1442" i="3" s="1"/>
  <c r="R1443" i="3"/>
  <c r="T1443" i="3" s="1"/>
  <c r="U1443" i="3" s="1"/>
  <c r="R1444" i="3"/>
  <c r="T1444" i="3" s="1"/>
  <c r="U1444" i="3" s="1"/>
  <c r="R1445" i="3"/>
  <c r="T1445" i="3" s="1"/>
  <c r="U1445" i="3" s="1"/>
  <c r="R1446" i="3"/>
  <c r="T1446" i="3" s="1"/>
  <c r="U1446" i="3" s="1"/>
  <c r="R1447" i="3"/>
  <c r="T1447" i="3" s="1"/>
  <c r="U1447" i="3" s="1"/>
  <c r="R1448" i="3"/>
  <c r="T1448" i="3" s="1"/>
  <c r="U1448" i="3" s="1"/>
  <c r="R1449" i="3"/>
  <c r="T1449" i="3" s="1"/>
  <c r="U1449" i="3" s="1"/>
  <c r="R1450" i="3"/>
  <c r="T1450" i="3" s="1"/>
  <c r="U1450" i="3" s="1"/>
  <c r="R1451" i="3"/>
  <c r="T1451" i="3" s="1"/>
  <c r="U1451" i="3" s="1"/>
  <c r="R1452" i="3"/>
  <c r="T1452" i="3" s="1"/>
  <c r="U1452" i="3" s="1"/>
  <c r="R1453" i="3"/>
  <c r="T1453" i="3" s="1"/>
  <c r="U1453" i="3" s="1"/>
  <c r="R1454" i="3"/>
  <c r="T1454" i="3" s="1"/>
  <c r="U1454" i="3" s="1"/>
  <c r="R1455" i="3"/>
  <c r="T1455" i="3" s="1"/>
  <c r="U1455" i="3" s="1"/>
  <c r="R1456" i="3"/>
  <c r="T1456" i="3" s="1"/>
  <c r="U1456" i="3" s="1"/>
  <c r="R1457" i="3"/>
  <c r="T1457" i="3" s="1"/>
  <c r="U1457" i="3" s="1"/>
  <c r="R1458" i="3"/>
  <c r="T1458" i="3" s="1"/>
  <c r="U1458" i="3" s="1"/>
  <c r="R1459" i="3"/>
  <c r="T1459" i="3" s="1"/>
  <c r="U1459" i="3" s="1"/>
  <c r="R1460" i="3"/>
  <c r="T1460" i="3" s="1"/>
  <c r="U1460" i="3" s="1"/>
  <c r="R1461" i="3"/>
  <c r="T1461" i="3" s="1"/>
  <c r="U1461" i="3" s="1"/>
  <c r="R1462" i="3"/>
  <c r="T1462" i="3" s="1"/>
  <c r="U1462" i="3" s="1"/>
  <c r="R1463" i="3"/>
  <c r="T1463" i="3" s="1"/>
  <c r="U1463" i="3" s="1"/>
  <c r="R1464" i="3"/>
  <c r="T1464" i="3" s="1"/>
  <c r="U1464" i="3" s="1"/>
  <c r="R1465" i="3"/>
  <c r="T1465" i="3" s="1"/>
  <c r="U1465" i="3" s="1"/>
  <c r="R1466" i="3"/>
  <c r="T1466" i="3" s="1"/>
  <c r="U1466" i="3" s="1"/>
  <c r="R1467" i="3"/>
  <c r="T1467" i="3" s="1"/>
  <c r="U1467" i="3" s="1"/>
  <c r="R1468" i="3"/>
  <c r="T1468" i="3" s="1"/>
  <c r="U1468" i="3" s="1"/>
  <c r="R1469" i="3"/>
  <c r="T1469" i="3" s="1"/>
  <c r="U1469" i="3" s="1"/>
  <c r="R1470" i="3"/>
  <c r="T1470" i="3" s="1"/>
  <c r="U1470" i="3" s="1"/>
  <c r="R1471" i="3"/>
  <c r="T1471" i="3" s="1"/>
  <c r="U1471" i="3" s="1"/>
  <c r="R1472" i="3"/>
  <c r="T1472" i="3" s="1"/>
  <c r="U1472" i="3" s="1"/>
  <c r="R1473" i="3"/>
  <c r="T1473" i="3" s="1"/>
  <c r="U1473" i="3" s="1"/>
  <c r="R1474" i="3"/>
  <c r="T1474" i="3" s="1"/>
  <c r="U1474" i="3" s="1"/>
  <c r="R1475" i="3"/>
  <c r="T1475" i="3" s="1"/>
  <c r="U1475" i="3" s="1"/>
  <c r="R1476" i="3"/>
  <c r="T1476" i="3" s="1"/>
  <c r="U1476" i="3" s="1"/>
  <c r="R1477" i="3"/>
  <c r="T1477" i="3" s="1"/>
  <c r="U1477" i="3" s="1"/>
  <c r="R1478" i="3"/>
  <c r="T1478" i="3" s="1"/>
  <c r="U1478" i="3" s="1"/>
  <c r="R1479" i="3"/>
  <c r="T1479" i="3" s="1"/>
  <c r="U1479" i="3" s="1"/>
  <c r="R1480" i="3"/>
  <c r="T1480" i="3" s="1"/>
  <c r="U1480" i="3" s="1"/>
  <c r="R1481" i="3"/>
  <c r="T1481" i="3" s="1"/>
  <c r="U1481" i="3" s="1"/>
  <c r="R1482" i="3"/>
  <c r="T1482" i="3" s="1"/>
  <c r="U1482" i="3" s="1"/>
  <c r="R1483" i="3"/>
  <c r="T1483" i="3" s="1"/>
  <c r="U1483" i="3" s="1"/>
  <c r="R1484" i="3"/>
  <c r="T1484" i="3" s="1"/>
  <c r="U1484" i="3" s="1"/>
  <c r="R1485" i="3"/>
  <c r="T1485" i="3" s="1"/>
  <c r="U1485" i="3" s="1"/>
  <c r="R1486" i="3"/>
  <c r="T1486" i="3" s="1"/>
  <c r="U1486" i="3" s="1"/>
  <c r="R1487" i="3"/>
  <c r="T1487" i="3" s="1"/>
  <c r="U1487" i="3" s="1"/>
  <c r="R1488" i="3"/>
  <c r="T1488" i="3" s="1"/>
  <c r="U1488" i="3" s="1"/>
  <c r="R1489" i="3"/>
  <c r="T1489" i="3" s="1"/>
  <c r="U1489" i="3" s="1"/>
  <c r="R1490" i="3"/>
  <c r="T1490" i="3" s="1"/>
  <c r="U1490" i="3" s="1"/>
  <c r="R1491" i="3"/>
  <c r="T1491" i="3" s="1"/>
  <c r="U1491" i="3" s="1"/>
  <c r="R1492" i="3"/>
  <c r="T1492" i="3" s="1"/>
  <c r="U1492" i="3" s="1"/>
  <c r="R1493" i="3"/>
  <c r="T1493" i="3" s="1"/>
  <c r="U1493" i="3" s="1"/>
  <c r="R1494" i="3"/>
  <c r="T1494" i="3" s="1"/>
  <c r="U1494" i="3" s="1"/>
  <c r="R1495" i="3"/>
  <c r="T1495" i="3" s="1"/>
  <c r="U1495" i="3" s="1"/>
  <c r="R1496" i="3"/>
  <c r="T1496" i="3" s="1"/>
  <c r="U1496" i="3" s="1"/>
  <c r="R1497" i="3"/>
  <c r="T1497" i="3" s="1"/>
  <c r="U1497" i="3" s="1"/>
  <c r="R1498" i="3"/>
  <c r="T1498" i="3" s="1"/>
  <c r="U1498" i="3" s="1"/>
  <c r="R1499" i="3"/>
  <c r="T1499" i="3" s="1"/>
  <c r="U1499" i="3" s="1"/>
  <c r="R1500" i="3"/>
  <c r="T1500" i="3" s="1"/>
  <c r="U1500" i="3" s="1"/>
  <c r="R1501" i="3"/>
  <c r="T1501" i="3" s="1"/>
  <c r="U1501"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82B15C-80D4-4BEB-A7DB-1F12814BD07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<sst xmlns="http://schemas.openxmlformats.org/spreadsheetml/2006/main" count="30092" uniqueCount="1658">
  <si>
    <t>Order ID</t>
  </si>
  <si>
    <t>Order Date</t>
  </si>
  <si>
    <t>Region</t>
  </si>
  <si>
    <t>City</t>
  </si>
  <si>
    <t>Salesperson</t>
  </si>
  <si>
    <t>Customer Segment</t>
  </si>
  <si>
    <t>Category</t>
  </si>
  <si>
    <t>Sub-Category</t>
  </si>
  <si>
    <t>Product</t>
  </si>
  <si>
    <t>Channel</t>
  </si>
  <si>
    <t>Order Status</t>
  </si>
  <si>
    <t>Units Sold</t>
  </si>
  <si>
    <t>Unit Price</t>
  </si>
  <si>
    <t>Discount</t>
  </si>
  <si>
    <t>Unit Cost</t>
  </si>
  <si>
    <t>ORD-114043</t>
  </si>
  <si>
    <t>East</t>
  </si>
  <si>
    <t>Ranchi</t>
  </si>
  <si>
    <t>Aditya Verma</t>
  </si>
  <si>
    <t>Institutional</t>
  </si>
  <si>
    <t>Fashion</t>
  </si>
  <si>
    <t>Footwear</t>
  </si>
  <si>
    <t>Puma Sneakers</t>
  </si>
  <si>
    <t>Distributor</t>
  </si>
  <si>
    <t>Delivered</t>
  </si>
  <si>
    <t>ORD-114084</t>
  </si>
  <si>
    <t>West</t>
  </si>
  <si>
    <t>Mumbai</t>
  </si>
  <si>
    <t>Simran Kaur</t>
  </si>
  <si>
    <t>Retail</t>
  </si>
  <si>
    <t>Furniture</t>
  </si>
  <si>
    <t>Sofas</t>
  </si>
  <si>
    <t>3-Seater Sofa</t>
  </si>
  <si>
    <t>Online</t>
  </si>
  <si>
    <t>Cancelled</t>
  </si>
  <si>
    <t>ORD-114444</t>
  </si>
  <si>
    <t>Central</t>
  </si>
  <si>
    <t>Ujjain</t>
  </si>
  <si>
    <t>Kartik Raman</t>
  </si>
  <si>
    <t>Online Marketplace</t>
  </si>
  <si>
    <t>Electronics</t>
  </si>
  <si>
    <t>Laptops</t>
  </si>
  <si>
    <t>Dell Inspiron 3511</t>
  </si>
  <si>
    <t>ORD-114558</t>
  </si>
  <si>
    <t>Raipur</t>
  </si>
  <si>
    <t>Apparel</t>
  </si>
  <si>
    <t>Men's Casual Shirt</t>
  </si>
  <si>
    <t>ORD-114586</t>
  </si>
  <si>
    <t>North</t>
  </si>
  <si>
    <t>Delhi</t>
  </si>
  <si>
    <t>Imran Sheikh</t>
  </si>
  <si>
    <t>Adidas Sports Shoes</t>
  </si>
  <si>
    <t>ORD-114089</t>
  </si>
  <si>
    <t>Pune</t>
  </si>
  <si>
    <t>Home Appliances</t>
  </si>
  <si>
    <t>Kitchen Appliances</t>
  </si>
  <si>
    <t>Philips Air Fryer</t>
  </si>
  <si>
    <t>Offline</t>
  </si>
  <si>
    <t>ORD-114421</t>
  </si>
  <si>
    <t>Bhopal</t>
  </si>
  <si>
    <t>Anjali Mehta</t>
  </si>
  <si>
    <t>Tables</t>
  </si>
  <si>
    <t>Office Work Table</t>
  </si>
  <si>
    <t>ORD-114234</t>
  </si>
  <si>
    <t>Audio Devices</t>
  </si>
  <si>
    <t>boAt Airdopes 131</t>
  </si>
  <si>
    <t>Returned</t>
  </si>
  <si>
    <t>ORD-114435</t>
  </si>
  <si>
    <t>Lucknow</t>
  </si>
  <si>
    <t>Sourav Das</t>
  </si>
  <si>
    <t>Sports &amp; Fitness</t>
  </si>
  <si>
    <t>Fitness Equipment</t>
  </si>
  <si>
    <t>Dumbbell Set</t>
  </si>
  <si>
    <t>ORD-114512</t>
  </si>
  <si>
    <t>Surat</t>
  </si>
  <si>
    <t>Pooja Chouhan</t>
  </si>
  <si>
    <t>Mobiles</t>
  </si>
  <si>
    <t>iPhone 13</t>
  </si>
  <si>
    <t>Pending</t>
  </si>
  <si>
    <t>ORD-114625</t>
  </si>
  <si>
    <t>Yoga Mat</t>
  </si>
  <si>
    <t>ORD-114331</t>
  </si>
  <si>
    <t>South</t>
  </si>
  <si>
    <t>Hyderabad</t>
  </si>
  <si>
    <t>Ritika Ghosh</t>
  </si>
  <si>
    <t>Single Seater Recliner</t>
  </si>
  <si>
    <t>ORD-114594</t>
  </si>
  <si>
    <t>Kochi</t>
  </si>
  <si>
    <t>Resistance Bands</t>
  </si>
  <si>
    <t>ORD-114729</t>
  </si>
  <si>
    <t>Washing Machines</t>
  </si>
  <si>
    <t>IFB 7kg Washing Machine</t>
  </si>
  <si>
    <t>ORD-114640</t>
  </si>
  <si>
    <t>Jaipur</t>
  </si>
  <si>
    <t>ORD-114686</t>
  </si>
  <si>
    <t>ORD-114349</t>
  </si>
  <si>
    <t>6-Seater Dining Table</t>
  </si>
  <si>
    <t>ORD-114375</t>
  </si>
  <si>
    <t>Kolkata</t>
  </si>
  <si>
    <t>ORD-114699</t>
  </si>
  <si>
    <t>Chennai</t>
  </si>
  <si>
    <t>Rahul Singh</t>
  </si>
  <si>
    <t>ORD-114700</t>
  </si>
  <si>
    <t>Women's Kurti</t>
  </si>
  <si>
    <t>ORD-114656</t>
  </si>
  <si>
    <t>Neha Deshpande</t>
  </si>
  <si>
    <t>L-Shape Sofa</t>
  </si>
  <si>
    <t>ORD-114324</t>
  </si>
  <si>
    <t>Bajaj OTG</t>
  </si>
  <si>
    <t>ORD-114355</t>
  </si>
  <si>
    <t>ORD-114459</t>
  </si>
  <si>
    <t>Bhubaneswar</t>
  </si>
  <si>
    <t>ORD-114740</t>
  </si>
  <si>
    <t>Samsung Galaxy M34</t>
  </si>
  <si>
    <t>ORD-114318</t>
  </si>
  <si>
    <t>Nike Running Shoes</t>
  </si>
  <si>
    <t>ORD-114532</t>
  </si>
  <si>
    <t>ORD-114008</t>
  </si>
  <si>
    <t>ORD-114168</t>
  </si>
  <si>
    <t>Lenovo IdeaPad 3</t>
  </si>
  <si>
    <t>ORD-114552</t>
  </si>
  <si>
    <t>Indore</t>
  </si>
  <si>
    <t>ORD-114565</t>
  </si>
  <si>
    <t>ORD-114034</t>
  </si>
  <si>
    <t>ORD-114303</t>
  </si>
  <si>
    <t>ORD-114568</t>
  </si>
  <si>
    <t>Patna</t>
  </si>
  <si>
    <t>ORD-114595</t>
  </si>
  <si>
    <t>ORD-114081</t>
  </si>
  <si>
    <t>Refrigerators</t>
  </si>
  <si>
    <t>Whirlpool 265L Refrigerator</t>
  </si>
  <si>
    <t>ORD-114498</t>
  </si>
  <si>
    <t>ORD-114274</t>
  </si>
  <si>
    <t>ORD-114432</t>
  </si>
  <si>
    <t>Samsung 7kg Washing Machine</t>
  </si>
  <si>
    <t>ORD-114541</t>
  </si>
  <si>
    <t>Chandigarh</t>
  </si>
  <si>
    <t>ORD-114542</t>
  </si>
  <si>
    <t>ORD-114004</t>
  </si>
  <si>
    <t>OnePlus Nord CE 3</t>
  </si>
  <si>
    <t>ORD-114071</t>
  </si>
  <si>
    <t>ORD-114223</t>
  </si>
  <si>
    <t>ORD-114183</t>
  </si>
  <si>
    <t>ORD-114573</t>
  </si>
  <si>
    <t>ORD-114085</t>
  </si>
  <si>
    <t>Samsung 253L Refrigerator</t>
  </si>
  <si>
    <t>ORD-114239</t>
  </si>
  <si>
    <t>ORD-114323</t>
  </si>
  <si>
    <t>Prestige Mixer Grinder</t>
  </si>
  <si>
    <t>ORD-114516</t>
  </si>
  <si>
    <t>ORD-114661</t>
  </si>
  <si>
    <t>ORD-114678</t>
  </si>
  <si>
    <t>ORD-114107</t>
  </si>
  <si>
    <t>Sony WH-CH520</t>
  </si>
  <si>
    <t>ORD-114281</t>
  </si>
  <si>
    <t>ORD-114452</t>
  </si>
  <si>
    <t>HP 15s</t>
  </si>
  <si>
    <t>ORD-114711</t>
  </si>
  <si>
    <t>ORD-114159</t>
  </si>
  <si>
    <t>JBL Tune 510BT</t>
  </si>
  <si>
    <t>ORD-114262</t>
  </si>
  <si>
    <t>ORD-114605</t>
  </si>
  <si>
    <t>ORD-114038</t>
  </si>
  <si>
    <t>Ahmedabad</t>
  </si>
  <si>
    <t>ORD-114505</t>
  </si>
  <si>
    <t>ORD-114029</t>
  </si>
  <si>
    <t>ORD-114171</t>
  </si>
  <si>
    <t>ORD-114334</t>
  </si>
  <si>
    <t>ORD-114428</t>
  </si>
  <si>
    <t>ORD-114015</t>
  </si>
  <si>
    <t>ORD-114177</t>
  </si>
  <si>
    <t>ORD-114344</t>
  </si>
  <si>
    <t>ORD-114538</t>
  </si>
  <si>
    <t>ORD-114660</t>
  </si>
  <si>
    <t>ORD-114141</t>
  </si>
  <si>
    <t>ORD-114247</t>
  </si>
  <si>
    <t>ORD-114275</t>
  </si>
  <si>
    <t>ORD-114419</t>
  </si>
  <si>
    <t>ORD-114593</t>
  </si>
  <si>
    <t>ORD-114105</t>
  </si>
  <si>
    <t>ORD-114213</t>
  </si>
  <si>
    <t>ORD-114380</t>
  </si>
  <si>
    <t>ORD-114496</t>
  </si>
  <si>
    <t>Bengaluru</t>
  </si>
  <si>
    <t>ORD-114248</t>
  </si>
  <si>
    <t>ORD-114659</t>
  </si>
  <si>
    <t>Study Table</t>
  </si>
  <si>
    <t>ORD-114143</t>
  </si>
  <si>
    <t>ORD-114628</t>
  </si>
  <si>
    <t>ORD-114739</t>
  </si>
  <si>
    <t>ORD-114020</t>
  </si>
  <si>
    <t>ORD-114102</t>
  </si>
  <si>
    <t>LG 260L Double Door</t>
  </si>
  <si>
    <t>ORD-114095</t>
  </si>
  <si>
    <t>ORD-114243</t>
  </si>
  <si>
    <t>ORD-114070</t>
  </si>
  <si>
    <t>Denim Jeans</t>
  </si>
  <si>
    <t>ORD-114463</t>
  </si>
  <si>
    <t>ORD-114129</t>
  </si>
  <si>
    <t>ORD-114012</t>
  </si>
  <si>
    <t>ORD-114135</t>
  </si>
  <si>
    <t>ORD-114254</t>
  </si>
  <si>
    <t>ORD-114267</t>
  </si>
  <si>
    <t>ORD-114383</t>
  </si>
  <si>
    <t>ORD-114087</t>
  </si>
  <si>
    <t>ORD-114170</t>
  </si>
  <si>
    <t>ORD-114676</t>
  </si>
  <si>
    <t>ORD-114607</t>
  </si>
  <si>
    <t>ORD-114669</t>
  </si>
  <si>
    <t>ORD-114079</t>
  </si>
  <si>
    <t>ORD-114176</t>
  </si>
  <si>
    <t>ORD-114374</t>
  </si>
  <si>
    <t>ORD-114092</t>
  </si>
  <si>
    <t>ORD-114145</t>
  </si>
  <si>
    <t>ORD-114317</t>
  </si>
  <si>
    <t>ORD-114635</t>
  </si>
  <si>
    <t>ORD-114033</t>
  </si>
  <si>
    <t>ORD-114131</t>
  </si>
  <si>
    <t>ORD-114182</t>
  </si>
  <si>
    <t>ORD-114727</t>
  </si>
  <si>
    <t>ORD-114469</t>
  </si>
  <si>
    <t>ORD-114399</t>
  </si>
  <si>
    <t>ORD-114690</t>
  </si>
  <si>
    <t>ORD-114271</t>
  </si>
  <si>
    <t>ORD-114195</t>
  </si>
  <si>
    <t>ORD-114201</t>
  </si>
  <si>
    <t>ORD-114377</t>
  </si>
  <si>
    <t>ORD-114382</t>
  </si>
  <si>
    <t>ORD-114154</t>
  </si>
  <si>
    <t>ORD-114361</t>
  </si>
  <si>
    <t>ORD-114157</t>
  </si>
  <si>
    <t>ORD-114167</t>
  </si>
  <si>
    <t>ORD-114088</t>
  </si>
  <si>
    <t>ORD-114475</t>
  </si>
  <si>
    <t>ORD-114548</t>
  </si>
  <si>
    <t>ORD-114599</t>
  </si>
  <si>
    <t>ORD-114715</t>
  </si>
  <si>
    <t>ORD-114649</t>
  </si>
  <si>
    <t>ORD-114078</t>
  </si>
  <si>
    <t>ORD-114470</t>
  </si>
  <si>
    <t>ORD-114707</t>
  </si>
  <si>
    <t>ORD-114735</t>
  </si>
  <si>
    <t>ORD-114210</t>
  </si>
  <si>
    <t>ORD-114256</t>
  </si>
  <si>
    <t>ORD-114283</t>
  </si>
  <si>
    <t>ORD-114631</t>
  </si>
  <si>
    <t>ORD-114011</t>
  </si>
  <si>
    <t>ORD-114184</t>
  </si>
  <si>
    <t>ORD-114403</t>
  </si>
  <si>
    <t>ORD-114708</t>
  </si>
  <si>
    <t>ORD-114059</t>
  </si>
  <si>
    <t>ORD-114539</t>
  </si>
  <si>
    <t>ORD-114663</t>
  </si>
  <si>
    <t>ORD-114670</t>
  </si>
  <si>
    <t>ORD-114736</t>
  </si>
  <si>
    <t>ORD-114054</t>
  </si>
  <si>
    <t>ORD-114312</t>
  </si>
  <si>
    <t>ORD-114250</t>
  </si>
  <si>
    <t>LG 6.5kg Washing Machine</t>
  </si>
  <si>
    <t>ORD-114270</t>
  </si>
  <si>
    <t>ORD-114272</t>
  </si>
  <si>
    <t>ORD-114478</t>
  </si>
  <si>
    <t>ORD-114653</t>
  </si>
  <si>
    <t>ORD-114363</t>
  </si>
  <si>
    <t>ORD-114621</t>
  </si>
  <si>
    <t>ORD-114263</t>
  </si>
  <si>
    <t>ORD-114381</t>
  </si>
  <si>
    <t>ORD-114561</t>
  </si>
  <si>
    <t>ORD-114566</t>
  </si>
  <si>
    <t>ORD-114047</t>
  </si>
  <si>
    <t>ORD-114326</t>
  </si>
  <si>
    <t>ORD-114329</t>
  </si>
  <si>
    <t>ORD-114013</t>
  </si>
  <si>
    <t>ORD-114036</t>
  </si>
  <si>
    <t>ORD-114574</t>
  </si>
  <si>
    <t>ORD-114610</t>
  </si>
  <si>
    <t>ORD-114439</t>
  </si>
  <si>
    <t>ORD-114364</t>
  </si>
  <si>
    <t>ORD-114750</t>
  </si>
  <si>
    <t>ORD-114468</t>
  </si>
  <si>
    <t>ORD-114436</t>
  </si>
  <si>
    <t>ORD-114485</t>
  </si>
  <si>
    <t>ORD-114567</t>
  </si>
  <si>
    <t>ORD-114237</t>
  </si>
  <si>
    <t>ORD-114606</t>
  </si>
  <si>
    <t>ORD-114617</t>
  </si>
  <si>
    <t>ORD-114366</t>
  </si>
  <si>
    <t>ORD-114454</t>
  </si>
  <si>
    <t>ORD-114629</t>
  </si>
  <si>
    <t>ORD-114671</t>
  </si>
  <si>
    <t>ORD-114266</t>
  </si>
  <si>
    <t>ORD-114045</t>
  </si>
  <si>
    <t>ORD-114037</t>
  </si>
  <si>
    <t>ORD-114338</t>
  </si>
  <si>
    <t>ORD-114462</t>
  </si>
  <si>
    <t>ORD-114570</t>
  </si>
  <si>
    <t>ORD-114633</t>
  </si>
  <si>
    <t>ORD-114721</t>
  </si>
  <si>
    <t>ORD-114161</t>
  </si>
  <si>
    <t>ORD-114212</t>
  </si>
  <si>
    <t>ORD-114549</t>
  </si>
  <si>
    <t>ORD-114130</t>
  </si>
  <si>
    <t>ORD-114526</t>
  </si>
  <si>
    <t>ORD-114540</t>
  </si>
  <si>
    <t>ORD-114645</t>
  </si>
  <si>
    <t>ORD-114308</t>
  </si>
  <si>
    <t>ORD-114679</t>
  </si>
  <si>
    <t>ORD-114379</t>
  </si>
  <si>
    <t>ORD-114255</t>
  </si>
  <si>
    <t>ORD-114630</t>
  </si>
  <si>
    <t>ORD-114240</t>
  </si>
  <si>
    <t>ORD-114051</t>
  </si>
  <si>
    <t>ORD-114289</t>
  </si>
  <si>
    <t>ORD-114185</t>
  </si>
  <si>
    <t>ORD-114637</t>
  </si>
  <si>
    <t>ORD-114400</t>
  </si>
  <si>
    <t>ORD-114411</t>
  </si>
  <si>
    <t>ORD-114550</t>
  </si>
  <si>
    <t>ORD-114018</t>
  </si>
  <si>
    <t>ORD-114152</t>
  </si>
  <si>
    <t>ORD-114259</t>
  </si>
  <si>
    <t>ORD-114426</t>
  </si>
  <si>
    <t>ORD-114057</t>
  </si>
  <si>
    <t>ORD-114286</t>
  </si>
  <si>
    <t>ORD-114406</t>
  </si>
  <si>
    <t>ORD-114646</t>
  </si>
  <si>
    <t>ORD-114287</t>
  </si>
  <si>
    <t>ORD-114507</t>
  </si>
  <si>
    <t>ORD-114576</t>
  </si>
  <si>
    <t>ORD-114325</t>
  </si>
  <si>
    <t>ORD-114497</t>
  </si>
  <si>
    <t>ORD-114514</t>
  </si>
  <si>
    <t>ORD-114524</t>
  </si>
  <si>
    <t>ORD-114108</t>
  </si>
  <si>
    <t>ORD-114110</t>
  </si>
  <si>
    <t>ORD-114390</t>
  </si>
  <si>
    <t>ORD-114581</t>
  </si>
  <si>
    <t>ORD-114023</t>
  </si>
  <si>
    <t>ORD-114654</t>
  </si>
  <si>
    <t>ORD-114066</t>
  </si>
  <si>
    <t>ORD-114200</t>
  </si>
  <si>
    <t>ORD-114624</t>
  </si>
  <si>
    <t>ORD-114007</t>
  </si>
  <si>
    <t>ORD-114698</t>
  </si>
  <si>
    <t>ORD-114035</t>
  </si>
  <si>
    <t>ORD-114314</t>
  </si>
  <si>
    <t>ORD-114113</t>
  </si>
  <si>
    <t>ORD-114749</t>
  </si>
  <si>
    <t>ORD-114395</t>
  </si>
  <si>
    <t>ORD-114472</t>
  </si>
  <si>
    <t>ORD-114473</t>
  </si>
  <si>
    <t>ORD-114049</t>
  </si>
  <si>
    <t>ORD-114611</t>
  </si>
  <si>
    <t>ORD-114457</t>
  </si>
  <si>
    <t>ORD-114483</t>
  </si>
  <si>
    <t>ORD-114340</t>
  </si>
  <si>
    <t>ORD-114479</t>
  </si>
  <si>
    <t>ORD-114486</t>
  </si>
  <si>
    <t>ORD-114500</t>
  </si>
  <si>
    <t>ORD-114024</t>
  </si>
  <si>
    <t>ORD-114028</t>
  </si>
  <si>
    <t>ORD-114031</t>
  </si>
  <si>
    <t>ORD-114039</t>
  </si>
  <si>
    <t>ORD-114114</t>
  </si>
  <si>
    <t>ORD-114313</t>
  </si>
  <si>
    <t>ORD-114487</t>
  </si>
  <si>
    <t>ORD-114572</t>
  </si>
  <si>
    <t>ORD-114626</t>
  </si>
  <si>
    <t>ORD-114050</t>
  </si>
  <si>
    <t>ORD-114488</t>
  </si>
  <si>
    <t>ORD-114738</t>
  </si>
  <si>
    <t>ORD-114138</t>
  </si>
  <si>
    <t>ORD-114236</t>
  </si>
  <si>
    <t>ORD-114284</t>
  </si>
  <si>
    <t>ORD-114571</t>
  </si>
  <si>
    <t>ORD-114455</t>
  </si>
  <si>
    <t>ORD-114668</t>
  </si>
  <si>
    <t>ORD-114003</t>
  </si>
  <si>
    <t>ORD-114296</t>
  </si>
  <si>
    <t>ORD-114551</t>
  </si>
  <si>
    <t>ORD-114710</t>
  </si>
  <si>
    <t>ORD-114077</t>
  </si>
  <si>
    <t>ORD-114359</t>
  </si>
  <si>
    <t>ORD-114413</t>
  </si>
  <si>
    <t>ORD-114489</t>
  </si>
  <si>
    <t>ORD-114723</t>
  </si>
  <si>
    <t>ORD-114474</t>
  </si>
  <si>
    <t>ORD-114139</t>
  </si>
  <si>
    <t>ORD-114295</t>
  </si>
  <si>
    <t>ORD-114543</t>
  </si>
  <si>
    <t>ORD-114197</t>
  </si>
  <si>
    <t>ORD-114525</t>
  </si>
  <si>
    <t>ORD-114221</t>
  </si>
  <si>
    <t>ORD-114728</t>
  </si>
  <si>
    <t>ORD-114584</t>
  </si>
  <si>
    <t>ORD-114636</t>
  </si>
  <si>
    <t>ORD-114172</t>
  </si>
  <si>
    <t>ORD-114180</t>
  </si>
  <si>
    <t>ORD-114579</t>
  </si>
  <si>
    <t>ORD-114704</t>
  </si>
  <si>
    <t>ORD-114691</t>
  </si>
  <si>
    <t>ORD-114641</t>
  </si>
  <si>
    <t>ORD-114652</t>
  </si>
  <si>
    <t>ORD-114144</t>
  </si>
  <si>
    <t>ORD-114305</t>
  </si>
  <si>
    <t>ORD-114493</t>
  </si>
  <si>
    <t>ORD-114685</t>
  </si>
  <si>
    <t>ORD-114253</t>
  </si>
  <si>
    <t>ORD-114476</t>
  </si>
  <si>
    <t>ORD-114241</t>
  </si>
  <si>
    <t>ORD-114094</t>
  </si>
  <si>
    <t>ORD-114328</t>
  </si>
  <si>
    <t>ORD-114587</t>
  </si>
  <si>
    <t>ORD-114536</t>
  </si>
  <si>
    <t>ORD-114117</t>
  </si>
  <si>
    <t>ORD-114350</t>
  </si>
  <si>
    <t>ORD-114080</t>
  </si>
  <si>
    <t>ORD-114207</t>
  </si>
  <si>
    <t>ORD-114277</t>
  </si>
  <si>
    <t>ORD-114499</t>
  </si>
  <si>
    <t>ORD-114545</t>
  </si>
  <si>
    <t>ORD-114467</t>
  </si>
  <si>
    <t>ORD-114577</t>
  </si>
  <si>
    <t>ORD-114741</t>
  </si>
  <si>
    <t>ORD-114311</t>
  </si>
  <si>
    <t>ORD-114720</t>
  </si>
  <si>
    <t>ORD-114252</t>
  </si>
  <si>
    <t>ORD-114408</t>
  </si>
  <si>
    <t>ORD-114416</t>
  </si>
  <si>
    <t>ORD-114424</t>
  </si>
  <si>
    <t>ORD-114559</t>
  </si>
  <si>
    <t>ORD-114623</t>
  </si>
  <si>
    <t>ORD-114056</t>
  </si>
  <si>
    <t>ORD-114191</t>
  </si>
  <si>
    <t>ORD-114104</t>
  </si>
  <si>
    <t>ORD-114746</t>
  </si>
  <si>
    <t>ORD-114261</t>
  </si>
  <si>
    <t>ORD-114490</t>
  </si>
  <si>
    <t>ORD-114215</t>
  </si>
  <si>
    <t>ORD-114260</t>
  </si>
  <si>
    <t>ORD-114585</t>
  </si>
  <si>
    <t>ORD-114531</t>
  </si>
  <si>
    <t>ORD-114650</t>
  </si>
  <si>
    <t>ORD-114578</t>
  </si>
  <si>
    <t>ORD-114680</t>
  </si>
  <si>
    <t>ORD-114125</t>
  </si>
  <si>
    <t>ORD-114662</t>
  </si>
  <si>
    <t>ORD-114460</t>
  </si>
  <si>
    <t>ORD-114394</t>
  </si>
  <si>
    <t>ORD-114100</t>
  </si>
  <si>
    <t>ORD-114229</t>
  </si>
  <si>
    <t>ORD-114744</t>
  </si>
  <si>
    <t>ORD-114158</t>
  </si>
  <si>
    <t>ORD-114173</t>
  </si>
  <si>
    <t>ORD-114494</t>
  </si>
  <si>
    <t>ORD-114684</t>
  </si>
  <si>
    <t>ORD-114734</t>
  </si>
  <si>
    <t>ORD-114006</t>
  </si>
  <si>
    <t>ORD-114501</t>
  </si>
  <si>
    <t>ORD-114644</t>
  </si>
  <si>
    <t>ORD-114280</t>
  </si>
  <si>
    <t>ORD-114506</t>
  </si>
  <si>
    <t>ORD-114592</t>
  </si>
  <si>
    <t>ORD-114230</t>
  </si>
  <si>
    <t>ORD-114449</t>
  </si>
  <si>
    <t>ORD-114642</t>
  </si>
  <si>
    <t>ORD-114121</t>
  </si>
  <si>
    <t>ORD-114142</t>
  </si>
  <si>
    <t>ORD-114304</t>
  </si>
  <si>
    <t>ORD-114354</t>
  </si>
  <si>
    <t>ORD-114096</t>
  </si>
  <si>
    <t>ORD-114153</t>
  </si>
  <si>
    <t>ORD-114370</t>
  </si>
  <si>
    <t>ORD-114564</t>
  </si>
  <si>
    <t>ORD-114693</t>
  </si>
  <si>
    <t>ORD-114696</t>
  </si>
  <si>
    <t>ORD-114064</t>
  </si>
  <si>
    <t>ORD-114385</t>
  </si>
  <si>
    <t>ORD-114529</t>
  </si>
  <si>
    <t>ORD-114554</t>
  </si>
  <si>
    <t>ORD-114097</t>
  </si>
  <si>
    <t>ORD-114106</t>
  </si>
  <si>
    <t>ORD-114216</t>
  </si>
  <si>
    <t>ORD-114742</t>
  </si>
  <si>
    <t>ORD-114290</t>
  </si>
  <si>
    <t>ORD-114580</t>
  </si>
  <si>
    <t>ORD-114332</t>
  </si>
  <si>
    <t>ORD-114442</t>
  </si>
  <si>
    <t>ORD-114269</t>
  </si>
  <si>
    <t>ORD-114405</t>
  </si>
  <si>
    <t>ORD-114609</t>
  </si>
  <si>
    <t>ORD-114242</t>
  </si>
  <si>
    <t>ORD-114246</t>
  </si>
  <si>
    <t>ORD-114713</t>
  </si>
  <si>
    <t>ORD-114292</t>
  </si>
  <si>
    <t>ORD-114420</t>
  </si>
  <si>
    <t>ORD-114491</t>
  </si>
  <si>
    <t>ORD-114217</t>
  </si>
  <si>
    <t>ORD-114198</t>
  </si>
  <si>
    <t>ORD-114495</t>
  </si>
  <si>
    <t>ORD-114521</t>
  </si>
  <si>
    <t>ORD-114169</t>
  </si>
  <si>
    <t>ORD-114203</t>
  </si>
  <si>
    <t>ORD-114345</t>
  </si>
  <si>
    <t>ORD-114430</t>
  </si>
  <si>
    <t>ORD-114520</t>
  </si>
  <si>
    <t>ORD-114316</t>
  </si>
  <si>
    <t>ORD-114021</t>
  </si>
  <si>
    <t>ORD-114042</t>
  </si>
  <si>
    <t>ORD-114373</t>
  </si>
  <si>
    <t>ORD-114743</t>
  </si>
  <si>
    <t>ORD-114133</t>
  </si>
  <si>
    <t>ORD-114209</t>
  </si>
  <si>
    <t>ORD-114417</t>
  </si>
  <si>
    <t>ORD-114307</t>
  </si>
  <si>
    <t>ORD-114336</t>
  </si>
  <si>
    <t>ORD-114367</t>
  </si>
  <si>
    <t>ORD-114446</t>
  </si>
  <si>
    <t>ORD-114091</t>
  </si>
  <si>
    <t>ORD-114222</t>
  </si>
  <si>
    <t>ORD-114422</t>
  </si>
  <si>
    <t>ORD-114103</t>
  </si>
  <si>
    <t>ORD-114396</t>
  </si>
  <si>
    <t>ORD-114410</t>
  </si>
  <si>
    <t>ORD-114150</t>
  </si>
  <si>
    <t>ORD-114320</t>
  </si>
  <si>
    <t>ORD-114346</t>
  </si>
  <si>
    <t>ORD-114632</t>
  </si>
  <si>
    <t>ORD-114402</t>
  </si>
  <si>
    <t>ORD-114719</t>
  </si>
  <si>
    <t>ORD-114745</t>
  </si>
  <si>
    <t>ORD-114688</t>
  </si>
  <si>
    <t>ORD-114124</t>
  </si>
  <si>
    <t>ORD-114300</t>
  </si>
  <si>
    <t>ORD-114725</t>
  </si>
  <si>
    <t>ORD-114041</t>
  </si>
  <si>
    <t>ORD-114164</t>
  </si>
  <si>
    <t>ORD-114535</t>
  </si>
  <si>
    <t>ORD-114694</t>
  </si>
  <si>
    <t>ORD-114397</t>
  </si>
  <si>
    <t>ORD-114519</t>
  </si>
  <si>
    <t>ORD-114166</t>
  </si>
  <si>
    <t>ORD-114638</t>
  </si>
  <si>
    <t>ORD-114030</t>
  </si>
  <si>
    <t>ORD-114148</t>
  </si>
  <si>
    <t>ORD-114072</t>
  </si>
  <si>
    <t>ORD-114163</t>
  </si>
  <si>
    <t>ORD-114194</t>
  </si>
  <si>
    <t>ORD-114492</t>
  </si>
  <si>
    <t>ORD-114717</t>
  </si>
  <si>
    <t>ORD-114582</t>
  </si>
  <si>
    <t>ORD-114165</t>
  </si>
  <si>
    <t>ORD-114598</t>
  </si>
  <si>
    <t>ORD-114440</t>
  </si>
  <si>
    <t>ORD-114602</t>
  </si>
  <si>
    <t>ORD-114244</t>
  </si>
  <si>
    <t>ORD-114477</t>
  </si>
  <si>
    <t>ORD-114618</t>
  </si>
  <si>
    <t>ORD-114119</t>
  </si>
  <si>
    <t>ORD-114511</t>
  </si>
  <si>
    <t>ORD-114111</t>
  </si>
  <si>
    <t>ORD-114204</t>
  </si>
  <si>
    <t>ORD-114590</t>
  </si>
  <si>
    <t>ORD-114634</t>
  </si>
  <si>
    <t>ORD-114726</t>
  </si>
  <si>
    <t>ORD-114190</t>
  </si>
  <si>
    <t>ORD-114372</t>
  </si>
  <si>
    <t>ORD-114205</t>
  </si>
  <si>
    <t>ORD-114273</t>
  </si>
  <si>
    <t>ORD-114648</t>
  </si>
  <si>
    <t>ORD-114132</t>
  </si>
  <si>
    <t>ORD-114022</t>
  </si>
  <si>
    <t>ORD-114214</t>
  </si>
  <si>
    <t>ORD-114528</t>
  </si>
  <si>
    <t>ORD-114575</t>
  </si>
  <si>
    <t>ORD-114569</t>
  </si>
  <si>
    <t>ORD-114608</t>
  </si>
  <si>
    <t>ORD-114082</t>
  </si>
  <si>
    <t>ORD-114294</t>
  </si>
  <si>
    <t>ORD-114322</t>
  </si>
  <si>
    <t>ORD-114429</t>
  </si>
  <si>
    <t>ORD-114044</t>
  </si>
  <si>
    <t>ORD-114342</t>
  </si>
  <si>
    <t>ORD-114747</t>
  </si>
  <si>
    <t>ORD-114174</t>
  </si>
  <si>
    <t>ORD-114199</t>
  </si>
  <si>
    <t>ORD-114227</t>
  </si>
  <si>
    <t>ORD-114333</t>
  </si>
  <si>
    <t>ORD-114658</t>
  </si>
  <si>
    <t>ORD-114181</t>
  </si>
  <si>
    <t>ORD-114515</t>
  </si>
  <si>
    <t>ORD-114556</t>
  </si>
  <si>
    <t>ORD-114146</t>
  </si>
  <si>
    <t>ORD-114647</t>
  </si>
  <si>
    <t>ORD-114673</t>
  </si>
  <si>
    <t>ORD-114689</t>
  </si>
  <si>
    <t>ORD-114709</t>
  </si>
  <si>
    <t>ORD-114471</t>
  </si>
  <si>
    <t>ORD-114589</t>
  </si>
  <si>
    <t>ORD-114339</t>
  </si>
  <si>
    <t>ORD-114337</t>
  </si>
  <si>
    <t>ORD-114389</t>
  </si>
  <si>
    <t>ORD-114464</t>
  </si>
  <si>
    <t>ORD-114737</t>
  </si>
  <si>
    <t>ORD-114101</t>
  </si>
  <si>
    <t>ORD-114299</t>
  </si>
  <si>
    <t>ORD-114330</t>
  </si>
  <si>
    <t>ORD-114502</t>
  </si>
  <si>
    <t>ORD-114701</t>
  </si>
  <si>
    <t>ORD-114301</t>
  </si>
  <si>
    <t>ORD-114627</t>
  </si>
  <si>
    <t>ORD-114321</t>
  </si>
  <si>
    <t>ORD-114118</t>
  </si>
  <si>
    <t>ORD-114509</t>
  </si>
  <si>
    <t>ORD-114639</t>
  </si>
  <si>
    <t>ORD-114692</t>
  </si>
  <si>
    <t>ORD-114560</t>
  </si>
  <si>
    <t>ORD-114026</t>
  </si>
  <si>
    <t>ORD-114302</t>
  </si>
  <si>
    <t>ORD-114547</t>
  </si>
  <si>
    <t>ORD-114458</t>
  </si>
  <si>
    <t>ORD-114407</t>
  </si>
  <si>
    <t>ORD-114414</t>
  </si>
  <si>
    <t>ORD-114683</t>
  </si>
  <si>
    <t>ORD-114705</t>
  </si>
  <si>
    <t>ORD-114017</t>
  </si>
  <si>
    <t>ORD-114351</t>
  </si>
  <si>
    <t>ORD-114309</t>
  </si>
  <si>
    <t>ORD-114358</t>
  </si>
  <si>
    <t>ORD-114433</t>
  </si>
  <si>
    <t>ORD-114453</t>
  </si>
  <si>
    <t>ORD-114712</t>
  </si>
  <si>
    <t>ORD-114193</t>
  </si>
  <si>
    <t>ORD-114352</t>
  </si>
  <si>
    <t>ORD-114482</t>
  </si>
  <si>
    <t>ORD-114664</t>
  </si>
  <si>
    <t>ORD-114465</t>
  </si>
  <si>
    <t>ORD-114555</t>
  </si>
  <si>
    <t>ORD-114016</t>
  </si>
  <si>
    <t>ORD-114293</t>
  </si>
  <si>
    <t>ORD-114014</t>
  </si>
  <si>
    <t>ORD-114126</t>
  </si>
  <si>
    <t>ORD-114225</t>
  </si>
  <si>
    <t>ORD-114218</t>
  </si>
  <si>
    <t>ORD-114601</t>
  </si>
  <si>
    <t>ORD-114149</t>
  </si>
  <si>
    <t>ORD-114615</t>
  </si>
  <si>
    <t>ORD-114069</t>
  </si>
  <si>
    <t>ORD-114186</t>
  </si>
  <si>
    <t>ORD-114226</t>
  </si>
  <si>
    <t>ORD-114347</t>
  </si>
  <si>
    <t>ORD-114448</t>
  </si>
  <si>
    <t>ORD-114563</t>
  </si>
  <si>
    <t>ORD-114702</t>
  </si>
  <si>
    <t>ORD-114224</t>
  </si>
  <si>
    <t>ORD-114481</t>
  </si>
  <si>
    <t>ORD-114695</t>
  </si>
  <si>
    <t>ORD-114401</t>
  </si>
  <si>
    <t>ORD-114534</t>
  </si>
  <si>
    <t>ORD-114196</t>
  </si>
  <si>
    <t>ORD-114233</t>
  </si>
  <si>
    <t>ORD-114315</t>
  </si>
  <si>
    <t>ORD-114451</t>
  </si>
  <si>
    <t>ORD-114456</t>
  </si>
  <si>
    <t>ORD-114076</t>
  </si>
  <si>
    <t>ORD-114090</t>
  </si>
  <si>
    <t>ORD-114427</t>
  </si>
  <si>
    <t>ORD-114748</t>
  </si>
  <si>
    <t>ORD-114112</t>
  </si>
  <si>
    <t>ORD-114461</t>
  </si>
  <si>
    <t>ORD-114588</t>
  </si>
  <si>
    <t>ORD-114665</t>
  </si>
  <si>
    <t>ORD-114388</t>
  </si>
  <si>
    <t>ORD-114508</t>
  </si>
  <si>
    <t>ORD-114724</t>
  </si>
  <si>
    <t>ORD-114732</t>
  </si>
  <si>
    <t>ORD-114431</t>
  </si>
  <si>
    <t>ORD-114127</t>
  </si>
  <si>
    <t>ORD-114423</t>
  </si>
  <si>
    <t>ORD-114614</t>
  </si>
  <si>
    <t>ORD-114187</t>
  </si>
  <si>
    <t>ORD-114140</t>
  </si>
  <si>
    <t>ORD-114249</t>
  </si>
  <si>
    <t>ORD-114343</t>
  </si>
  <si>
    <t>ORD-114362</t>
  </si>
  <si>
    <t>ORD-114504</t>
  </si>
  <si>
    <t>ORD-114513</t>
  </si>
  <si>
    <t>ORD-114208</t>
  </si>
  <si>
    <t>ORD-114409</t>
  </si>
  <si>
    <t>ORD-114438</t>
  </si>
  <si>
    <t>ORD-114643</t>
  </si>
  <si>
    <t>ORD-114040</t>
  </si>
  <si>
    <t>ORD-114282</t>
  </si>
  <si>
    <t>ORD-114591</t>
  </si>
  <si>
    <t>ORD-114600</t>
  </si>
  <si>
    <t>ORD-114025</t>
  </si>
  <si>
    <t>ORD-114027</t>
  </si>
  <si>
    <t>ORD-114231</t>
  </si>
  <si>
    <t>ORD-114651</t>
  </si>
  <si>
    <t>ORD-114681</t>
  </si>
  <si>
    <t>ORD-114703</t>
  </si>
  <si>
    <t>ORD-114010</t>
  </si>
  <si>
    <t>ORD-114192</t>
  </si>
  <si>
    <t>ORD-114527</t>
  </si>
  <si>
    <t>ORD-114697</t>
  </si>
  <si>
    <t>ORD-114052</t>
  </si>
  <si>
    <t>ORD-114365</t>
  </si>
  <si>
    <t>ORD-114666</t>
  </si>
  <si>
    <t>ORD-114134</t>
  </si>
  <si>
    <t>ORD-114714</t>
  </si>
  <si>
    <t>ORD-114001</t>
  </si>
  <si>
    <t>ORD-114687</t>
  </si>
  <si>
    <t>ORD-114063</t>
  </si>
  <si>
    <t>ORD-114115</t>
  </si>
  <si>
    <t>ORD-114310</t>
  </si>
  <si>
    <t>ORD-114048</t>
  </si>
  <si>
    <t>ORD-114523</t>
  </si>
  <si>
    <t>ORD-114722</t>
  </si>
  <si>
    <t>ORD-114065</t>
  </si>
  <si>
    <t>ORD-114074</t>
  </si>
  <si>
    <t>ORD-114211</t>
  </si>
  <si>
    <t>ORD-114730</t>
  </si>
  <si>
    <t>ORD-114291</t>
  </si>
  <si>
    <t>ORD-114398</t>
  </si>
  <si>
    <t>ORD-114053</t>
  </si>
  <si>
    <t>ORD-114136</t>
  </si>
  <si>
    <t>ORD-114189</t>
  </si>
  <si>
    <t>ORD-114086</t>
  </si>
  <si>
    <t>ORD-114155</t>
  </si>
  <si>
    <t>ORD-114357</t>
  </si>
  <si>
    <t>ORD-114378</t>
  </si>
  <si>
    <t>ORD-114298</t>
  </si>
  <si>
    <t>ORD-114537</t>
  </si>
  <si>
    <t>ORD-114319</t>
  </si>
  <si>
    <t>ORD-114369</t>
  </si>
  <si>
    <t>ORD-114412</t>
  </si>
  <si>
    <t>ORD-114443</t>
  </si>
  <si>
    <t>ORD-114557</t>
  </si>
  <si>
    <t>ORD-114251</t>
  </si>
  <si>
    <t>ORD-114276</t>
  </si>
  <si>
    <t>ORD-114404</t>
  </si>
  <si>
    <t>ORD-114425</t>
  </si>
  <si>
    <t>ORD-114597</t>
  </si>
  <si>
    <t>ORD-114235</t>
  </si>
  <si>
    <t>ORD-114245</t>
  </si>
  <si>
    <t>ORD-114348</t>
  </si>
  <si>
    <t>ORD-114620</t>
  </si>
  <si>
    <t>ORD-114075</t>
  </si>
  <si>
    <t>ORD-114393</t>
  </si>
  <si>
    <t>ORD-114156</t>
  </si>
  <si>
    <t>ORD-114306</t>
  </si>
  <si>
    <t>ORD-114188</t>
  </si>
  <si>
    <t>ORD-114480</t>
  </si>
  <si>
    <t>ORD-114562</t>
  </si>
  <si>
    <t>ORD-114073</t>
  </si>
  <si>
    <t>ORD-114279</t>
  </si>
  <si>
    <t>ORD-114517</t>
  </si>
  <si>
    <t>ORD-114718</t>
  </si>
  <si>
    <t>ORD-114368</t>
  </si>
  <si>
    <t>ORD-114510</t>
  </si>
  <si>
    <t>ORD-114062</t>
  </si>
  <si>
    <t>ORD-114137</t>
  </si>
  <si>
    <t>ORD-114392</t>
  </si>
  <si>
    <t>ORD-114706</t>
  </si>
  <si>
    <t>ORD-114099</t>
  </si>
  <si>
    <t>ORD-114206</t>
  </si>
  <si>
    <t>ORD-114264</t>
  </si>
  <si>
    <t>ORD-114612</t>
  </si>
  <si>
    <t>ORD-114667</t>
  </si>
  <si>
    <t>ORD-114178</t>
  </si>
  <si>
    <t>ORD-114179</t>
  </si>
  <si>
    <t>ORD-114418</t>
  </si>
  <si>
    <t>ORD-114009</t>
  </si>
  <si>
    <t>ORD-114055</t>
  </si>
  <si>
    <t>ORD-114116</t>
  </si>
  <si>
    <t>ORD-114160</t>
  </si>
  <si>
    <t>ORD-114202</t>
  </si>
  <si>
    <t>ORD-114544</t>
  </si>
  <si>
    <t>ORD-114583</t>
  </si>
  <si>
    <t>ORD-114162</t>
  </si>
  <si>
    <t>ORD-114258</t>
  </si>
  <si>
    <t>ORD-114657</t>
  </si>
  <si>
    <t>ORD-114002</t>
  </si>
  <si>
    <t>ORD-114297</t>
  </si>
  <si>
    <t>ORD-114546</t>
  </si>
  <si>
    <t>ORD-114356</t>
  </si>
  <si>
    <t>ORD-114603</t>
  </si>
  <si>
    <t>ORD-114391</t>
  </si>
  <si>
    <t>ORD-114434</t>
  </si>
  <si>
    <t>ORD-114093</t>
  </si>
  <si>
    <t>ORD-114109</t>
  </si>
  <si>
    <t>ORD-114232</t>
  </si>
  <si>
    <t>ORD-114278</t>
  </si>
  <si>
    <t>ORD-114386</t>
  </si>
  <si>
    <t>ORD-114447</t>
  </si>
  <si>
    <t>ORD-114123</t>
  </si>
  <si>
    <t>ORD-114596</t>
  </si>
  <si>
    <t>ORD-114441</t>
  </si>
  <si>
    <t>ORD-114450</t>
  </si>
  <si>
    <t>ORD-114503</t>
  </si>
  <si>
    <t>ORD-114061</t>
  </si>
  <si>
    <t>ORD-114128</t>
  </si>
  <si>
    <t>ORD-114147</t>
  </si>
  <si>
    <t>ORD-114219</t>
  </si>
  <si>
    <t>ORD-114553</t>
  </si>
  <si>
    <t>ORD-114067</t>
  </si>
  <si>
    <t>ORD-114083</t>
  </si>
  <si>
    <t>ORD-114120</t>
  </si>
  <si>
    <t>ORD-114122</t>
  </si>
  <si>
    <t>ORD-114098</t>
  </si>
  <si>
    <t>ORD-114019</t>
  </si>
  <si>
    <t>ORD-114058</t>
  </si>
  <si>
    <t>ORD-114341</t>
  </si>
  <si>
    <t>ORD-114716</t>
  </si>
  <si>
    <t>ORD-114731</t>
  </si>
  <si>
    <t>ORD-114268</t>
  </si>
  <si>
    <t>ORD-114437</t>
  </si>
  <si>
    <t>ORD-114604</t>
  </si>
  <si>
    <t>ORD-114288</t>
  </si>
  <si>
    <t>ORD-114533</t>
  </si>
  <si>
    <t>ORD-114619</t>
  </si>
  <si>
    <t>ORD-114622</t>
  </si>
  <si>
    <t>ORD-114175</t>
  </si>
  <si>
    <t>ORD-114415</t>
  </si>
  <si>
    <t>ORD-114522</t>
  </si>
  <si>
    <t>ORD-114032</t>
  </si>
  <si>
    <t>ORD-114484</t>
  </si>
  <si>
    <t>ORD-114060</t>
  </si>
  <si>
    <t>ORD-114674</t>
  </si>
  <si>
    <t>ORD-114675</t>
  </si>
  <si>
    <t>ORD-114677</t>
  </si>
  <si>
    <t>ORD-114257</t>
  </si>
  <si>
    <t>ORD-114371</t>
  </si>
  <si>
    <t>ORD-114376</t>
  </si>
  <si>
    <t>ORD-114046</t>
  </si>
  <si>
    <t>ORD-114228</t>
  </si>
  <si>
    <t>ORD-114238</t>
  </si>
  <si>
    <t>ORD-114384</t>
  </si>
  <si>
    <t>ORD-114445</t>
  </si>
  <si>
    <t>ORD-114616</t>
  </si>
  <si>
    <t>ORD-114466</t>
  </si>
  <si>
    <t>ORD-114518</t>
  </si>
  <si>
    <t>ORD-114672</t>
  </si>
  <si>
    <t>ORD-114285</t>
  </si>
  <si>
    <t>ORD-114387</t>
  </si>
  <si>
    <t>ORD-114068</t>
  </si>
  <si>
    <t>ORD-114005</t>
  </si>
  <si>
    <t>ORD-114220</t>
  </si>
  <si>
    <t>ORD-114265</t>
  </si>
  <si>
    <t>ORD-114327</t>
  </si>
  <si>
    <t>ORD-114335</t>
  </si>
  <si>
    <t>ORD-114353</t>
  </si>
  <si>
    <t>ORD-114613</t>
  </si>
  <si>
    <t>ORD-114655</t>
  </si>
  <si>
    <t>ORD-114682</t>
  </si>
  <si>
    <t>ORD-114733</t>
  </si>
  <si>
    <t>ORD-114151</t>
  </si>
  <si>
    <t>ORD-114360</t>
  </si>
  <si>
    <t>ORD-114530</t>
  </si>
  <si>
    <t>ORD-115094</t>
  </si>
  <si>
    <t>ORD-114942</t>
  </si>
  <si>
    <t>ORD-114946</t>
  </si>
  <si>
    <t>ORD-114845</t>
  </si>
  <si>
    <t>ORD-115401</t>
  </si>
  <si>
    <t>ORD-115000</t>
  </si>
  <si>
    <t>ORD-115019</t>
  </si>
  <si>
    <t>ORD-115055</t>
  </si>
  <si>
    <t>ORD-115121</t>
  </si>
  <si>
    <t>ORD-115321</t>
  </si>
  <si>
    <t>ORD-115379</t>
  </si>
  <si>
    <t>ORD-115178</t>
  </si>
  <si>
    <t>ORD-114973</t>
  </si>
  <si>
    <t>ORD-115064</t>
  </si>
  <si>
    <t>ORD-114792</t>
  </si>
  <si>
    <t>ORD-115242</t>
  </si>
  <si>
    <t>ORD-114794</t>
  </si>
  <si>
    <t>ORD-115141</t>
  </si>
  <si>
    <t>ORD-115201</t>
  </si>
  <si>
    <t>ORD-115262</t>
  </si>
  <si>
    <t>ORD-115489</t>
  </si>
  <si>
    <t>ORD-114932</t>
  </si>
  <si>
    <t>ORD-115313</t>
  </si>
  <si>
    <t>ORD-115341</t>
  </si>
  <si>
    <t>ORD-114777</t>
  </si>
  <si>
    <t>ORD-114905</t>
  </si>
  <si>
    <t>ORD-115104</t>
  </si>
  <si>
    <t>ORD-115475</t>
  </si>
  <si>
    <t>ORD-115039</t>
  </si>
  <si>
    <t>ORD-115389</t>
  </si>
  <si>
    <t>ORD-114925</t>
  </si>
  <si>
    <t>ORD-114963</t>
  </si>
  <si>
    <t>ORD-115100</t>
  </si>
  <si>
    <t>ORD-115117</t>
  </si>
  <si>
    <t>ORD-115393</t>
  </si>
  <si>
    <t>ORD-115449</t>
  </si>
  <si>
    <t>ORD-115142</t>
  </si>
  <si>
    <t>ORD-115464</t>
  </si>
  <si>
    <t>ORD-114790</t>
  </si>
  <si>
    <t>ORD-115054</t>
  </si>
  <si>
    <t>ORD-115236</t>
  </si>
  <si>
    <t>ORD-115174</t>
  </si>
  <si>
    <t>ORD-115277</t>
  </si>
  <si>
    <t>ORD-115443</t>
  </si>
  <si>
    <t>ORD-114836</t>
  </si>
  <si>
    <t>ORD-114992</t>
  </si>
  <si>
    <t>ORD-115223</t>
  </si>
  <si>
    <t>ORD-115091</t>
  </si>
  <si>
    <t>ORD-114796</t>
  </si>
  <si>
    <t>ORD-115011</t>
  </si>
  <si>
    <t>ORD-115131</t>
  </si>
  <si>
    <t>ORD-115115</t>
  </si>
  <si>
    <t>ORD-115330</t>
  </si>
  <si>
    <t>ORD-115430</t>
  </si>
  <si>
    <t>ORD-114781</t>
  </si>
  <si>
    <t>ORD-114909</t>
  </si>
  <si>
    <t>ORD-115092</t>
  </si>
  <si>
    <t>ORD-115419</t>
  </si>
  <si>
    <t>ORD-115447</t>
  </si>
  <si>
    <t>ORD-114765</t>
  </si>
  <si>
    <t>ORD-115359</t>
  </si>
  <si>
    <t>ORD-115433</t>
  </si>
  <si>
    <t>ORD-115282</t>
  </si>
  <si>
    <t>ORD-115308</t>
  </si>
  <si>
    <t>ORD-115402</t>
  </si>
  <si>
    <t>ORD-115424</t>
  </si>
  <si>
    <t>ORD-115463</t>
  </si>
  <si>
    <t>ORD-114986</t>
  </si>
  <si>
    <t>ORD-115494</t>
  </si>
  <si>
    <t>ORD-115063</t>
  </si>
  <si>
    <t>ORD-115111</t>
  </si>
  <si>
    <t>ORD-115474</t>
  </si>
  <si>
    <t>ORD-114830</t>
  </si>
  <si>
    <t>ORD-115047</t>
  </si>
  <si>
    <t>ORD-115106</t>
  </si>
  <si>
    <t>ORD-115113</t>
  </si>
  <si>
    <t>ORD-115415</t>
  </si>
  <si>
    <t>ORD-114865</t>
  </si>
  <si>
    <t>ORD-114993</t>
  </si>
  <si>
    <t>ORD-115060</t>
  </si>
  <si>
    <t>ORD-115140</t>
  </si>
  <si>
    <t>ORD-114880</t>
  </si>
  <si>
    <t>ORD-115274</t>
  </si>
  <si>
    <t>ORD-114902</t>
  </si>
  <si>
    <t>ORD-115212</t>
  </si>
  <si>
    <t>ORD-114954</t>
  </si>
  <si>
    <t>ORD-114847</t>
  </si>
  <si>
    <t>ORD-115128</t>
  </si>
  <si>
    <t>ORD-115239</t>
  </si>
  <si>
    <t>ORD-115007</t>
  </si>
  <si>
    <t>ORD-114891</t>
  </si>
  <si>
    <t>ORD-115417</t>
  </si>
  <si>
    <t>ORD-114818</t>
  </si>
  <si>
    <t>ORD-115053</t>
  </si>
  <si>
    <t>ORD-114928</t>
  </si>
  <si>
    <t>ORD-115032</t>
  </si>
  <si>
    <t>ORD-115255</t>
  </si>
  <si>
    <t>ORD-115375</t>
  </si>
  <si>
    <t>ORD-114799</t>
  </si>
  <si>
    <t>ORD-115037</t>
  </si>
  <si>
    <t>ORD-115163</t>
  </si>
  <si>
    <t>ORD-115302</t>
  </si>
  <si>
    <t>ORD-114828</t>
  </si>
  <si>
    <t>ORD-115061</t>
  </si>
  <si>
    <t>ORD-115318</t>
  </si>
  <si>
    <t>ORD-115158</t>
  </si>
  <si>
    <t>ORD-115473</t>
  </si>
  <si>
    <t>ORD-115383</t>
  </si>
  <si>
    <t>ORD-114767</t>
  </si>
  <si>
    <t>ORD-114854</t>
  </si>
  <si>
    <t>ORD-114990</t>
  </si>
  <si>
    <t>ORD-115114</t>
  </si>
  <si>
    <t>ORD-115260</t>
  </si>
  <si>
    <t>ORD-115484</t>
  </si>
  <si>
    <t>ORD-114944</t>
  </si>
  <si>
    <t>ORD-114961</t>
  </si>
  <si>
    <t>ORD-115168</t>
  </si>
  <si>
    <t>ORD-115307</t>
  </si>
  <si>
    <t>ORD-115068</t>
  </si>
  <si>
    <t>ORD-114760</t>
  </si>
  <si>
    <t>ORD-114904</t>
  </si>
  <si>
    <t>ORD-115472</t>
  </si>
  <si>
    <t>ORD-114918</t>
  </si>
  <si>
    <t>ORD-114785</t>
  </si>
  <si>
    <t>ORD-115272</t>
  </si>
  <si>
    <t>ORD-115382</t>
  </si>
  <si>
    <t>ORD-115036</t>
  </si>
  <si>
    <t>ORD-114791</t>
  </si>
  <si>
    <t>ORD-114823</t>
  </si>
  <si>
    <t>ORD-114937</t>
  </si>
  <si>
    <t>ORD-115021</t>
  </si>
  <si>
    <t>ORD-115122</t>
  </si>
  <si>
    <t>ORD-115324</t>
  </si>
  <si>
    <t>ORD-114824</t>
  </si>
  <si>
    <t>ORD-115187</t>
  </si>
  <si>
    <t>ORD-115414</t>
  </si>
  <si>
    <t>ORD-115173</t>
  </si>
  <si>
    <t>ORD-115400</t>
  </si>
  <si>
    <t>ORD-115206</t>
  </si>
  <si>
    <t>ORD-114972</t>
  </si>
  <si>
    <t>ORD-115107</t>
  </si>
  <si>
    <t>ORD-115357</t>
  </si>
  <si>
    <t>ORD-115491</t>
  </si>
  <si>
    <t>ORD-114906</t>
  </si>
  <si>
    <t>ORD-114941</t>
  </si>
  <si>
    <t>ORD-114916</t>
  </si>
  <si>
    <t>ORD-115469</t>
  </si>
  <si>
    <t>ORD-114803</t>
  </si>
  <si>
    <t>ORD-114848</t>
  </si>
  <si>
    <t>ORD-115109</t>
  </si>
  <si>
    <t>ORD-114800</t>
  </si>
  <si>
    <t>ORD-114903</t>
  </si>
  <si>
    <t>ORD-115183</t>
  </si>
  <si>
    <t>ORD-115200</t>
  </si>
  <si>
    <t>ORD-115358</t>
  </si>
  <si>
    <t>ORD-115392</t>
  </si>
  <si>
    <t>ORD-115498</t>
  </si>
  <si>
    <t>ORD-115436</t>
  </si>
  <si>
    <t>ORD-115003</t>
  </si>
  <si>
    <t>ORD-115020</t>
  </si>
  <si>
    <t>ORD-115292</t>
  </si>
  <si>
    <t>ORD-115332</t>
  </si>
  <si>
    <t>ORD-115452</t>
  </si>
  <si>
    <t>ORD-114883</t>
  </si>
  <si>
    <t>ORD-115334</t>
  </si>
  <si>
    <t>ORD-115250</t>
  </si>
  <si>
    <t>ORD-115270</t>
  </si>
  <si>
    <t>ORD-115284</t>
  </si>
  <si>
    <t>ORD-114768</t>
  </si>
  <si>
    <t>ORD-115162</t>
  </si>
  <si>
    <t>ORD-115311</t>
  </si>
  <si>
    <t>ORD-115429</t>
  </si>
  <si>
    <t>ORD-114889</t>
  </si>
  <si>
    <t>ORD-114951</t>
  </si>
  <si>
    <t>ORD-115108</t>
  </si>
  <si>
    <t>ORD-115175</t>
  </si>
  <si>
    <t>ORD-115343</t>
  </si>
  <si>
    <t>ORD-114783</t>
  </si>
  <si>
    <t>ORD-115132</t>
  </si>
  <si>
    <t>ORD-115312</t>
  </si>
  <si>
    <t>ORD-114940</t>
  </si>
  <si>
    <t>ORD-115486</t>
  </si>
  <si>
    <t>ORD-114837</t>
  </si>
  <si>
    <t>ORD-115335</t>
  </si>
  <si>
    <t>ORD-115051</t>
  </si>
  <si>
    <t>ORD-114995</t>
  </si>
  <si>
    <t>ORD-115205</t>
  </si>
  <si>
    <t>ORD-115224</t>
  </si>
  <si>
    <t>ORD-114811</t>
  </si>
  <si>
    <t>ORD-114858</t>
  </si>
  <si>
    <t>ORD-114873</t>
  </si>
  <si>
    <t>ORD-114943</t>
  </si>
  <si>
    <t>ORD-114893</t>
  </si>
  <si>
    <t>ORD-114976</t>
  </si>
  <si>
    <t>ORD-115156</t>
  </si>
  <si>
    <t>ORD-115202</t>
  </si>
  <si>
    <t>ORD-115231</t>
  </si>
  <si>
    <t>ORD-114984</t>
  </si>
  <si>
    <t>ORD-114795</t>
  </si>
  <si>
    <t>ORD-115211</t>
  </si>
  <si>
    <t>ORD-115345</t>
  </si>
  <si>
    <t>ORD-115420</t>
  </si>
  <si>
    <t>ORD-115465</t>
  </si>
  <si>
    <t>ORD-115110</t>
  </si>
  <si>
    <t>ORD-114868</t>
  </si>
  <si>
    <t>ORD-114879</t>
  </si>
  <si>
    <t>ORD-115040</t>
  </si>
  <si>
    <t>ORD-114915</t>
  </si>
  <si>
    <t>ORD-115002</t>
  </si>
  <si>
    <t>ORD-115207</t>
  </si>
  <si>
    <t>ORD-114844</t>
  </si>
  <si>
    <t>ORD-115084</t>
  </si>
  <si>
    <t>ORD-115043</t>
  </si>
  <si>
    <t>ORD-115165</t>
  </si>
  <si>
    <t>ORD-114757</t>
  </si>
  <si>
    <t>ORD-114769</t>
  </si>
  <si>
    <t>ORD-114797</t>
  </si>
  <si>
    <t>ORD-114856</t>
  </si>
  <si>
    <t>ORD-115070</t>
  </si>
  <si>
    <t>ORD-114968</t>
  </si>
  <si>
    <t>ORD-115129</t>
  </si>
  <si>
    <t>ORD-114861</t>
  </si>
  <si>
    <t>ORD-115006</t>
  </si>
  <si>
    <t>ORD-114764</t>
  </si>
  <si>
    <t>ORD-114971</t>
  </si>
  <si>
    <t>ORD-114784</t>
  </si>
  <si>
    <t>ORD-114894</t>
  </si>
  <si>
    <t>ORD-114897</t>
  </si>
  <si>
    <t>ORD-115226</t>
  </si>
  <si>
    <t>ORD-114829</t>
  </si>
  <si>
    <t>ORD-115022</t>
  </si>
  <si>
    <t>ORD-115195</t>
  </si>
  <si>
    <t>ORD-115350</t>
  </si>
  <si>
    <t>ORD-115431</t>
  </si>
  <si>
    <t>ORD-115428</t>
  </si>
  <si>
    <t>ORD-114839</t>
  </si>
  <si>
    <t>ORD-115317</t>
  </si>
  <si>
    <t>ORD-114808</t>
  </si>
  <si>
    <t>ORD-114910</t>
  </si>
  <si>
    <t>ORD-115228</t>
  </si>
  <si>
    <t>ORD-114814</t>
  </si>
  <si>
    <t>ORD-114991</t>
  </si>
  <si>
    <t>ORD-115144</t>
  </si>
  <si>
    <t>ORD-115390</t>
  </si>
  <si>
    <t>ORD-114913</t>
  </si>
  <si>
    <t>ORD-115074</t>
  </si>
  <si>
    <t>ORD-115118</t>
  </si>
  <si>
    <t>ORD-115344</t>
  </si>
  <si>
    <t>ORD-114939</t>
  </si>
  <si>
    <t>ORD-115451</t>
  </si>
  <si>
    <t>ORD-115167</t>
  </si>
  <si>
    <t>ORD-115466</t>
  </si>
  <si>
    <t>ORD-114874</t>
  </si>
  <si>
    <t>ORD-114896</t>
  </si>
  <si>
    <t>ORD-115186</t>
  </si>
  <si>
    <t>ORD-115446</t>
  </si>
  <si>
    <t>ORD-114826</t>
  </si>
  <si>
    <t>ORD-115105</t>
  </si>
  <si>
    <t>ORD-115391</t>
  </si>
  <si>
    <t>ORD-114919</t>
  </si>
  <si>
    <t>ORD-114875</t>
  </si>
  <si>
    <t>ORD-114980</t>
  </si>
  <si>
    <t>ORD-115181</t>
  </si>
  <si>
    <t>ORD-114955</t>
  </si>
  <si>
    <t>ORD-114878</t>
  </si>
  <si>
    <t>ORD-114978</t>
  </si>
  <si>
    <t>ORD-115083</t>
  </si>
  <si>
    <t>ORD-115016</t>
  </si>
  <si>
    <t>ORD-115342</t>
  </si>
  <si>
    <t>ORD-115456</t>
  </si>
  <si>
    <t>ORD-115035</t>
  </si>
  <si>
    <t>ORD-115362</t>
  </si>
  <si>
    <t>ORD-115448</t>
  </si>
  <si>
    <t>ORD-115161</t>
  </si>
  <si>
    <t>ORD-115495</t>
  </si>
  <si>
    <t>ORD-114751</t>
  </si>
  <si>
    <t>ORD-115177</t>
  </si>
  <si>
    <t>ORD-114966</t>
  </si>
  <si>
    <t>ORD-115210</t>
  </si>
  <si>
    <t>ORD-115266</t>
  </si>
  <si>
    <t>ORD-115289</t>
  </si>
  <si>
    <t>ORD-115067</t>
  </si>
  <si>
    <t>ORD-114810</t>
  </si>
  <si>
    <t>ORD-114864</t>
  </si>
  <si>
    <t>ORD-115014</t>
  </si>
  <si>
    <t>ORD-115213</t>
  </si>
  <si>
    <t>ORD-114774</t>
  </si>
  <si>
    <t>ORD-115460</t>
  </si>
  <si>
    <t>ORD-114935</t>
  </si>
  <si>
    <t>ORD-115082</t>
  </si>
  <si>
    <t>ORD-115157</t>
  </si>
  <si>
    <t>ORD-114881</t>
  </si>
  <si>
    <t>ORD-114960</t>
  </si>
  <si>
    <t>ORD-115027</t>
  </si>
  <si>
    <t>ORD-115081</t>
  </si>
  <si>
    <t>ORD-115170</t>
  </si>
  <si>
    <t>ORD-115180</t>
  </si>
  <si>
    <t>ORD-115267</t>
  </si>
  <si>
    <t>ORD-114762</t>
  </si>
  <si>
    <t>ORD-114820</t>
  </si>
  <si>
    <t>ORD-115189</t>
  </si>
  <si>
    <t>ORD-115155</t>
  </si>
  <si>
    <t>ORD-114754</t>
  </si>
  <si>
    <t>ORD-115411</t>
  </si>
  <si>
    <t>ORD-115269</t>
  </si>
  <si>
    <t>ORD-115303</t>
  </si>
  <si>
    <t>ORD-114996</t>
  </si>
  <si>
    <t>ORD-115071</t>
  </si>
  <si>
    <t>ORD-115194</t>
  </si>
  <si>
    <t>ORD-115364</t>
  </si>
  <si>
    <t>ORD-114825</t>
  </si>
  <si>
    <t>ORD-115281</t>
  </si>
  <si>
    <t>ORD-114772</t>
  </si>
  <si>
    <t>ORD-115146</t>
  </si>
  <si>
    <t>ORD-115427</t>
  </si>
  <si>
    <t>ORD-115050</t>
  </si>
  <si>
    <t>ORD-115253</t>
  </si>
  <si>
    <t>ORD-115409</t>
  </si>
  <si>
    <t>ORD-115059</t>
  </si>
  <si>
    <t>ORD-115185</t>
  </si>
  <si>
    <t>ORD-115329</t>
  </si>
  <si>
    <t>ORD-114813</t>
  </si>
  <si>
    <t>ORD-115346</t>
  </si>
  <si>
    <t>ORD-115444</t>
  </si>
  <si>
    <t>ORD-115238</t>
  </si>
  <si>
    <t>ORD-115246</t>
  </si>
  <si>
    <t>ORD-114780</t>
  </si>
  <si>
    <t>ORD-114869</t>
  </si>
  <si>
    <t>ORD-115041</t>
  </si>
  <si>
    <t>ORD-115227</t>
  </si>
  <si>
    <t>ORD-115301</t>
  </si>
  <si>
    <t>ORD-115381</t>
  </si>
  <si>
    <t>ORD-115457</t>
  </si>
  <si>
    <t>ORD-115499</t>
  </si>
  <si>
    <t>ORD-114822</t>
  </si>
  <si>
    <t>ORD-114851</t>
  </si>
  <si>
    <t>ORD-114933</t>
  </si>
  <si>
    <t>ORD-115048</t>
  </si>
  <si>
    <t>ORD-114899</t>
  </si>
  <si>
    <t>ORD-115299</t>
  </si>
  <si>
    <t>ORD-115377</t>
  </si>
  <si>
    <t>ORD-114983</t>
  </si>
  <si>
    <t>ORD-115297</t>
  </si>
  <si>
    <t>ORD-115024</t>
  </si>
  <si>
    <t>ORD-115030</t>
  </si>
  <si>
    <t>ORD-115219</t>
  </si>
  <si>
    <t>ORD-114898</t>
  </si>
  <si>
    <t>ORD-114914</t>
  </si>
  <si>
    <t>ORD-115152</t>
  </si>
  <si>
    <t>ORD-114779</t>
  </si>
  <si>
    <t>ORD-115470</t>
  </si>
  <si>
    <t>ORD-114862</t>
  </si>
  <si>
    <t>ORD-115361</t>
  </si>
  <si>
    <t>ORD-114761</t>
  </si>
  <si>
    <t>ORD-114775</t>
  </si>
  <si>
    <t>ORD-115249</t>
  </si>
  <si>
    <t>ORD-115365</t>
  </si>
  <si>
    <t>ORD-115468</t>
  </si>
  <si>
    <t>ORD-115018</t>
  </si>
  <si>
    <t>ORD-115075</t>
  </si>
  <si>
    <t>ORD-115008</t>
  </si>
  <si>
    <t>ORD-115073</t>
  </si>
  <si>
    <t>ORD-115139</t>
  </si>
  <si>
    <t>ORD-115374</t>
  </si>
  <si>
    <t>ORD-114766</t>
  </si>
  <si>
    <t>ORD-114947</t>
  </si>
  <si>
    <t>ORD-115065</t>
  </si>
  <si>
    <t>ORD-115286</t>
  </si>
  <si>
    <t>ORD-115287</t>
  </si>
  <si>
    <t>ORD-115326</t>
  </si>
  <si>
    <t>ORD-115348</t>
  </si>
  <si>
    <t>ORD-114870</t>
  </si>
  <si>
    <t>ORD-115124</t>
  </si>
  <si>
    <t>ORD-115438</t>
  </si>
  <si>
    <t>ORD-114950</t>
  </si>
  <si>
    <t>ORD-114831</t>
  </si>
  <si>
    <t>ORD-114888</t>
  </si>
  <si>
    <t>ORD-114999</t>
  </si>
  <si>
    <t>ORD-115147</t>
  </si>
  <si>
    <t>ORD-114926</t>
  </si>
  <si>
    <t>ORD-115352</t>
  </si>
  <si>
    <t>ORD-114965</t>
  </si>
  <si>
    <t>ORD-115412</t>
  </si>
  <si>
    <t>ORD-115203</t>
  </si>
  <si>
    <t>ORD-115258</t>
  </si>
  <si>
    <t>ORD-115441</t>
  </si>
  <si>
    <t>ORD-115066</t>
  </si>
  <si>
    <t>ORD-115384</t>
  </si>
  <si>
    <t>ORD-114770</t>
  </si>
  <si>
    <t>ORD-114840</t>
  </si>
  <si>
    <t>ORD-115045</t>
  </si>
  <si>
    <t>ORD-115288</t>
  </si>
  <si>
    <t>ORD-114807</t>
  </si>
  <si>
    <t>ORD-115164</t>
  </si>
  <si>
    <t>ORD-115304</t>
  </si>
  <si>
    <t>ORD-115440</t>
  </si>
  <si>
    <t>ORD-115485</t>
  </si>
  <si>
    <t>ORD-114867</t>
  </si>
  <si>
    <t>ORD-114934</t>
  </si>
  <si>
    <t>ORD-115305</t>
  </si>
  <si>
    <t>ORD-115386</t>
  </si>
  <si>
    <t>ORD-115405</t>
  </si>
  <si>
    <t>ORD-115480</t>
  </si>
  <si>
    <t>ORD-114842</t>
  </si>
  <si>
    <t>ORD-114907</t>
  </si>
  <si>
    <t>ORD-115025</t>
  </si>
  <si>
    <t>ORD-114821</t>
  </si>
  <si>
    <t>ORD-115230</t>
  </si>
  <si>
    <t>ORD-115235</t>
  </si>
  <si>
    <t>ORD-115398</t>
  </si>
  <si>
    <t>ORD-115478</t>
  </si>
  <si>
    <t>ORD-115199</t>
  </si>
  <si>
    <t>ORD-115320</t>
  </si>
  <si>
    <t>ORD-115012</t>
  </si>
  <si>
    <t>ORD-115368</t>
  </si>
  <si>
    <t>ORD-115437</t>
  </si>
  <si>
    <t>ORD-115095</t>
  </si>
  <si>
    <t>ORD-114859</t>
  </si>
  <si>
    <t>ORD-115340</t>
  </si>
  <si>
    <t>ORD-115407</t>
  </si>
  <si>
    <t>ORD-114846</t>
  </si>
  <si>
    <t>ORD-115229</t>
  </si>
  <si>
    <t>ORD-114952</t>
  </si>
  <si>
    <t>ORD-115085</t>
  </si>
  <si>
    <t>ORD-115369</t>
  </si>
  <si>
    <t>ORD-115426</t>
  </si>
  <si>
    <t>ORD-115232</t>
  </si>
  <si>
    <t>ORD-114886</t>
  </si>
  <si>
    <t>ORD-114860</t>
  </si>
  <si>
    <t>ORD-114994</t>
  </si>
  <si>
    <t>ORD-115026</t>
  </si>
  <si>
    <t>ORD-115264</t>
  </si>
  <si>
    <t>ORD-114877</t>
  </si>
  <si>
    <t>ORD-114981</t>
  </si>
  <si>
    <t>ORD-115029</t>
  </si>
  <si>
    <t>ORD-115245</t>
  </si>
  <si>
    <t>ORD-115394</t>
  </si>
  <si>
    <t>ORD-115017</t>
  </si>
  <si>
    <t>ORD-115166</t>
  </si>
  <si>
    <t>ORD-115089</t>
  </si>
  <si>
    <t>ORD-114756</t>
  </si>
  <si>
    <t>ORD-114890</t>
  </si>
  <si>
    <t>ORD-115488</t>
  </si>
  <si>
    <t>ORD-114849</t>
  </si>
  <si>
    <t>ORD-115237</t>
  </si>
  <si>
    <t>ORD-114958</t>
  </si>
  <si>
    <t>ORD-115423</t>
  </si>
  <si>
    <t>ORD-115013</t>
  </si>
  <si>
    <t>ORD-115080</t>
  </si>
  <si>
    <t>ORD-115033</t>
  </si>
  <si>
    <t>ORD-115355</t>
  </si>
  <si>
    <t>ORD-115096</t>
  </si>
  <si>
    <t>ORD-115120</t>
  </si>
  <si>
    <t>ORD-114882</t>
  </si>
  <si>
    <t>ORD-115127</t>
  </si>
  <si>
    <t>ORD-115135</t>
  </si>
  <si>
    <t>ORD-115145</t>
  </si>
  <si>
    <t>ORD-115198</t>
  </si>
  <si>
    <t>ORD-115214</t>
  </si>
  <si>
    <t>ORD-115387</t>
  </si>
  <si>
    <t>ORD-114819</t>
  </si>
  <si>
    <t>ORD-114866</t>
  </si>
  <si>
    <t>ORD-115171</t>
  </si>
  <si>
    <t>ORD-115160</t>
  </si>
  <si>
    <t>ORD-115209</t>
  </si>
  <si>
    <t>ORD-115366</t>
  </si>
  <si>
    <t>ORD-115044</t>
  </si>
  <si>
    <t>ORD-115294</t>
  </si>
  <si>
    <t>ORD-115454</t>
  </si>
  <si>
    <t>ORD-115172</t>
  </si>
  <si>
    <t>ORD-114789</t>
  </si>
  <si>
    <t>ORD-115234</t>
  </si>
  <si>
    <t>ORD-115254</t>
  </si>
  <si>
    <t>ORD-115496</t>
  </si>
  <si>
    <t>ORD-114788</t>
  </si>
  <si>
    <t>ORD-115325</t>
  </si>
  <si>
    <t>ORD-114911</t>
  </si>
  <si>
    <t>ORD-115442</t>
  </si>
  <si>
    <t>ORD-114771</t>
  </si>
  <si>
    <t>ORD-115099</t>
  </si>
  <si>
    <t>ORD-114975</t>
  </si>
  <si>
    <t>ORD-114857</t>
  </si>
  <si>
    <t>ORD-115052</t>
  </si>
  <si>
    <t>ORD-114863</t>
  </si>
  <si>
    <t>ORD-114920</t>
  </si>
  <si>
    <t>ORD-115028</t>
  </si>
  <si>
    <t>ORD-115315</t>
  </si>
  <si>
    <t>ORD-115396</t>
  </si>
  <si>
    <t>ORD-114841</t>
  </si>
  <si>
    <t>ORD-115217</t>
  </si>
  <si>
    <t>ORD-115298</t>
  </si>
  <si>
    <t>ORD-115150</t>
  </si>
  <si>
    <t>ORD-114817</t>
  </si>
  <si>
    <t>ORD-114964</t>
  </si>
  <si>
    <t>ORD-115191</t>
  </si>
  <si>
    <t>ORD-115285</t>
  </si>
  <si>
    <t>ORD-115418</t>
  </si>
  <si>
    <t>ORD-115434</t>
  </si>
  <si>
    <t>ORD-115153</t>
  </si>
  <si>
    <t>ORD-115490</t>
  </si>
  <si>
    <t>ORD-115493</t>
  </si>
  <si>
    <t>ORD-114755</t>
  </si>
  <si>
    <t>ORD-114884</t>
  </si>
  <si>
    <t>ORD-115119</t>
  </si>
  <si>
    <t>ORD-114763</t>
  </si>
  <si>
    <t>ORD-115271</t>
  </si>
  <si>
    <t>ORD-115280</t>
  </si>
  <si>
    <t>ORD-115372</t>
  </si>
  <si>
    <t>ORD-114786</t>
  </si>
  <si>
    <t>ORD-114759</t>
  </si>
  <si>
    <t>ORD-114948</t>
  </si>
  <si>
    <t>ORD-115323</t>
  </si>
  <si>
    <t>ORD-115479</t>
  </si>
  <si>
    <t>ORD-114787</t>
  </si>
  <si>
    <t>ORD-115413</t>
  </si>
  <si>
    <t>ORD-114892</t>
  </si>
  <si>
    <t>ORD-115251</t>
  </si>
  <si>
    <t>ORD-115406</t>
  </si>
  <si>
    <t>ORD-114809</t>
  </si>
  <si>
    <t>ORD-114758</t>
  </si>
  <si>
    <t>ORD-114987</t>
  </si>
  <si>
    <t>ORD-115188</t>
  </si>
  <si>
    <t>ORD-115338</t>
  </si>
  <si>
    <t>ORD-115360</t>
  </si>
  <si>
    <t>ORD-115408</t>
  </si>
  <si>
    <t>ORD-114988</t>
  </si>
  <si>
    <t>ORD-115077</t>
  </si>
  <si>
    <t>ORD-115248</t>
  </si>
  <si>
    <t>ORD-114885</t>
  </si>
  <si>
    <t>ORD-115176</t>
  </si>
  <si>
    <t>ORD-115244</t>
  </si>
  <si>
    <t>ORD-115283</t>
  </si>
  <si>
    <t>ORD-115023</t>
  </si>
  <si>
    <t>ORD-115101</t>
  </si>
  <si>
    <t>ORD-115482</t>
  </si>
  <si>
    <t>ORD-115062</t>
  </si>
  <si>
    <t>ORD-114778</t>
  </si>
  <si>
    <t>ORD-115138</t>
  </si>
  <si>
    <t>ORD-115337</t>
  </si>
  <si>
    <t>ORD-114802</t>
  </si>
  <si>
    <t>ORD-115097</t>
  </si>
  <si>
    <t>ORD-115445</t>
  </si>
  <si>
    <t>ORD-115450</t>
  </si>
  <si>
    <t>ORD-115010</t>
  </si>
  <si>
    <t>ORD-115179</t>
  </si>
  <si>
    <t>ORD-115296</t>
  </si>
  <si>
    <t>ORD-115319</t>
  </si>
  <si>
    <t>ORD-115367</t>
  </si>
  <si>
    <t>ORD-115126</t>
  </si>
  <si>
    <t>ORD-115261</t>
  </si>
  <si>
    <t>ORD-115497</t>
  </si>
  <si>
    <t>ORD-115005</t>
  </si>
  <si>
    <t>ORD-115276</t>
  </si>
  <si>
    <t>ORD-115314</t>
  </si>
  <si>
    <t>ORD-115333</t>
  </si>
  <si>
    <t>ORD-114977</t>
  </si>
  <si>
    <t>ORD-115049</t>
  </si>
  <si>
    <t>ORD-115151</t>
  </si>
  <si>
    <t>ORD-115327</t>
  </si>
  <si>
    <t>ORD-115395</t>
  </si>
  <si>
    <t>ORD-115492</t>
  </si>
  <si>
    <t>ORD-114967</t>
  </si>
  <si>
    <t>ORD-115500</t>
  </si>
  <si>
    <t>ORD-114752</t>
  </si>
  <si>
    <t>ORD-114793</t>
  </si>
  <si>
    <t>ORD-114927</t>
  </si>
  <si>
    <t>ORD-114970</t>
  </si>
  <si>
    <t>ORD-114872</t>
  </si>
  <si>
    <t>ORD-114949</t>
  </si>
  <si>
    <t>ORD-114923</t>
  </si>
  <si>
    <t>ORD-115056</t>
  </si>
  <si>
    <t>ORD-115291</t>
  </si>
  <si>
    <t>ORD-114776</t>
  </si>
  <si>
    <t>ORD-115112</t>
  </si>
  <si>
    <t>ORD-115159</t>
  </si>
  <si>
    <t>ORD-115243</t>
  </si>
  <si>
    <t>ORD-115133</t>
  </si>
  <si>
    <t>ORD-115247</t>
  </si>
  <si>
    <t>ORD-115471</t>
  </si>
  <si>
    <t>ORD-114843</t>
  </si>
  <si>
    <t>ORD-115425</t>
  </si>
  <si>
    <t>ORD-115349</t>
  </si>
  <si>
    <t>ORD-114798</t>
  </si>
  <si>
    <t>ORD-114832</t>
  </si>
  <si>
    <t>ORD-115462</t>
  </si>
  <si>
    <t>ORD-114782</t>
  </si>
  <si>
    <t>ORD-115403</t>
  </si>
  <si>
    <t>ORD-115001</t>
  </si>
  <si>
    <t>ORD-115102</t>
  </si>
  <si>
    <t>ORD-115218</t>
  </si>
  <si>
    <t>ORD-115370</t>
  </si>
  <si>
    <t>ORD-115090</t>
  </si>
  <si>
    <t>ORD-115351</t>
  </si>
  <si>
    <t>ORD-115459</t>
  </si>
  <si>
    <t>ORD-115009</t>
  </si>
  <si>
    <t>ORD-115385</t>
  </si>
  <si>
    <t>ORD-115455</t>
  </si>
  <si>
    <t>ORD-114815</t>
  </si>
  <si>
    <t>ORD-115252</t>
  </si>
  <si>
    <t>ORD-114917</t>
  </si>
  <si>
    <t>ORD-115149</t>
  </si>
  <si>
    <t>ORD-115196</t>
  </si>
  <si>
    <t>ORD-114989</t>
  </si>
  <si>
    <t>ORD-115031</t>
  </si>
  <si>
    <t>ORD-115182</t>
  </si>
  <si>
    <t>ORD-115259</t>
  </si>
  <si>
    <t>ORD-115086</t>
  </si>
  <si>
    <t>ORD-114974</t>
  </si>
  <si>
    <t>ORD-115143</t>
  </si>
  <si>
    <t>ORD-115058</t>
  </si>
  <si>
    <t>ORD-115148</t>
  </si>
  <si>
    <t>ORD-115483</t>
  </si>
  <si>
    <t>ORD-115373</t>
  </si>
  <si>
    <t>ORD-115079</t>
  </si>
  <si>
    <t>ORD-115278</t>
  </si>
  <si>
    <t>ORD-115477</t>
  </si>
  <si>
    <t>ORD-114929</t>
  </si>
  <si>
    <t>ORD-114956</t>
  </si>
  <si>
    <t>ORD-115331</t>
  </si>
  <si>
    <t>ORD-114908</t>
  </si>
  <si>
    <t>ORD-114922</t>
  </si>
  <si>
    <t>ORD-115222</t>
  </si>
  <si>
    <t>ORD-115435</t>
  </si>
  <si>
    <t>ORD-114835</t>
  </si>
  <si>
    <t>ORD-115015</t>
  </si>
  <si>
    <t>ORD-115421</t>
  </si>
  <si>
    <t>ORD-115339</t>
  </si>
  <si>
    <t>ORD-114962</t>
  </si>
  <si>
    <t>ORD-115295</t>
  </si>
  <si>
    <t>ORD-115306</t>
  </si>
  <si>
    <t>ORD-115103</t>
  </si>
  <si>
    <t>ORD-115123</t>
  </si>
  <si>
    <t>ORD-115363</t>
  </si>
  <si>
    <t>ORD-114938</t>
  </si>
  <si>
    <t>ORD-115130</t>
  </si>
  <si>
    <t>ORD-115241</t>
  </si>
  <si>
    <t>ORD-115453</t>
  </si>
  <si>
    <t>ORD-115136</t>
  </si>
  <si>
    <t>ORD-115328</t>
  </si>
  <si>
    <t>ORD-115057</t>
  </si>
  <si>
    <t>ORD-115432</t>
  </si>
  <si>
    <t>ORD-115190</t>
  </si>
  <si>
    <t>ORD-115197</t>
  </si>
  <si>
    <t>ORD-115481</t>
  </si>
  <si>
    <t>ORD-114957</t>
  </si>
  <si>
    <t>ORD-115184</t>
  </si>
  <si>
    <t>ORD-115220</t>
  </si>
  <si>
    <t>ORD-115458</t>
  </si>
  <si>
    <t>ORD-114997</t>
  </si>
  <si>
    <t>ORD-115256</t>
  </si>
  <si>
    <t>ORD-115322</t>
  </si>
  <si>
    <t>ORD-114834</t>
  </si>
  <si>
    <t>ORD-115300</t>
  </si>
  <si>
    <t>ORD-114816</t>
  </si>
  <si>
    <t>ORD-115004</t>
  </si>
  <si>
    <t>ORD-115257</t>
  </si>
  <si>
    <t>ORD-115371</t>
  </si>
  <si>
    <t>ORD-115087</t>
  </si>
  <si>
    <t>ORD-115404</t>
  </si>
  <si>
    <t>ORD-114850</t>
  </si>
  <si>
    <t>ORD-114931</t>
  </si>
  <si>
    <t>ORD-115137</t>
  </si>
  <si>
    <t>ORD-114773</t>
  </si>
  <si>
    <t>ORD-114945</t>
  </si>
  <si>
    <t>ORD-115215</t>
  </si>
  <si>
    <t>ORD-114901</t>
  </si>
  <si>
    <t>ORD-115034</t>
  </si>
  <si>
    <t>ORD-115038</t>
  </si>
  <si>
    <t>ORD-114895</t>
  </si>
  <si>
    <t>ORD-115193</t>
  </si>
  <si>
    <t>ORD-115461</t>
  </si>
  <si>
    <t>ORD-115078</t>
  </si>
  <si>
    <t>ORD-115093</t>
  </si>
  <si>
    <t>ORD-115376</t>
  </si>
  <si>
    <t>ORD-114876</t>
  </si>
  <si>
    <t>ORD-114998</t>
  </si>
  <si>
    <t>ORD-115279</t>
  </si>
  <si>
    <t>ORD-115046</t>
  </si>
  <si>
    <t>ORD-115216</t>
  </si>
  <si>
    <t>ORD-115439</t>
  </si>
  <si>
    <t>ORD-115309</t>
  </si>
  <si>
    <t>ORD-114930</t>
  </si>
  <si>
    <t>ORD-115154</t>
  </si>
  <si>
    <t>ORD-115263</t>
  </si>
  <si>
    <t>ORD-114924</t>
  </si>
  <si>
    <t>ORD-115397</t>
  </si>
  <si>
    <t>ORD-114801</t>
  </si>
  <si>
    <t>ORD-115134</t>
  </si>
  <si>
    <t>ORD-114833</t>
  </si>
  <si>
    <t>ORD-114753</t>
  </si>
  <si>
    <t>ORD-114871</t>
  </si>
  <si>
    <t>ORD-115316</t>
  </si>
  <si>
    <t>ORD-115410</t>
  </si>
  <si>
    <t>ORD-114853</t>
  </si>
  <si>
    <t>ORD-115290</t>
  </si>
  <si>
    <t>ORD-115467</t>
  </si>
  <si>
    <t>ORD-115169</t>
  </si>
  <si>
    <t>ORD-115293</t>
  </si>
  <si>
    <t>ORD-115476</t>
  </si>
  <si>
    <t>ORD-115076</t>
  </si>
  <si>
    <t>ORD-115208</t>
  </si>
  <si>
    <t>ORD-115273</t>
  </si>
  <si>
    <t>ORD-115336</t>
  </si>
  <si>
    <t>ORD-115416</t>
  </si>
  <si>
    <t>ORD-114827</t>
  </si>
  <si>
    <t>ORD-115072</t>
  </si>
  <si>
    <t>ORD-115098</t>
  </si>
  <si>
    <t>ORD-114921</t>
  </si>
  <si>
    <t>ORD-115378</t>
  </si>
  <si>
    <t>ORD-115233</t>
  </si>
  <si>
    <t>ORD-114812</t>
  </si>
  <si>
    <t>ORD-114936</t>
  </si>
  <si>
    <t>ORD-115221</t>
  </si>
  <si>
    <t>ORD-115399</t>
  </si>
  <si>
    <t>ORD-115356</t>
  </si>
  <si>
    <t>ORD-115422</t>
  </si>
  <si>
    <t>ORD-114953</t>
  </si>
  <si>
    <t>ORD-114982</t>
  </si>
  <si>
    <t>ORD-115088</t>
  </si>
  <si>
    <t>ORD-115225</t>
  </si>
  <si>
    <t>ORD-115388</t>
  </si>
  <si>
    <t>ORD-114852</t>
  </si>
  <si>
    <t>ORD-115240</t>
  </si>
  <si>
    <t>ORD-115275</t>
  </si>
  <si>
    <t>ORD-114805</t>
  </si>
  <si>
    <t>ORD-114838</t>
  </si>
  <si>
    <t>ORD-115192</t>
  </si>
  <si>
    <t>ORD-115268</t>
  </si>
  <si>
    <t>ORD-115310</t>
  </si>
  <si>
    <t>ORD-115204</t>
  </si>
  <si>
    <t>ORD-115347</t>
  </si>
  <si>
    <t>ORD-115380</t>
  </si>
  <si>
    <t>ORD-115125</t>
  </si>
  <si>
    <t>ORD-114900</t>
  </si>
  <si>
    <t>ORD-115069</t>
  </si>
  <si>
    <t>ORD-115116</t>
  </si>
  <si>
    <t>ORD-115353</t>
  </si>
  <si>
    <t>ORD-115354</t>
  </si>
  <si>
    <t>ORD-114806</t>
  </si>
  <si>
    <t>ORD-114912</t>
  </si>
  <si>
    <t>ORD-114804</t>
  </si>
  <si>
    <t>ORD-114969</t>
  </si>
  <si>
    <t>ORD-114979</t>
  </si>
  <si>
    <t>ORD-115042</t>
  </si>
  <si>
    <t>ORD-115487</t>
  </si>
  <si>
    <t>ORD-114855</t>
  </si>
  <si>
    <t>ORD-114887</t>
  </si>
  <si>
    <t>ORD-115265</t>
  </si>
  <si>
    <t>ORD-114959</t>
  </si>
  <si>
    <t>ORD-114985</t>
  </si>
  <si>
    <t>Dataset</t>
  </si>
  <si>
    <t>Sales Performance Raw Data</t>
  </si>
  <si>
    <t>Total Rows</t>
  </si>
  <si>
    <t>Years</t>
  </si>
  <si>
    <t>2024 and 2025</t>
  </si>
  <si>
    <t>Date Column</t>
  </si>
  <si>
    <t>Order Date (both years combined in one column)</t>
  </si>
  <si>
    <t>Purpose</t>
  </si>
  <si>
    <t>Excel Sales Performance / Pivot Table / Dashboard practice</t>
  </si>
  <si>
    <t>Men'S Casual Shirt</t>
  </si>
  <si>
    <t>Boat Airdopes 131</t>
  </si>
  <si>
    <t>Iphone 13</t>
  </si>
  <si>
    <t>Ifb 7Kg Washing Machine</t>
  </si>
  <si>
    <t>Women'S Kurti</t>
  </si>
  <si>
    <t>Bajaj Otg</t>
  </si>
  <si>
    <t>Lenovo Ideapad 3</t>
  </si>
  <si>
    <t>Samsung 7Kg Washing Machine</t>
  </si>
  <si>
    <t>Oneplus Nord Ce 3</t>
  </si>
  <si>
    <t>Sony Wh-Ch520</t>
  </si>
  <si>
    <t>Hp 15S</t>
  </si>
  <si>
    <t>Jbl Tune 510Bt</t>
  </si>
  <si>
    <t>Lg 260L Double Door</t>
  </si>
  <si>
    <t>Lg 6.5Kg Washing Machine</t>
  </si>
  <si>
    <t>Sales Amount</t>
  </si>
  <si>
    <t>Total Cost</t>
  </si>
  <si>
    <t>Profit/loss</t>
  </si>
  <si>
    <t>Profit Margin</t>
  </si>
  <si>
    <t>Sum of Sales Amount</t>
  </si>
  <si>
    <t>Sum of Profit/loss</t>
  </si>
  <si>
    <t>Row Labels</t>
  </si>
  <si>
    <t>Grand Total</t>
  </si>
  <si>
    <t xml:space="preserve">Total Order </t>
  </si>
  <si>
    <t>Jan</t>
  </si>
  <si>
    <t>Feb</t>
  </si>
  <si>
    <t>Mar</t>
  </si>
  <si>
    <t>Apr</t>
  </si>
  <si>
    <t>May</t>
  </si>
  <si>
    <t>Jun</t>
  </si>
  <si>
    <t>Jul</t>
  </si>
  <si>
    <t>Aug</t>
  </si>
  <si>
    <t>Sep</t>
  </si>
  <si>
    <t>Oct</t>
  </si>
  <si>
    <t>Nov</t>
  </si>
  <si>
    <t>Dec</t>
  </si>
  <si>
    <t>year</t>
  </si>
  <si>
    <t>Month</t>
  </si>
  <si>
    <t>Column Labels</t>
  </si>
  <si>
    <t>Regions</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</si>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</sst>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
    <numFmt numFmtId="166" formatCode="&quot;₹&quot;\ #,##0.00"/>
    <numFmt numFmtId="167" formatCode="[$-14009]dd/mm/yyyy;@"/>
  </numFmts>
  <fonts count="8" x14ac:knownFonts="1">
    <font>
      <sz val="11"/>
      <color theme="1"/>
      <name val="Calibri"/>
      <family val="2"/>
      <scheme val="minor"/>
    </font>
    <font>
      <b/>
      <sz val="11"/>
      <name val="Calibri"/>
    </font>
    <font>
      <b/>
      <sz val="14"/>
      <color rgb="FFFFFFFF"/>
      <name val="Calibri"/>
      <family val="2"/>
    </font>
    <font>
      <sz val="14"/>
      <color theme="1"/>
      <name val="Calibri"/>
      <family val="2"/>
      <scheme val="minor"/>
    </font>
    <font>
      <u/>
      <sz val="14"/>
      <color rgb="FFFFFFFF"/>
      <name val="Calibri"/>
      <family val="2"/>
    </font>
    <font>
      <u/>
      <sz val="11"/>
      <color theme="1"/>
      <name val="Calibri"/>
      <family val="2"/>
      <scheme val="minor"/>
    </font>
    <font>
      <sz val="8"/>
      <name val="Calibri"/>
      <family val="2"/>
      <scheme val="minor"/>
    </font>
    <font>
      <sz val="20"/>
      <color theme="1"/>
      <name val="Algerian"/>
      <family val="5"/>
    </font>
  </fonts>
  <fills count="5">
    <fill>
      <patternFill patternType="none"/>
    </fill>
    <fill>
      <patternFill patternType="gray125"/>
    </fill>
    <fill>
      <patternFill patternType="solid">
        <fgColor rgb="FF1F4E78"/>
      </patternFill>
    </fill>
    <fill>
      <patternFill patternType="solid">
        <fgColor theme="1"/>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5">
    <xf numFmtId="0" fontId="0" fillId="0" borderId="0" xfId="0"/>
    <xf numFmtId="0" fontId="1" fillId="0" borderId="0" xfId="0" applyFont="1"/>
    <xf numFmtId="0" fontId="2" fillId="2" borderId="2" xfId="0" applyFont="1" applyFill="1" applyBorder="1" applyAlignment="1">
      <alignment horizontal="center"/>
    </xf>
    <xf numFmtId="0" fontId="2" fillId="2" borderId="3" xfId="0" applyFont="1" applyFill="1" applyBorder="1" applyAlignment="1">
      <alignment horizontal="center"/>
    </xf>
    <xf numFmtId="0" fontId="3" fillId="0" borderId="5" xfId="0" applyFont="1" applyBorder="1"/>
    <xf numFmtId="164" fontId="3" fillId="0" borderId="1" xfId="0" applyNumberFormat="1" applyFont="1" applyBorder="1"/>
    <xf numFmtId="0" fontId="3" fillId="0" borderId="1" xfId="0" applyFont="1" applyBorder="1"/>
    <xf numFmtId="165" fontId="3" fillId="0" borderId="1" xfId="0" applyNumberFormat="1" applyFont="1" applyBorder="1"/>
    <xf numFmtId="9" fontId="3" fillId="0" borderId="1" xfId="0" applyNumberFormat="1" applyFont="1" applyBorder="1"/>
    <xf numFmtId="165" fontId="3" fillId="0" borderId="6" xfId="0" applyNumberFormat="1" applyFont="1" applyBorder="1"/>
    <xf numFmtId="0" fontId="3" fillId="0" borderId="7" xfId="0" applyFont="1" applyBorder="1"/>
    <xf numFmtId="164" fontId="3" fillId="0" borderId="8" xfId="0" applyNumberFormat="1" applyFont="1" applyBorder="1"/>
    <xf numFmtId="0" fontId="3" fillId="0" borderId="8" xfId="0" applyFont="1" applyBorder="1"/>
    <xf numFmtId="165" fontId="3" fillId="0" borderId="8" xfId="0" applyNumberFormat="1" applyFont="1" applyBorder="1"/>
    <xf numFmtId="9" fontId="3" fillId="0" borderId="8" xfId="0" applyNumberFormat="1" applyFont="1" applyBorder="1"/>
    <xf numFmtId="165" fontId="3" fillId="0" borderId="9" xfId="0" applyNumberFormat="1" applyFont="1" applyBorder="1"/>
    <xf numFmtId="0" fontId="0" fillId="0" borderId="1" xfId="0" applyBorder="1"/>
    <xf numFmtId="0" fontId="4" fillId="2" borderId="3" xfId="0" applyFont="1" applyFill="1" applyBorder="1" applyAlignment="1">
      <alignment horizontal="center"/>
    </xf>
    <xf numFmtId="0" fontId="4" fillId="2" borderId="4" xfId="0" applyFont="1" applyFill="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5" xfId="0" applyFont="1" applyBorder="1" applyAlignment="1">
      <alignment horizontal="center"/>
    </xf>
    <xf numFmtId="0" fontId="3" fillId="0" borderId="1"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166" fontId="3" fillId="0" borderId="3" xfId="0" applyNumberFormat="1" applyFont="1" applyBorder="1" applyAlignment="1">
      <alignment horizontal="center"/>
    </xf>
    <xf numFmtId="166" fontId="3" fillId="0" borderId="1" xfId="0" applyNumberFormat="1" applyFont="1" applyBorder="1" applyAlignment="1">
      <alignment horizontal="center"/>
    </xf>
    <xf numFmtId="166" fontId="3" fillId="0" borderId="8" xfId="0" applyNumberFormat="1" applyFont="1" applyBorder="1" applyAlignment="1">
      <alignment horizontal="center"/>
    </xf>
    <xf numFmtId="166" fontId="0" fillId="0" borderId="0" xfId="0" applyNumberFormat="1"/>
    <xf numFmtId="166" fontId="3" fillId="0" borderId="4" xfId="0" applyNumberFormat="1" applyFont="1" applyBorder="1" applyAlignment="1">
      <alignment horizontal="center"/>
    </xf>
    <xf numFmtId="166" fontId="3" fillId="0" borderId="6" xfId="0" applyNumberFormat="1" applyFont="1" applyBorder="1" applyAlignment="1">
      <alignment horizontal="center"/>
    </xf>
    <xf numFmtId="166" fontId="3" fillId="0" borderId="9" xfId="0" applyNumberFormat="1" applyFont="1" applyBorder="1" applyAlignment="1">
      <alignment horizontal="center"/>
    </xf>
    <xf numFmtId="0" fontId="3" fillId="0" borderId="0" xfId="0" applyFont="1" applyAlignment="1">
      <alignment horizontal="center"/>
    </xf>
    <xf numFmtId="166" fontId="3" fillId="0" borderId="0" xfId="0" applyNumberFormat="1" applyFont="1" applyAlignment="1">
      <alignment horizontal="center"/>
    </xf>
    <xf numFmtId="166" fontId="0" fillId="0" borderId="1" xfId="0" applyNumberFormat="1" applyBorder="1"/>
    <xf numFmtId="167" fontId="3" fillId="0" borderId="3" xfId="0" applyNumberFormat="1" applyFont="1" applyBorder="1" applyAlignment="1">
      <alignment horizontal="center"/>
    </xf>
    <xf numFmtId="167" fontId="3" fillId="0" borderId="1" xfId="0" applyNumberFormat="1" applyFont="1" applyBorder="1" applyAlignment="1">
      <alignment horizontal="center"/>
    </xf>
    <xf numFmtId="167" fontId="3" fillId="0" borderId="8" xfId="0" applyNumberFormat="1" applyFont="1" applyBorder="1" applyAlignment="1">
      <alignment horizontal="center"/>
    </xf>
    <xf numFmtId="167" fontId="0" fillId="0" borderId="0" xfId="0" applyNumberFormat="1"/>
    <xf numFmtId="0" fontId="0" fillId="0" borderId="1" xfId="0" pivotButton="1" applyBorder="1"/>
    <xf numFmtId="0" fontId="0" fillId="0" borderId="1" xfId="0" applyBorder="1" applyAlignment="1">
      <alignment horizontal="left"/>
    </xf>
    <xf numFmtId="0" fontId="0" fillId="3" borderId="0" xfId="0" applyFill="1"/>
    <xf numFmtId="0" fontId="5" fillId="0" borderId="0" xfId="0" applyFont="1"/>
    <xf numFmtId="0" fontId="7" fillId="4" borderId="0" xfId="0" applyFont="1" applyFill="1" applyAlignment="1">
      <alignment horizontal="center"/>
    </xf>
    <xf numFmtId="0" fontId="0" fillId="4" borderId="0" xfId="0" applyFill="1" applyAlignment="1">
      <alignment horizontal="center"/>
    </xf>
  </cellXfs>
  <cellStyles count="1">
    <cellStyle name="Normal" xfId="0" builtinId="0"/>
  </cellStyles>
  <dxfs count="91">
    <dxf>
      <font>
        <strike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dxf>
    <dxf>
      <font>
        <strike val="0"/>
        <outline val="0"/>
        <shadow val="0"/>
        <u val="none"/>
        <vertAlign val="baseline"/>
        <sz val="14"/>
        <color theme="1"/>
        <name val="Calibri"/>
        <family val="2"/>
        <scheme val="minor"/>
      </font>
      <numFmt numFmtId="166" formatCode="&quot;₹&quot;\ #,##0.00"/>
      <alignment horizontal="center" vertical="bottom" textRotation="0" wrapText="0" indent="0" justifyLastLine="0" shrinkToFit="0" readingOrder="0"/>
    </dxf>
    <dxf>
      <font>
        <strike val="0"/>
        <outline val="0"/>
        <shadow val="0"/>
        <u val="none"/>
        <vertAlign val="baseline"/>
        <sz val="14"/>
        <color theme="1"/>
        <name val="Calibri"/>
        <family val="2"/>
        <scheme val="minor"/>
      </font>
      <numFmt numFmtId="166" formatCode="&quot;₹&quot;\ #,##0.00"/>
      <alignment horizontal="center" vertical="bottom" textRotation="0" wrapText="0" indent="0" justifyLastLine="0" shrinkToFit="0" readingOrder="0"/>
    </dxf>
    <dxf>
      <font>
        <strike val="0"/>
        <outline val="0"/>
        <shadow val="0"/>
        <u val="none"/>
        <vertAlign val="baseline"/>
        <sz val="14"/>
        <color theme="1"/>
        <name val="Calibri"/>
        <family val="2"/>
        <scheme val="minor"/>
      </font>
      <numFmt numFmtId="166" formatCode="&quot;₹&quot;\ #,##0.00"/>
      <alignment horizontal="center" vertical="bottom" textRotation="0" wrapText="0" indent="0" justifyLastLine="0" shrinkToFit="0" readingOrder="0"/>
    </dxf>
    <dxf>
      <font>
        <strike val="0"/>
        <outline val="0"/>
        <shadow val="0"/>
        <u val="none"/>
        <vertAlign val="baseline"/>
        <sz val="14"/>
        <color theme="1"/>
        <name val="Calibri"/>
        <family val="2"/>
        <scheme val="minor"/>
      </font>
      <numFmt numFmtId="166" formatCode="&quot;₹&quot;\ #,##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166" formatCode="&quot;₹&quot;\ #,##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167" formatCode="[$-14009]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border>
        <bottom style="thin">
          <color indexed="64"/>
        </bottom>
      </border>
    </dxf>
    <dxf>
      <font>
        <strike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4"/>
        <name val="Calibri"/>
      </font>
      <numFmt numFmtId="165" formatCode="\₹#,##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font>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font>
      <numFmt numFmtId="165"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font>
      <numFmt numFmtId="164"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ont>
    </dxf>
    <dxf>
      <border>
        <bottom style="thin">
          <color indexed="64"/>
        </bottom>
      </border>
    </dxf>
    <dxf>
      <font>
        <b/>
        <i val="0"/>
        <strike val="0"/>
        <condense val="0"/>
        <extend val="0"/>
        <outline val="0"/>
        <shadow val="0"/>
        <u val="none"/>
        <vertAlign val="baseline"/>
        <sz val="14"/>
        <color rgb="FFFFFFFF"/>
        <name val="Calibri"/>
        <scheme val="none"/>
      </font>
      <fill>
        <patternFill patternType="solid">
          <fgColor indexed="64"/>
          <bgColor rgb="FF1F4E78"/>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[Sales_Performance_Dashborad.xlsx]Pivot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Performance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402537182852142"/>
          <c:y val="0.26328484981044037"/>
          <c:w val="0.58914391951006129"/>
          <c:h val="0.51415573053368324"/>
        </c:manualLayout>
      </c:layout>
      <c:line3DChart>
        <c:grouping val="standard"/>
        <c:varyColors val="0"/>
        <c:ser>
          <c:idx val="0"/>
          <c:order val="0"/>
          <c:tx>
            <c:strRef>
              <c:f>'Pivot Table'!$B$6:$B$7</c:f>
              <c:strCache>
                <c:ptCount val="1"/>
                <c:pt idx="0">
                  <c:v>2024</c:v>
                </c:pt>
              </c:strCache>
            </c:strRef>
          </c:tx>
          <c:spPr>
            <a:solidFill>
              <a:schemeClr val="accent1"/>
            </a:solidFill>
            <a:ln>
              <a:noFill/>
            </a:ln>
            <a:effectLst/>
            <a:sp3d/>
          </c:spPr>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Table'!$B$8:$B$20</c:f>
              <c:numCache>
                <c:formatCode>"₹"\ #,##0.00</c:formatCode>
                <c:ptCount val="12"/>
                <c:pt idx="0">
                  <c:v>18967962.330000009</c:v>
                </c:pt>
                <c:pt idx="1">
                  <c:v>12415506.540000005</c:v>
                </c:pt>
                <c:pt idx="2">
                  <c:v>23771653.430000003</c:v>
                </c:pt>
                <c:pt idx="3">
                  <c:v>20441862.559999999</c:v>
                </c:pt>
                <c:pt idx="4">
                  <c:v>21767026.600000005</c:v>
                </c:pt>
                <c:pt idx="5">
                  <c:v>21015217.139999993</c:v>
                </c:pt>
                <c:pt idx="6">
                  <c:v>28827072.820000004</c:v>
                </c:pt>
                <c:pt idx="7">
                  <c:v>18620486.530000005</c:v>
                </c:pt>
                <c:pt idx="8">
                  <c:v>21464546.720000003</c:v>
                </c:pt>
                <c:pt idx="9">
                  <c:v>28116645.499999996</c:v>
                </c:pt>
                <c:pt idx="10">
                  <c:v>21587759.250000004</c:v>
                </c:pt>
                <c:pt idx="11">
                  <c:v>26303298.450000018</c:v>
                </c:pt>
              </c:numCache>
            </c:numRef>
          </c:val>
          <c:smooth val="0"/>
          <c:extLst>
            <c:ext xmlns:c16="http://schemas.microsoft.com/office/drawing/2014/chart" uri="{C3380CC4-5D6E-409C-BE32-E72D297353CC}">
              <c16:uniqueId val="{00000000-340D-4788-B6AA-64E785391570}"/>
            </c:ext>
          </c:extLst>
        </c:ser>
        <c:ser>
          <c:idx val="1"/>
          <c:order val="1"/>
          <c:tx>
            <c:strRef>
              <c:f>'Pivot Table'!$C$6:$C$7</c:f>
              <c:strCache>
                <c:ptCount val="1"/>
                <c:pt idx="0">
                  <c:v>2025</c:v>
                </c:pt>
              </c:strCache>
            </c:strRef>
          </c:tx>
          <c:spPr>
            <a:solidFill>
              <a:schemeClr val="accent2"/>
            </a:solidFill>
            <a:ln w="25400">
              <a:noFill/>
            </a:ln>
            <a:effectLst/>
            <a:sp3d/>
          </c:spPr>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Table'!$C$8:$C$20</c:f>
              <c:numCache>
                <c:formatCode>"₹"\ #,##0.00</c:formatCode>
                <c:ptCount val="12"/>
                <c:pt idx="0">
                  <c:v>21386646.77</c:v>
                </c:pt>
                <c:pt idx="1">
                  <c:v>29328910.240000013</c:v>
                </c:pt>
                <c:pt idx="2">
                  <c:v>23542137.280000009</c:v>
                </c:pt>
                <c:pt idx="3">
                  <c:v>26904741.470000014</c:v>
                </c:pt>
                <c:pt idx="4">
                  <c:v>15807349.209999999</c:v>
                </c:pt>
                <c:pt idx="5">
                  <c:v>28067221.860000007</c:v>
                </c:pt>
                <c:pt idx="6">
                  <c:v>19285766.520000007</c:v>
                </c:pt>
                <c:pt idx="7">
                  <c:v>21926269.310000014</c:v>
                </c:pt>
                <c:pt idx="8">
                  <c:v>28090579.360000011</c:v>
                </c:pt>
                <c:pt idx="9">
                  <c:v>24757675.629999999</c:v>
                </c:pt>
                <c:pt idx="10">
                  <c:v>21905537.669999998</c:v>
                </c:pt>
                <c:pt idx="11">
                  <c:v>31618654.360000007</c:v>
                </c:pt>
              </c:numCache>
            </c:numRef>
          </c:val>
          <c:smooth val="0"/>
          <c:extLst>
            <c:ext xmlns:c16="http://schemas.microsoft.com/office/drawing/2014/chart" uri="{C3380CC4-5D6E-409C-BE32-E72D297353CC}">
              <c16:uniqueId val="{00000005-340D-4788-B6AA-64E785391570}"/>
            </c:ext>
          </c:extLst>
        </c:ser>
        <c:dLbls>
          <c:showLegendKey val="0"/>
          <c:showVal val="0"/>
          <c:showCatName val="0"/>
          <c:showSerName val="0"/>
          <c:showPercent val="0"/>
          <c:showBubbleSize val="0"/>
        </c:dLbls>
        <c:axId val="665920512"/>
        <c:axId val="151183887"/>
        <c:axId val="360696848"/>
      </c:line3DChart>
      <c:catAx>
        <c:axId val="66592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3887"/>
        <c:crosses val="autoZero"/>
        <c:auto val="1"/>
        <c:lblAlgn val="ctr"/>
        <c:lblOffset val="100"/>
        <c:noMultiLvlLbl val="0"/>
      </c:catAx>
      <c:valAx>
        <c:axId val="151183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920512"/>
        <c:crosses val="autoZero"/>
        <c:crossBetween val="between"/>
      </c:valAx>
      <c:serAx>
        <c:axId val="36069684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38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[Sales_Performance_Dashborad.xlsx]Pivot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baseline="0">
                <a:latin typeface="Aptos" panose="020B0004020202020204" pitchFamily="34" charset="0"/>
              </a:rPr>
              <a:t>Sales By Regions</a:t>
            </a:r>
            <a:endParaRPr lang="en-IN" sz="1600"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Table'!$A$27:$A$32</c:f>
              <c:strCache>
                <c:ptCount val="5"/>
                <c:pt idx="0">
                  <c:v>Central</c:v>
                </c:pt>
                <c:pt idx="1">
                  <c:v>East</c:v>
                </c:pt>
                <c:pt idx="2">
                  <c:v>North</c:v>
                </c:pt>
                <c:pt idx="3">
                  <c:v>South</c:v>
                </c:pt>
                <c:pt idx="4">
                  <c:v>West</c:v>
                </c:pt>
              </c:strCache>
            </c:strRef>
          </c:cat>
          <c:val>
            <c:numRef>
              <c:f>'Pivot Table'!$B$27:$B$32</c:f>
              <c:numCache>
                <c:formatCode>"₹"\ #,##0.00</c:formatCode>
                <c:ptCount val="5"/>
                <c:pt idx="0">
                  <c:v>125121748.80999988</c:v>
                </c:pt>
                <c:pt idx="1">
                  <c:v>100962063.28999996</c:v>
                </c:pt>
                <c:pt idx="2">
                  <c:v>101973554.42999989</c:v>
                </c:pt>
                <c:pt idx="3">
                  <c:v>101011551.79000004</c:v>
                </c:pt>
                <c:pt idx="4">
                  <c:v>126851609.22999994</c:v>
                </c:pt>
              </c:numCache>
            </c:numRef>
          </c:val>
          <c:extLst>
            <c:ext xmlns:c16="http://schemas.microsoft.com/office/drawing/2014/chart" uri="{C3380CC4-5D6E-409C-BE32-E72D297353CC}">
              <c16:uniqueId val="{00000000-2C07-4AF8-8D89-5A2E61CAD12F}"/>
            </c:ext>
          </c:extLst>
        </c:ser>
        <c:dLbls>
          <c:showLegendKey val="0"/>
          <c:showVal val="1"/>
          <c:showCatName val="0"/>
          <c:showSerName val="0"/>
          <c:showPercent val="0"/>
          <c:showBubbleSize val="0"/>
        </c:dLbls>
        <c:gapWidth val="150"/>
        <c:shape val="box"/>
        <c:axId val="637353488"/>
        <c:axId val="151157967"/>
        <c:axId val="0"/>
      </c:bar3DChart>
      <c:catAx>
        <c:axId val="637353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157967"/>
        <c:crosses val="autoZero"/>
        <c:auto val="1"/>
        <c:lblAlgn val="ctr"/>
        <c:lblOffset val="100"/>
        <c:noMultiLvlLbl val="0"/>
      </c:catAx>
      <c:valAx>
        <c:axId val="151157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735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[Sales_Performance_Dashborad.xlsx]Pivot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Aptos" panose="020B0004020202020204" pitchFamily="34" charset="0"/>
              </a:rPr>
              <a:t>Sale's</a:t>
            </a:r>
            <a:r>
              <a:rPr lang="en-IN" sz="1600" b="1" baseline="0">
                <a:latin typeface="Aptos" panose="020B0004020202020204" pitchFamily="34" charset="0"/>
              </a:rPr>
              <a:t> By Category</a:t>
            </a:r>
            <a:endParaRPr lang="en-IN" sz="1600"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Table'!$A$38:$A$43</c:f>
              <c:strCache>
                <c:ptCount val="5"/>
                <c:pt idx="0">
                  <c:v>Electronics</c:v>
                </c:pt>
                <c:pt idx="1">
                  <c:v>Fashion</c:v>
                </c:pt>
                <c:pt idx="2">
                  <c:v>Furniture</c:v>
                </c:pt>
                <c:pt idx="3">
                  <c:v>Home Appliances</c:v>
                </c:pt>
                <c:pt idx="4">
                  <c:v>Sports &amp; Fitness</c:v>
                </c:pt>
              </c:strCache>
            </c:strRef>
          </c:cat>
          <c:val>
            <c:numRef>
              <c:f>'Pivot Table'!$B$38:$B$43</c:f>
              <c:numCache>
                <c:formatCode>"₹"\ #,##0.00</c:formatCode>
                <c:ptCount val="5"/>
                <c:pt idx="0">
                  <c:v>194650776.6199995</c:v>
                </c:pt>
                <c:pt idx="1">
                  <c:v>24321450.670000017</c:v>
                </c:pt>
                <c:pt idx="2">
                  <c:v>194032687.55999959</c:v>
                </c:pt>
                <c:pt idx="3">
                  <c:v>131910854.54999994</c:v>
                </c:pt>
                <c:pt idx="4">
                  <c:v>11004758.150000021</c:v>
                </c:pt>
              </c:numCache>
            </c:numRef>
          </c:val>
          <c:extLst>
            <c:ext xmlns:c16="http://schemas.microsoft.com/office/drawing/2014/chart" uri="{C3380CC4-5D6E-409C-BE32-E72D297353CC}">
              <c16:uniqueId val="{00000000-3A7D-4D0C-BDB3-E7D940680202}"/>
            </c:ext>
          </c:extLst>
        </c:ser>
        <c:dLbls>
          <c:showLegendKey val="0"/>
          <c:showVal val="1"/>
          <c:showCatName val="0"/>
          <c:showSerName val="0"/>
          <c:showPercent val="0"/>
          <c:showBubbleSize val="0"/>
        </c:dLbls>
        <c:gapWidth val="150"/>
        <c:shape val="box"/>
        <c:axId val="351363023"/>
        <c:axId val="151179567"/>
        <c:axId val="0"/>
      </c:bar3DChart>
      <c:catAx>
        <c:axId val="3513630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179567"/>
        <c:crosses val="autoZero"/>
        <c:auto val="1"/>
        <c:lblAlgn val="ctr"/>
        <c:lblOffset val="100"/>
        <c:noMultiLvlLbl val="0"/>
      </c:catAx>
      <c:valAx>
        <c:axId val="1511795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36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[Sales_Performance_Dashborad.xlsx]Pivot Table!PivotTable8</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latin typeface="Aptos" panose="020B0004020202020204" pitchFamily="34" charset="0"/>
              </a:rPr>
              <a:t>Profit</a:t>
            </a:r>
            <a:r>
              <a:rPr lang="en-US" sz="1600" baseline="0">
                <a:latin typeface="Aptos" panose="020B0004020202020204" pitchFamily="34" charset="0"/>
              </a:rPr>
              <a:t> By Category</a:t>
            </a:r>
            <a:endParaRPr lang="en-US" sz="1600">
              <a:latin typeface="Aptos" panose="020B0004020202020204" pitchFamily="34" charset="0"/>
            </a:endParaRPr>
          </a:p>
        </c:rich>
      </c:tx>
      <c:layout>
        <c:manualLayout>
          <c:xMode val="edge"/>
          <c:yMode val="edge"/>
          <c:x val="0.32985685071574644"/>
          <c:y val="5.74185219854511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dLbl>
          <c:idx val="0"/>
          <c:layout>
            <c:manualLayout>
              <c:x val="8.2268810148731414E-2"/>
              <c:y val="-2.8153251676873723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dLbl>
          <c:idx val="0"/>
          <c:layout>
            <c:manualLayout>
              <c:x val="-3.4101049868766428E-2"/>
              <c:y val="-4.044473607465733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2.6104858679297557E-2"/>
              <c:y val="-2.58219501346290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dLbl>
          <c:idx val="0"/>
          <c:layout>
            <c:manualLayout>
              <c:x val="1.6375765529308836E-3"/>
              <c:y val="1.23377806940799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dLbl>
          <c:idx val="0"/>
          <c:layout>
            <c:manualLayout>
              <c:x val="2.0499781277340333E-2"/>
              <c:y val="-1.86107465733449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974293059125965E-2"/>
          <c:y val="0.23180063358833056"/>
          <c:w val="0.7663094009135748"/>
          <c:h val="0.68626749922753838"/>
        </c:manualLayout>
      </c:layout>
      <c:pie3DChart>
        <c:varyColors val="1"/>
        <c:ser>
          <c:idx val="0"/>
          <c:order val="0"/>
          <c:tx>
            <c:strRef>
              <c:f>'Pivot Table'!$B$56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70EF-44E2-A6B9-68046CC08D4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70EF-44E2-A6B9-68046CC08D4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0EF-44E2-A6B9-68046CC08D4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0EF-44E2-A6B9-68046CC08D4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70EF-44E2-A6B9-68046CC08D4D}"/>
              </c:ext>
            </c:extLst>
          </c:dPt>
          <c:dLbls>
            <c:dLbl>
              <c:idx val="0"/>
              <c:layout>
                <c:manualLayout>
                  <c:x val="2.6104858679297557E-2"/>
                  <c:y val="-2.582195013462903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0EF-44E2-A6B9-68046CC08D4D}"/>
                </c:ext>
              </c:extLst>
            </c:dLbl>
            <c:dLbl>
              <c:idx val="1"/>
              <c:layout>
                <c:manualLayout>
                  <c:x val="2.0499781277340333E-2"/>
                  <c:y val="-1.8610746573344997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0EF-44E2-A6B9-68046CC08D4D}"/>
                </c:ext>
              </c:extLst>
            </c:dLbl>
            <c:dLbl>
              <c:idx val="2"/>
              <c:layout>
                <c:manualLayout>
                  <c:x val="-3.4101049868766428E-2"/>
                  <c:y val="-4.044473607465733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0EF-44E2-A6B9-68046CC08D4D}"/>
                </c:ext>
              </c:extLst>
            </c:dLbl>
            <c:dLbl>
              <c:idx val="3"/>
              <c:layout>
                <c:manualLayout>
                  <c:x val="1.6375765529308836E-3"/>
                  <c:y val="1.2337780694079906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EF-44E2-A6B9-68046CC08D4D}"/>
                </c:ext>
              </c:extLst>
            </c:dLbl>
            <c:dLbl>
              <c:idx val="4"/>
              <c:layout>
                <c:manualLayout>
                  <c:x val="8.2268810148731414E-2"/>
                  <c:y val="-2.8153251676873723E-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0EF-44E2-A6B9-68046CC08D4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Table'!$A$57:$A$62</c:f>
              <c:strCache>
                <c:ptCount val="5"/>
                <c:pt idx="0">
                  <c:v>Electronics</c:v>
                </c:pt>
                <c:pt idx="1">
                  <c:v>Fashion</c:v>
                </c:pt>
                <c:pt idx="2">
                  <c:v>Furniture</c:v>
                </c:pt>
                <c:pt idx="3">
                  <c:v>Home Appliances</c:v>
                </c:pt>
                <c:pt idx="4">
                  <c:v>Sports &amp; Fitness</c:v>
                </c:pt>
              </c:strCache>
            </c:strRef>
          </c:cat>
          <c:val>
            <c:numRef>
              <c:f>'Pivot Table'!$B$57:$B$62</c:f>
              <c:numCache>
                <c:formatCode>"₹"\ #,##0.00</c:formatCode>
                <c:ptCount val="5"/>
                <c:pt idx="0">
                  <c:v>68590886.620000109</c:v>
                </c:pt>
                <c:pt idx="1">
                  <c:v>8997430.6699999943</c:v>
                </c:pt>
                <c:pt idx="2">
                  <c:v>65643297.560000107</c:v>
                </c:pt>
                <c:pt idx="3">
                  <c:v>42429334.550000072</c:v>
                </c:pt>
                <c:pt idx="4">
                  <c:v>4459718.1499999939</c:v>
                </c:pt>
              </c:numCache>
            </c:numRef>
          </c:val>
          <c:extLst>
            <c:ext xmlns:c16="http://schemas.microsoft.com/office/drawing/2014/chart" uri="{C3380CC4-5D6E-409C-BE32-E72D297353CC}">
              <c16:uniqueId val="{00000000-70EF-44E2-A6B9-68046CC08D4D}"/>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220077728073194"/>
          <c:y val="0.43499234329214664"/>
          <c:w val="0.17215875085677984"/>
          <c:h val="0.38424676810503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[Sales_Performance_Dashborad.xlsx]Pivot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Performance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681141536412427"/>
          <c:y val="0.23237976047696024"/>
          <c:w val="0.58914391951006129"/>
          <c:h val="0.51415573053368324"/>
        </c:manualLayout>
      </c:layout>
      <c:line3DChart>
        <c:grouping val="standard"/>
        <c:varyColors val="0"/>
        <c:ser>
          <c:idx val="0"/>
          <c:order val="0"/>
          <c:tx>
            <c:strRef>
              <c:f>'Pivot Table'!$B$6:$B$7</c:f>
              <c:strCache>
                <c:ptCount val="1"/>
                <c:pt idx="0">
                  <c:v>2024</c:v>
                </c:pt>
              </c:strCache>
            </c:strRef>
          </c:tx>
          <c:spPr>
            <a:solidFill>
              <a:schemeClr val="accent1"/>
            </a:solidFill>
            <a:ln>
              <a:noFill/>
            </a:ln>
            <a:effectLst/>
            <a:sp3d/>
          </c:spPr>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Table'!$B$8:$B$20</c:f>
              <c:numCache>
                <c:formatCode>"₹"\ #,##0.00</c:formatCode>
                <c:ptCount val="12"/>
                <c:pt idx="0">
                  <c:v>18967962.330000009</c:v>
                </c:pt>
                <c:pt idx="1">
                  <c:v>12415506.540000005</c:v>
                </c:pt>
                <c:pt idx="2">
                  <c:v>23771653.430000003</c:v>
                </c:pt>
                <c:pt idx="3">
                  <c:v>20441862.559999999</c:v>
                </c:pt>
                <c:pt idx="4">
                  <c:v>21767026.600000005</c:v>
                </c:pt>
                <c:pt idx="5">
                  <c:v>21015217.139999993</c:v>
                </c:pt>
                <c:pt idx="6">
                  <c:v>28827072.820000004</c:v>
                </c:pt>
                <c:pt idx="7">
                  <c:v>18620486.530000005</c:v>
                </c:pt>
                <c:pt idx="8">
                  <c:v>21464546.720000003</c:v>
                </c:pt>
                <c:pt idx="9">
                  <c:v>28116645.499999996</c:v>
                </c:pt>
                <c:pt idx="10">
                  <c:v>21587759.250000004</c:v>
                </c:pt>
                <c:pt idx="11">
                  <c:v>26303298.450000018</c:v>
                </c:pt>
              </c:numCache>
            </c:numRef>
          </c:val>
          <c:smooth val="0"/>
          <c:extLst>
            <c:ext xmlns:c16="http://schemas.microsoft.com/office/drawing/2014/chart" uri="{C3380CC4-5D6E-409C-BE32-E72D297353CC}">
              <c16:uniqueId val="{00000000-428D-4AA0-BAB7-59BA1182F8BB}"/>
            </c:ext>
          </c:extLst>
        </c:ser>
        <c:ser>
          <c:idx val="1"/>
          <c:order val="1"/>
          <c:tx>
            <c:strRef>
              <c:f>'Pivot Table'!$C$6:$C$7</c:f>
              <c:strCache>
                <c:ptCount val="1"/>
                <c:pt idx="0">
                  <c:v>2025</c:v>
                </c:pt>
              </c:strCache>
            </c:strRef>
          </c:tx>
          <c:spPr>
            <a:solidFill>
              <a:schemeClr val="accent2"/>
            </a:solidFill>
            <a:ln w="25400">
              <a:noFill/>
            </a:ln>
            <a:effectLst/>
            <a:sp3d/>
          </c:spPr>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Table'!$C$8:$C$20</c:f>
              <c:numCache>
                <c:formatCode>"₹"\ #,##0.00</c:formatCode>
                <c:ptCount val="12"/>
                <c:pt idx="0">
                  <c:v>21386646.77</c:v>
                </c:pt>
                <c:pt idx="1">
                  <c:v>29328910.240000013</c:v>
                </c:pt>
                <c:pt idx="2">
                  <c:v>23542137.280000009</c:v>
                </c:pt>
                <c:pt idx="3">
                  <c:v>26904741.470000014</c:v>
                </c:pt>
                <c:pt idx="4">
                  <c:v>15807349.209999999</c:v>
                </c:pt>
                <c:pt idx="5">
                  <c:v>28067221.860000007</c:v>
                </c:pt>
                <c:pt idx="6">
                  <c:v>19285766.520000007</c:v>
                </c:pt>
                <c:pt idx="7">
                  <c:v>21926269.310000014</c:v>
                </c:pt>
                <c:pt idx="8">
                  <c:v>28090579.360000011</c:v>
                </c:pt>
                <c:pt idx="9">
                  <c:v>24757675.629999999</c:v>
                </c:pt>
                <c:pt idx="10">
                  <c:v>21905537.669999998</c:v>
                </c:pt>
                <c:pt idx="11">
                  <c:v>31618654.360000007</c:v>
                </c:pt>
              </c:numCache>
            </c:numRef>
          </c:val>
          <c:smooth val="0"/>
          <c:extLst>
            <c:ext xmlns:c16="http://schemas.microsoft.com/office/drawing/2014/chart" uri="{C3380CC4-5D6E-409C-BE32-E72D297353CC}">
              <c16:uniqueId val="{00000005-428D-4AA0-BAB7-59BA1182F8BB}"/>
            </c:ext>
          </c:extLst>
        </c:ser>
        <c:dLbls>
          <c:showLegendKey val="0"/>
          <c:showVal val="0"/>
          <c:showCatName val="0"/>
          <c:showSerName val="0"/>
          <c:showPercent val="0"/>
          <c:showBubbleSize val="0"/>
        </c:dLbls>
        <c:axId val="665920512"/>
        <c:axId val="151183887"/>
        <c:axId val="360696848"/>
      </c:line3DChart>
      <c:catAx>
        <c:axId val="66592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183887"/>
        <c:crosses val="autoZero"/>
        <c:auto val="1"/>
        <c:lblAlgn val="ctr"/>
        <c:lblOffset val="100"/>
        <c:noMultiLvlLbl val="0"/>
      </c:catAx>
      <c:valAx>
        <c:axId val="151183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5920512"/>
        <c:crosses val="autoZero"/>
        <c:crossBetween val="between"/>
      </c:valAx>
      <c:serAx>
        <c:axId val="36069684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8388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[Sales_Performance_Dashborad.xlsx]Pivot 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baseline="0">
                <a:latin typeface="Aptos" panose="020B0004020202020204" pitchFamily="34" charset="0"/>
              </a:rPr>
              <a:t>Sales By Regions</a:t>
            </a:r>
            <a:endParaRPr lang="en-IN" sz="1600"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Table'!$A$27:$A$32</c:f>
              <c:strCache>
                <c:ptCount val="5"/>
                <c:pt idx="0">
                  <c:v>Central</c:v>
                </c:pt>
                <c:pt idx="1">
                  <c:v>East</c:v>
                </c:pt>
                <c:pt idx="2">
                  <c:v>North</c:v>
                </c:pt>
                <c:pt idx="3">
                  <c:v>South</c:v>
                </c:pt>
                <c:pt idx="4">
                  <c:v>West</c:v>
                </c:pt>
              </c:strCache>
            </c:strRef>
          </c:cat>
          <c:val>
            <c:numRef>
              <c:f>'Pivot Table'!$B$27:$B$32</c:f>
              <c:numCache>
                <c:formatCode>"₹"\ #,##0.00</c:formatCode>
                <c:ptCount val="5"/>
                <c:pt idx="0">
                  <c:v>125121748.80999988</c:v>
                </c:pt>
                <c:pt idx="1">
                  <c:v>100962063.28999996</c:v>
                </c:pt>
                <c:pt idx="2">
                  <c:v>101973554.42999989</c:v>
                </c:pt>
                <c:pt idx="3">
                  <c:v>101011551.79000004</c:v>
                </c:pt>
                <c:pt idx="4">
                  <c:v>126851609.22999994</c:v>
                </c:pt>
              </c:numCache>
            </c:numRef>
          </c:val>
          <c:extLst>
            <c:ext xmlns:c16="http://schemas.microsoft.com/office/drawing/2014/chart" uri="{C3380CC4-5D6E-409C-BE32-E72D297353CC}">
              <c16:uniqueId val="{00000000-FE5C-4DED-896B-8FBF89E3EB95}"/>
            </c:ext>
          </c:extLst>
        </c:ser>
        <c:dLbls>
          <c:showLegendKey val="0"/>
          <c:showVal val="1"/>
          <c:showCatName val="0"/>
          <c:showSerName val="0"/>
          <c:showPercent val="0"/>
          <c:showBubbleSize val="0"/>
        </c:dLbls>
        <c:gapWidth val="150"/>
        <c:shape val="box"/>
        <c:axId val="637353488"/>
        <c:axId val="151157967"/>
        <c:axId val="0"/>
      </c:bar3DChart>
      <c:catAx>
        <c:axId val="637353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157967"/>
        <c:crosses val="autoZero"/>
        <c:auto val="1"/>
        <c:lblAlgn val="ctr"/>
        <c:lblOffset val="100"/>
        <c:noMultiLvlLbl val="0"/>
      </c:catAx>
      <c:valAx>
        <c:axId val="151157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735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[Sales_Performance_Dashborad.xlsx]Pivot Table!PivotTable6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Aptos" panose="020B0004020202020204" pitchFamily="34" charset="0"/>
              </a:rPr>
              <a:t>Sale's</a:t>
            </a:r>
            <a:r>
              <a:rPr lang="en-IN" sz="1600" b="1" baseline="0">
                <a:latin typeface="Aptos" panose="020B0004020202020204" pitchFamily="34" charset="0"/>
              </a:rPr>
              <a:t> By Category</a:t>
            </a:r>
            <a:endParaRPr lang="en-IN" sz="1600"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Table'!$A$38:$A$43</c:f>
              <c:strCache>
                <c:ptCount val="5"/>
                <c:pt idx="0">
                  <c:v>Electronics</c:v>
                </c:pt>
                <c:pt idx="1">
                  <c:v>Fashion</c:v>
                </c:pt>
                <c:pt idx="2">
                  <c:v>Furniture</c:v>
                </c:pt>
                <c:pt idx="3">
                  <c:v>Home Appliances</c:v>
                </c:pt>
                <c:pt idx="4">
                  <c:v>Sports &amp; Fitness</c:v>
                </c:pt>
              </c:strCache>
            </c:strRef>
          </c:cat>
          <c:val>
            <c:numRef>
              <c:f>'Pivot Table'!$B$38:$B$43</c:f>
              <c:numCache>
                <c:formatCode>"₹"\ #,##0.00</c:formatCode>
                <c:ptCount val="5"/>
                <c:pt idx="0">
                  <c:v>194650776.6199995</c:v>
                </c:pt>
                <c:pt idx="1">
                  <c:v>24321450.670000017</c:v>
                </c:pt>
                <c:pt idx="2">
                  <c:v>194032687.55999959</c:v>
                </c:pt>
                <c:pt idx="3">
                  <c:v>131910854.54999994</c:v>
                </c:pt>
                <c:pt idx="4">
                  <c:v>11004758.150000021</c:v>
                </c:pt>
              </c:numCache>
            </c:numRef>
          </c:val>
          <c:extLst>
            <c:ext xmlns:c16="http://schemas.microsoft.com/office/drawing/2014/chart" uri="{C3380CC4-5D6E-409C-BE32-E72D297353CC}">
              <c16:uniqueId val="{00000000-8598-438C-97E9-4EE6DE970644}"/>
            </c:ext>
          </c:extLst>
        </c:ser>
        <c:dLbls>
          <c:showLegendKey val="0"/>
          <c:showVal val="1"/>
          <c:showCatName val="0"/>
          <c:showSerName val="0"/>
          <c:showPercent val="0"/>
          <c:showBubbleSize val="0"/>
        </c:dLbls>
        <c:gapWidth val="150"/>
        <c:shape val="box"/>
        <c:axId val="351363023"/>
        <c:axId val="151179567"/>
        <c:axId val="0"/>
      </c:bar3DChart>
      <c:catAx>
        <c:axId val="3513630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179567"/>
        <c:crosses val="autoZero"/>
        <c:auto val="1"/>
        <c:lblAlgn val="ctr"/>
        <c:lblOffset val="100"/>
        <c:noMultiLvlLbl val="0"/>
      </c:catAx>
      <c:valAx>
        <c:axId val="1511795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36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[Sales_Performance_Dashborad.xlsx]Pivot Table!PivotTable8</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latin typeface="Aptos" panose="020B0004020202020204" pitchFamily="34" charset="0"/>
              </a:rPr>
              <a:t>Profit</a:t>
            </a:r>
            <a:r>
              <a:rPr lang="en-US" sz="1600" baseline="0">
                <a:latin typeface="Aptos" panose="020B0004020202020204" pitchFamily="34" charset="0"/>
              </a:rPr>
              <a:t> By Category</a:t>
            </a:r>
            <a:endParaRPr lang="en-US" sz="1600">
              <a:latin typeface="Aptos" panose="020B0004020202020204" pitchFamily="34" charset="0"/>
            </a:endParaRPr>
          </a:p>
        </c:rich>
      </c:tx>
      <c:layout>
        <c:manualLayout>
          <c:xMode val="edge"/>
          <c:yMode val="edge"/>
          <c:x val="0.32985685071574644"/>
          <c:y val="5.74185219854511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a:sp3d/>
        </c:spPr>
        <c:dLbl>
          <c:idx val="0"/>
          <c:layout>
            <c:manualLayout>
              <c:x val="8.2268810148731414E-2"/>
              <c:y val="-2.8153251676873723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254000" sx="102000" sy="102000" algn="ctr" rotWithShape="0">
              <a:prstClr val="black">
                <a:alpha val="20000"/>
              </a:prstClr>
            </a:outerShdw>
          </a:effectLst>
          <a:sp3d/>
        </c:spPr>
        <c:dLbl>
          <c:idx val="0"/>
          <c:layout>
            <c:manualLayout>
              <c:x val="-3.4101049868766428E-2"/>
              <c:y val="-4.044473607465733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2.6104858679297557E-2"/>
              <c:y val="-2.58219501346290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254000" sx="102000" sy="102000" algn="ctr" rotWithShape="0">
              <a:prstClr val="black">
                <a:alpha val="20000"/>
              </a:prstClr>
            </a:outerShdw>
          </a:effectLst>
          <a:sp3d/>
        </c:spPr>
        <c:dLbl>
          <c:idx val="0"/>
          <c:layout>
            <c:manualLayout>
              <c:x val="1.6375765529308836E-3"/>
              <c:y val="1.23377806940799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a:sp3d/>
        </c:spPr>
        <c:dLbl>
          <c:idx val="0"/>
          <c:layout>
            <c:manualLayout>
              <c:x val="2.0499781277340333E-2"/>
              <c:y val="-1.86107465733449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layout>
            <c:manualLayout>
              <c:x val="2.6104858679297557E-2"/>
              <c:y val="-2.58219501346290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dLbl>
          <c:idx val="0"/>
          <c:layout>
            <c:manualLayout>
              <c:x val="2.0499781277340333E-2"/>
              <c:y val="-1.86107465733449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dLbl>
          <c:idx val="0"/>
          <c:layout>
            <c:manualLayout>
              <c:x val="-3.4101049868766428E-2"/>
              <c:y val="-4.044473607465733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dLbl>
          <c:idx val="0"/>
          <c:layout>
            <c:manualLayout>
              <c:x val="1.6375765529308836E-3"/>
              <c:y val="1.23377806940799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dLbl>
          <c:idx val="0"/>
          <c:layout>
            <c:manualLayout>
              <c:x val="8.2268810148731414E-2"/>
              <c:y val="-2.8153251676873723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dLbl>
          <c:idx val="0"/>
          <c:layout>
            <c:manualLayout>
              <c:x val="2.6104858679297557E-2"/>
              <c:y val="-2.58219501346290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dLbl>
          <c:idx val="0"/>
          <c:layout>
            <c:manualLayout>
              <c:x val="2.0499781277340333E-2"/>
              <c:y val="-1.86107465733449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a:sp3d/>
        </c:spPr>
        <c:dLbl>
          <c:idx val="0"/>
          <c:layout>
            <c:manualLayout>
              <c:x val="-3.4101049868766428E-2"/>
              <c:y val="-4.044473607465733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dLbl>
          <c:idx val="0"/>
          <c:layout>
            <c:manualLayout>
              <c:x val="1.6375765529308836E-3"/>
              <c:y val="1.23377806940799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a:sp3d/>
        </c:spPr>
        <c:dLbl>
          <c:idx val="0"/>
          <c:layout>
            <c:manualLayout>
              <c:x val="8.2268810148731414E-2"/>
              <c:y val="-2.8153251676873723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974293059125965E-2"/>
          <c:y val="0.23180063358833056"/>
          <c:w val="0.7663094009135748"/>
          <c:h val="0.68626749922753838"/>
        </c:manualLayout>
      </c:layout>
      <c:pie3DChart>
        <c:varyColors val="1"/>
        <c:ser>
          <c:idx val="0"/>
          <c:order val="0"/>
          <c:tx>
            <c:strRef>
              <c:f>'Pivot Table'!$B$56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E92-4001-9383-E43A6F503ED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E92-4001-9383-E43A6F503ED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E92-4001-9383-E43A6F503ED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E92-4001-9383-E43A6F503ED5}"/>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2E92-4001-9383-E43A6F503ED5}"/>
              </c:ext>
            </c:extLst>
          </c:dPt>
          <c:dLbls>
            <c:dLbl>
              <c:idx val="0"/>
              <c:layout>
                <c:manualLayout>
                  <c:x val="2.6104858679297557E-2"/>
                  <c:y val="-2.582195013462903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E92-4001-9383-E43A6F503ED5}"/>
                </c:ext>
              </c:extLst>
            </c:dLbl>
            <c:dLbl>
              <c:idx val="1"/>
              <c:layout>
                <c:manualLayout>
                  <c:x val="2.0499781277340333E-2"/>
                  <c:y val="-1.8610746573344997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E92-4001-9383-E43A6F503ED5}"/>
                </c:ext>
              </c:extLst>
            </c:dLbl>
            <c:dLbl>
              <c:idx val="2"/>
              <c:layout>
                <c:manualLayout>
                  <c:x val="-3.4101049868766428E-2"/>
                  <c:y val="-4.044473607465733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E92-4001-9383-E43A6F503ED5}"/>
                </c:ext>
              </c:extLst>
            </c:dLbl>
            <c:dLbl>
              <c:idx val="3"/>
              <c:layout>
                <c:manualLayout>
                  <c:x val="1.6375765529308836E-3"/>
                  <c:y val="1.2337780694079906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E92-4001-9383-E43A6F503ED5}"/>
                </c:ext>
              </c:extLst>
            </c:dLbl>
            <c:dLbl>
              <c:idx val="4"/>
              <c:layout>
                <c:manualLayout>
                  <c:x val="8.2268810148731414E-2"/>
                  <c:y val="-2.8153251676873723E-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E92-4001-9383-E43A6F503ED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Table'!$A$57:$A$62</c:f>
              <c:strCache>
                <c:ptCount val="5"/>
                <c:pt idx="0">
                  <c:v>Electronics</c:v>
                </c:pt>
                <c:pt idx="1">
                  <c:v>Fashion</c:v>
                </c:pt>
                <c:pt idx="2">
                  <c:v>Furniture</c:v>
                </c:pt>
                <c:pt idx="3">
                  <c:v>Home Appliances</c:v>
                </c:pt>
                <c:pt idx="4">
                  <c:v>Sports &amp; Fitness</c:v>
                </c:pt>
              </c:strCache>
            </c:strRef>
          </c:cat>
          <c:val>
            <c:numRef>
              <c:f>'Pivot Table'!$B$57:$B$62</c:f>
              <c:numCache>
                <c:formatCode>"₹"\ #,##0.00</c:formatCode>
                <c:ptCount val="5"/>
                <c:pt idx="0">
                  <c:v>68590886.620000109</c:v>
                </c:pt>
                <c:pt idx="1">
                  <c:v>8997430.6699999943</c:v>
                </c:pt>
                <c:pt idx="2">
                  <c:v>65643297.560000107</c:v>
                </c:pt>
                <c:pt idx="3">
                  <c:v>42429334.550000072</c:v>
                </c:pt>
                <c:pt idx="4">
                  <c:v>4459718.1499999939</c:v>
                </c:pt>
              </c:numCache>
            </c:numRef>
          </c:val>
          <c:extLst>
            <c:ext xmlns:c16="http://schemas.microsoft.com/office/drawing/2014/chart" uri="{C3380CC4-5D6E-409C-BE32-E72D297353CC}">
              <c16:uniqueId val="{0000000A-2E92-4001-9383-E43A6F503ED5}"/>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220077728073194"/>
          <c:y val="0.43499234329214664"/>
          <c:w val="0.16582161892340144"/>
          <c:h val="0.38424676810503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[Sales_Performance_Dashborad.xlsx]Pivot Table!PivotTable8</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latin typeface="Aptos" panose="020B0004020202020204" pitchFamily="34" charset="0"/>
              </a:rPr>
              <a:t>Profit</a:t>
            </a:r>
            <a:r>
              <a:rPr lang="en-US" sz="1600" baseline="0">
                <a:latin typeface="Aptos" panose="020B0004020202020204" pitchFamily="34" charset="0"/>
              </a:rPr>
              <a:t> By Category</a:t>
            </a:r>
            <a:endParaRPr lang="en-US" sz="1600">
              <a:latin typeface="Aptos" panose="020B0004020202020204" pitchFamily="34" charset="0"/>
            </a:endParaRPr>
          </a:p>
        </c:rich>
      </c:tx>
      <c:layout>
        <c:manualLayout>
          <c:xMode val="edge"/>
          <c:yMode val="edge"/>
          <c:x val="0.32985685071574644"/>
          <c:y val="5.74185219854511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a:sp3d/>
        </c:spPr>
        <c:dLbl>
          <c:idx val="0"/>
          <c:layout>
            <c:manualLayout>
              <c:x val="8.2268810148731414E-2"/>
              <c:y val="-2.8153251676873723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254000" sx="102000" sy="102000" algn="ctr" rotWithShape="0">
              <a:prstClr val="black">
                <a:alpha val="20000"/>
              </a:prstClr>
            </a:outerShdw>
          </a:effectLst>
          <a:sp3d/>
        </c:spPr>
        <c:dLbl>
          <c:idx val="0"/>
          <c:layout>
            <c:manualLayout>
              <c:x val="-3.4101049868766428E-2"/>
              <c:y val="-4.044473607465733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dLbl>
          <c:idx val="0"/>
          <c:layout>
            <c:manualLayout>
              <c:x val="2.6104858679297557E-2"/>
              <c:y val="-2.58219501346290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254000" sx="102000" sy="102000" algn="ctr" rotWithShape="0">
              <a:prstClr val="black">
                <a:alpha val="20000"/>
              </a:prstClr>
            </a:outerShdw>
          </a:effectLst>
          <a:sp3d/>
        </c:spPr>
        <c:dLbl>
          <c:idx val="0"/>
          <c:layout>
            <c:manualLayout>
              <c:x val="1.6375765529308836E-3"/>
              <c:y val="1.23377806940799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a:sp3d/>
        </c:spPr>
        <c:dLbl>
          <c:idx val="0"/>
          <c:layout>
            <c:manualLayout>
              <c:x val="2.0499781277340333E-2"/>
              <c:y val="-1.86107465733449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dLbl>
          <c:idx val="0"/>
          <c:layout>
            <c:manualLayout>
              <c:x val="2.6104858679297557E-2"/>
              <c:y val="-2.58219501346290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dLbl>
          <c:idx val="0"/>
          <c:layout>
            <c:manualLayout>
              <c:x val="2.0499781277340333E-2"/>
              <c:y val="-1.86107465733449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p3d/>
        </c:spPr>
        <c:dLbl>
          <c:idx val="0"/>
          <c:layout>
            <c:manualLayout>
              <c:x val="-3.4101049868766428E-2"/>
              <c:y val="-4.044473607465733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dLbl>
          <c:idx val="0"/>
          <c:layout>
            <c:manualLayout>
              <c:x val="1.6375765529308836E-3"/>
              <c:y val="1.23377806940799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dLbl>
          <c:idx val="0"/>
          <c:layout>
            <c:manualLayout>
              <c:x val="8.2268810148731414E-2"/>
              <c:y val="-2.8153251676873723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dLbl>
          <c:idx val="0"/>
          <c:layout>
            <c:manualLayout>
              <c:x val="2.6104858679297557E-2"/>
              <c:y val="-2.58219501346290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dLbl>
          <c:idx val="0"/>
          <c:layout>
            <c:manualLayout>
              <c:x val="2.0499781277340333E-2"/>
              <c:y val="-1.86107465733449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a:sp3d/>
        </c:spPr>
        <c:dLbl>
          <c:idx val="0"/>
          <c:layout>
            <c:manualLayout>
              <c:x val="-3.4101049868766428E-2"/>
              <c:y val="-4.044473607465733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dLbl>
          <c:idx val="0"/>
          <c:layout>
            <c:manualLayout>
              <c:x val="1.6375765529308836E-3"/>
              <c:y val="1.23377806940799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a:sp3d/>
        </c:spPr>
        <c:dLbl>
          <c:idx val="0"/>
          <c:layout>
            <c:manualLayout>
              <c:x val="8.2268810148731414E-2"/>
              <c:y val="-2.8153251676873723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a:sp3d/>
        </c:spPr>
        <c:dLbl>
          <c:idx val="0"/>
          <c:layout>
            <c:manualLayout>
              <c:x val="2.6104858679297557E-2"/>
              <c:y val="-2.58219501346290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a:sp3d/>
        </c:spPr>
        <c:dLbl>
          <c:idx val="0"/>
          <c:layout>
            <c:manualLayout>
              <c:x val="2.0499781277340333E-2"/>
              <c:y val="-1.86107465733449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dLbl>
          <c:idx val="0"/>
          <c:layout>
            <c:manualLayout>
              <c:x val="-3.4101049868766428E-2"/>
              <c:y val="-4.044473607465733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a:sp3d/>
        </c:spPr>
        <c:dLbl>
          <c:idx val="0"/>
          <c:layout>
            <c:manualLayout>
              <c:x val="1.6375765529308836E-3"/>
              <c:y val="1.23377806940799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a:sp3d/>
        </c:spPr>
        <c:dLbl>
          <c:idx val="0"/>
          <c:layout>
            <c:manualLayout>
              <c:x val="8.2268810148731414E-2"/>
              <c:y val="-2.8153251676873723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a:sp3d/>
        </c:spPr>
        <c:dLbl>
          <c:idx val="0"/>
          <c:layout>
            <c:manualLayout>
              <c:x val="2.6104858679297557E-2"/>
              <c:y val="-2.58219501346290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a:sp3d/>
        </c:spPr>
        <c:dLbl>
          <c:idx val="0"/>
          <c:layout>
            <c:manualLayout>
              <c:x val="2.0499781277340333E-2"/>
              <c:y val="-1.86107465733449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a:sp3d/>
        </c:spPr>
        <c:dLbl>
          <c:idx val="0"/>
          <c:layout>
            <c:manualLayout>
              <c:x val="-3.4101049868766428E-2"/>
              <c:y val="-4.044473607465733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a:sp3d/>
        </c:spPr>
        <c:dLbl>
          <c:idx val="0"/>
          <c:layout>
            <c:manualLayout>
              <c:x val="1.6375765529308836E-3"/>
              <c:y val="1.23377806940799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a:sp3d/>
        </c:spPr>
        <c:dLbl>
          <c:idx val="0"/>
          <c:layout>
            <c:manualLayout>
              <c:x val="8.2268810148731414E-2"/>
              <c:y val="-2.8153251676873723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974293059125965E-2"/>
          <c:y val="0.23180063358833056"/>
          <c:w val="0.7663094009135748"/>
          <c:h val="0.68626749922753838"/>
        </c:manualLayout>
      </c:layout>
      <c:pie3DChart>
        <c:varyColors val="1"/>
        <c:ser>
          <c:idx val="0"/>
          <c:order val="0"/>
          <c:tx>
            <c:strRef>
              <c:f>'Pivot Table'!$B$56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938-47CF-A565-573451E2228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938-47CF-A565-573451E2228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938-47CF-A565-573451E2228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938-47CF-A565-573451E2228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F938-47CF-A565-573451E2228C}"/>
              </c:ext>
            </c:extLst>
          </c:dPt>
          <c:dLbls>
            <c:dLbl>
              <c:idx val="0"/>
              <c:layout>
                <c:manualLayout>
                  <c:x val="2.6104858679297557E-2"/>
                  <c:y val="-2.582195013462903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938-47CF-A565-573451E2228C}"/>
                </c:ext>
              </c:extLst>
            </c:dLbl>
            <c:dLbl>
              <c:idx val="1"/>
              <c:layout>
                <c:manualLayout>
                  <c:x val="2.0499781277340333E-2"/>
                  <c:y val="-1.8610746573344997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38-47CF-A565-573451E2228C}"/>
                </c:ext>
              </c:extLst>
            </c:dLbl>
            <c:dLbl>
              <c:idx val="2"/>
              <c:layout>
                <c:manualLayout>
                  <c:x val="-3.4101049868766428E-2"/>
                  <c:y val="-4.044473607465733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938-47CF-A565-573451E2228C}"/>
                </c:ext>
              </c:extLst>
            </c:dLbl>
            <c:dLbl>
              <c:idx val="3"/>
              <c:layout>
                <c:manualLayout>
                  <c:x val="1.6375765529308836E-3"/>
                  <c:y val="1.2337780694079906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938-47CF-A565-573451E2228C}"/>
                </c:ext>
              </c:extLst>
            </c:dLbl>
            <c:dLbl>
              <c:idx val="4"/>
              <c:layout>
                <c:manualLayout>
                  <c:x val="8.2268810148731414E-2"/>
                  <c:y val="-2.8153251676873723E-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938-47CF-A565-573451E2228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Table'!$A$57:$A$62</c:f>
              <c:strCache>
                <c:ptCount val="5"/>
                <c:pt idx="0">
                  <c:v>Electronics</c:v>
                </c:pt>
                <c:pt idx="1">
                  <c:v>Fashion</c:v>
                </c:pt>
                <c:pt idx="2">
                  <c:v>Furniture</c:v>
                </c:pt>
                <c:pt idx="3">
                  <c:v>Home Appliances</c:v>
                </c:pt>
                <c:pt idx="4">
                  <c:v>Sports &amp; Fitness</c:v>
                </c:pt>
              </c:strCache>
            </c:strRef>
          </c:cat>
          <c:val>
            <c:numRef>
              <c:f>'Pivot Table'!$B$57:$B$62</c:f>
              <c:numCache>
                <c:formatCode>"₹"\ #,##0.00</c:formatCode>
                <c:ptCount val="5"/>
                <c:pt idx="0">
                  <c:v>68590886.620000109</c:v>
                </c:pt>
                <c:pt idx="1">
                  <c:v>8997430.6699999943</c:v>
                </c:pt>
                <c:pt idx="2">
                  <c:v>65643297.560000107</c:v>
                </c:pt>
                <c:pt idx="3">
                  <c:v>42429334.550000072</c:v>
                </c:pt>
                <c:pt idx="4">
                  <c:v>4459718.1499999939</c:v>
                </c:pt>
              </c:numCache>
            </c:numRef>
          </c:val>
          <c:extLst>
            <c:ext xmlns:c16="http://schemas.microsoft.com/office/drawing/2014/chart" uri="{C3380CC4-5D6E-409C-BE32-E72D297353CC}">
              <c16:uniqueId val="{0000000A-F938-47CF-A565-573451E2228C}"/>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220077728073194"/>
          <c:y val="0.43499234329214664"/>
          <c:w val="0.16582161892340144"/>
          <c:h val="0.38424676810503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emf"/><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396240</xdr:colOff>
      <xdr:row>1</xdr:row>
      <xdr:rowOff>83820</xdr:rowOff>
    </xdr:from>
    <xdr:to>
      <xdr:col>15</xdr:col>
      <xdr:colOff>15240</xdr:colOff>
      <xdr:row>17</xdr:row>
      <xdr:rowOff>34290</xdr:rowOff>
    </xdr:to>
    <xdr:graphicFrame macro="">
      <xdr:nvGraphicFramePr>
        <xdr:cNvPr id="2" name="Chart 1">
          <a:extLst>
            <a:ext uri="{FF2B5EF4-FFF2-40B4-BE49-F238E27FC236}">
              <a16:creationId xmlns:a16="http://schemas.microsoft.com/office/drawing/2014/main" id="{024194E3-937A-22ED-3D5C-65332BF99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220980</xdr:colOff>
      <xdr:row>18</xdr:row>
      <xdr:rowOff>121920</xdr:rowOff>
    </xdr:from>
    <xdr:to>
      <xdr:col>15</xdr:col>
      <xdr:colOff>30480</xdr:colOff>
      <xdr:row>34</xdr:row>
      <xdr:rowOff>83820</xdr:rowOff>
    </xdr:to>
    <xdr:graphicFrame macro="">
      <xdr:nvGraphicFramePr>
        <xdr:cNvPr id="3" name="Chart 2">
          <a:extLst>
            <a:ext uri="{FF2B5EF4-FFF2-40B4-BE49-F238E27FC236}">
              <a16:creationId xmlns:a16="http://schemas.microsoft.com/office/drawing/2014/main" id="{33246F7F-9E24-D86A-ED97-7F9217F63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281940</xdr:colOff>
      <xdr:row>35</xdr:row>
      <xdr:rowOff>83820</xdr:rowOff>
    </xdr:from>
    <xdr:to>
      <xdr:col>14</xdr:col>
      <xdr:colOff>579120</xdr:colOff>
      <xdr:row>50</xdr:row>
      <xdr:rowOff>83820</xdr:rowOff>
    </xdr:to>
    <xdr:graphicFrame macro="">
      <xdr:nvGraphicFramePr>
        <xdr:cNvPr id="5" name="Chart 4">
          <a:extLst>
            <a:ext uri="{FF2B5EF4-FFF2-40B4-BE49-F238E27FC236}">
              <a16:creationId xmlns:a16="http://schemas.microsoft.com/office/drawing/2014/main" id="{BF8E32CF-9AD8-6B7C-35C0-94D0C809D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853440</xdr:colOff>
      <xdr:row>51</xdr:row>
      <xdr:rowOff>106680</xdr:rowOff>
    </xdr:from>
    <xdr:to>
      <xdr:col>12</xdr:col>
      <xdr:colOff>22860</xdr:colOff>
      <xdr:row>69</xdr:row>
      <xdr:rowOff>83820</xdr:rowOff>
    </xdr:to>
    <xdr:graphicFrame macro="">
      <xdr:nvGraphicFramePr>
        <xdr:cNvPr id="9" name="Chart 8">
          <a:extLst>
            <a:ext uri="{FF2B5EF4-FFF2-40B4-BE49-F238E27FC236}">
              <a16:creationId xmlns:a16="http://schemas.microsoft.com/office/drawing/2014/main" id="{BF3FA39A-DC30-5869-578D-5E5C24E4C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510540</xdr:colOff>
      <xdr:row>10</xdr:row>
      <xdr:rowOff>22860</xdr:rowOff>
    </xdr:from>
    <xdr:to>
      <xdr:col>14</xdr:col>
      <xdr:colOff>472440</xdr:colOff>
      <xdr:row>29</xdr:row>
      <xdr:rowOff>64770</xdr:rowOff>
    </xdr:to>
    <xdr:graphicFrame macro="">
      <xdr:nvGraphicFramePr>
        <xdr:cNvPr id="3" name="Chart 2">
          <a:extLst>
            <a:ext uri="{FF2B5EF4-FFF2-40B4-BE49-F238E27FC236}">
              <a16:creationId xmlns:a16="http://schemas.microsoft.com/office/drawing/2014/main" id="{F08CA630-C18C-4DBB-860A-E17254AAF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396240</xdr:colOff>
      <xdr:row>30</xdr:row>
      <xdr:rowOff>106680</xdr:rowOff>
    </xdr:from>
    <xdr:to>
      <xdr:col>11</xdr:col>
      <xdr:colOff>198120</xdr:colOff>
      <xdr:row>48</xdr:row>
      <xdr:rowOff>60960</xdr:rowOff>
    </xdr:to>
    <xdr:graphicFrame macro="">
      <xdr:nvGraphicFramePr>
        <xdr:cNvPr id="4" name="Chart 3">
          <a:extLst>
            <a:ext uri="{FF2B5EF4-FFF2-40B4-BE49-F238E27FC236}">
              <a16:creationId xmlns:a16="http://schemas.microsoft.com/office/drawing/2014/main" id="{EF67E803-C900-4086-9040-2BA76DC5A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426720</xdr:colOff>
      <xdr:row>30</xdr:row>
      <xdr:rowOff>129540</xdr:rowOff>
    </xdr:from>
    <xdr:to>
      <xdr:col>22</xdr:col>
      <xdr:colOff>236220</xdr:colOff>
      <xdr:row>48</xdr:row>
      <xdr:rowOff>60960</xdr:rowOff>
    </xdr:to>
    <xdr:graphicFrame macro="">
      <xdr:nvGraphicFramePr>
        <xdr:cNvPr id="5" name="Chart 4">
          <a:extLst>
            <a:ext uri="{FF2B5EF4-FFF2-40B4-BE49-F238E27FC236}">
              <a16:creationId xmlns:a16="http://schemas.microsoft.com/office/drawing/2014/main" id="{32557A48-A015-48E6-BF3B-3F9DEC2E2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373380</xdr:colOff>
      <xdr:row>10</xdr:row>
      <xdr:rowOff>0</xdr:rowOff>
    </xdr:from>
    <xdr:to>
      <xdr:col>3</xdr:col>
      <xdr:colOff>373380</xdr:colOff>
      <xdr:row>15</xdr:row>
      <xdr:rowOff>15240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CD8B26B9-A0CC-4335-81D2-8250E65451D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73380" y="1828800"/>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373380</xdr:colOff>
      <xdr:row>16</xdr:row>
      <xdr:rowOff>7620</xdr:rowOff>
    </xdr:from>
    <xdr:to>
      <xdr:col>3</xdr:col>
      <xdr:colOff>373380</xdr:colOff>
      <xdr:row>22</xdr:row>
      <xdr:rowOff>129540</xdr:rowOff>
    </xdr:to>
    <mc:AlternateContent xmlns:mc="http://schemas.openxmlformats.org/markup-compatibility/2006" xmlns:a14="http://schemas.microsoft.com/office/drawing/2010/main">
      <mc:Choice Requires="a14">
        <xdr:graphicFrame macro="">
          <xdr:nvGraphicFramePr>
            <xdr:cNvPr id="7" name="Customer Segment">
              <a:extLst>
                <a:ext uri="{FF2B5EF4-FFF2-40B4-BE49-F238E27FC236}">
                  <a16:creationId xmlns:a16="http://schemas.microsoft.com/office/drawing/2014/main" id="{F91E4131-101B-4159-AC4A-2FE86645CE14}"/>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373380" y="2933700"/>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388620</xdr:colOff>
      <xdr:row>23</xdr:row>
      <xdr:rowOff>137160</xdr:rowOff>
    </xdr:from>
    <xdr:to>
      <xdr:col>3</xdr:col>
      <xdr:colOff>388620</xdr:colOff>
      <xdr:row>29</xdr:row>
      <xdr:rowOff>38100</xdr:rowOff>
    </xdr:to>
    <mc:AlternateContent xmlns:mc="http://schemas.openxmlformats.org/markup-compatibility/2006" xmlns:a14="http://schemas.microsoft.com/office/drawing/2010/main">
      <mc:Choice Requires="a14">
        <xdr:graphicFrame macro="">
          <xdr:nvGraphicFramePr>
            <xdr:cNvPr id="8" name="Channel">
              <a:extLst>
                <a:ext uri="{FF2B5EF4-FFF2-40B4-BE49-F238E27FC236}">
                  <a16:creationId xmlns:a16="http://schemas.microsoft.com/office/drawing/2014/main" id="{4CAD1292-6210-4010-821A-C2C2498E5D57}"/>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88620" y="4343400"/>
              <a:ext cx="182880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50</xdr:row>
      <xdr:rowOff>144780</xdr:rowOff>
    </xdr:from>
    <xdr:to>
      <xdr:col>17</xdr:col>
      <xdr:colOff>198120</xdr:colOff>
      <xdr:row>67</xdr:row>
      <xdr:rowOff>152400</xdr:rowOff>
    </xdr:to>
    <xdr:graphicFrame macro="">
      <xdr:nvGraphicFramePr>
        <xdr:cNvPr id="9" name="Chart 8">
          <a:extLst>
            <a:ext uri="{FF2B5EF4-FFF2-40B4-BE49-F238E27FC236}">
              <a16:creationId xmlns:a16="http://schemas.microsoft.com/office/drawing/2014/main" id="{89045A15-B4B2-4092-BC56-913A0957C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556260</xdr:colOff>
      <xdr:row>10</xdr:row>
      <xdr:rowOff>38100</xdr:rowOff>
    </xdr:from>
    <xdr:to>
      <xdr:col>22</xdr:col>
      <xdr:colOff>373380</xdr:colOff>
      <xdr:row>29</xdr:row>
      <xdr:rowOff>60960</xdr:rowOff>
    </xdr:to>
    <xdr:graphicFrame macro="">
      <xdr:nvGraphicFramePr>
        <xdr:cNvPr id="10" name="Chart 9">
          <a:extLst>
            <a:ext uri="{FF2B5EF4-FFF2-40B4-BE49-F238E27FC236}">
              <a16:creationId xmlns:a16="http://schemas.microsoft.com/office/drawing/2014/main" id="{BFA3A33F-FBAB-48C7-A4FF-E802F8B1E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320040</xdr:colOff>
      <xdr:row>3</xdr:row>
      <xdr:rowOff>137160</xdr:rowOff>
    </xdr:from>
    <xdr:to>
      <xdr:col>12</xdr:col>
      <xdr:colOff>182880</xdr:colOff>
      <xdr:row>7</xdr:row>
      <xdr:rowOff>129540</xdr:rowOff>
    </xdr:to>
    <xdr:sp macro="" textlink="">
      <xdr:nvSpPr>
        <xdr:cNvPr id="11" name="Rectangle: Rounded Corners 10">
          <a:extLst>
            <a:ext uri="{FF2B5EF4-FFF2-40B4-BE49-F238E27FC236}">
              <a16:creationId xmlns:a16="http://schemas.microsoft.com/office/drawing/2014/main" id="{B2378492-62CE-220C-071F-7EFF760662D8}"/>
            </a:ext>
          </a:extLst>
        </xdr:cNvPr>
        <xdr:cNvSpPr/>
      </xdr:nvSpPr>
      <xdr:spPr>
        <a:xfrm>
          <a:off x="5387340" y="685800"/>
          <a:ext cx="2301240" cy="72390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a:solidFill>
                <a:schemeClr val="lt1"/>
              </a:solidFill>
              <a:effectLst/>
              <a:latin typeface="+mn-lt"/>
              <a:ea typeface="+mn-ea"/>
              <a:cs typeface="+mn-cs"/>
            </a:rPr>
            <a:t>Total Sales Amount                          ₹ 55,59,20,527.55</a:t>
          </a:r>
          <a:r>
            <a:rPr lang="en-IN" sz="1400">
              <a:effectLst/>
            </a:rPr>
            <a:t> </a:t>
          </a:r>
          <a:endParaRPr lang="en-IN" sz="1400"/>
        </a:p>
      </xdr:txBody>
    </xdr:sp>
    <xdr:clientData/>
  </xdr:twoCellAnchor>
  <xdr:twoCellAnchor editAs="oneCell">
    <xdr:from>
      <xdr:col>16</xdr:col>
      <xdr:colOff>0</xdr:colOff>
      <xdr:row>12</xdr:row>
      <xdr:rowOff>0</xdr:rowOff>
    </xdr:from>
    <xdr:to>
      <xdr:col>17</xdr:col>
      <xdr:colOff>510540</xdr:colOff>
      <xdr:row>13</xdr:row>
      <xdr:rowOff>7620</xdr:rowOff>
    </xdr:to>
    <xdr:pic>
      <xdr:nvPicPr>
        <xdr:cNvPr id="12" name="Picture 11">
          <a:extLst>
            <a:ext uri="{FF2B5EF4-FFF2-40B4-BE49-F238E27FC236}">
              <a16:creationId xmlns:a16="http://schemas.microsoft.com/office/drawing/2014/main" id="{E53EB18F-07F3-CEDE-0F81-5D4954A9589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44100" y="2194560"/>
          <a:ext cx="112014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403860</xdr:colOff>
      <xdr:row>3</xdr:row>
      <xdr:rowOff>142113</xdr:rowOff>
    </xdr:from>
    <xdr:to>
      <xdr:col>16</xdr:col>
      <xdr:colOff>15240</xdr:colOff>
      <xdr:row>7</xdr:row>
      <xdr:rowOff>139827</xdr:rowOff>
    </xdr:to>
    <xdr:sp macro="" textlink="">
      <xdr:nvSpPr>
        <xdr:cNvPr id="13" name="Rectangle: Rounded Corners 12">
          <a:extLst>
            <a:ext uri="{FF2B5EF4-FFF2-40B4-BE49-F238E27FC236}">
              <a16:creationId xmlns:a16="http://schemas.microsoft.com/office/drawing/2014/main" id="{2233697A-563D-8428-75BD-F634305FA562}"/>
            </a:ext>
          </a:extLst>
        </xdr:cNvPr>
        <xdr:cNvSpPr/>
      </xdr:nvSpPr>
      <xdr:spPr>
        <a:xfrm>
          <a:off x="7909560" y="690753"/>
          <a:ext cx="2049780" cy="7292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lt1"/>
              </a:solidFill>
              <a:effectLst/>
              <a:latin typeface="+mn-lt"/>
              <a:ea typeface="+mn-ea"/>
              <a:cs typeface="+mn-cs"/>
            </a:rPr>
            <a:t>Profit/Loss     ₹ 19,01,20,667.55</a:t>
          </a:r>
          <a:r>
            <a:rPr lang="en-IN" sz="1400">
              <a:effectLst/>
            </a:rPr>
            <a:t> </a:t>
          </a:r>
          <a:endParaRPr lang="en-IN" sz="1400"/>
        </a:p>
      </xdr:txBody>
    </xdr:sp>
    <xdr:clientData/>
  </xdr:twoCellAnchor>
  <xdr:twoCellAnchor>
    <xdr:from>
      <xdr:col>4</xdr:col>
      <xdr:colOff>594360</xdr:colOff>
      <xdr:row>3</xdr:row>
      <xdr:rowOff>129540</xdr:rowOff>
    </xdr:from>
    <xdr:to>
      <xdr:col>8</xdr:col>
      <xdr:colOff>99060</xdr:colOff>
      <xdr:row>7</xdr:row>
      <xdr:rowOff>144780</xdr:rowOff>
    </xdr:to>
    <xdr:sp macro="" textlink="">
      <xdr:nvSpPr>
        <xdr:cNvPr id="14" name="Rectangle: Rounded Corners 13">
          <a:extLst>
            <a:ext uri="{FF2B5EF4-FFF2-40B4-BE49-F238E27FC236}">
              <a16:creationId xmlns:a16="http://schemas.microsoft.com/office/drawing/2014/main" id="{A9378B13-ED73-AD1B-9194-EB98E8CD1A6E}"/>
            </a:ext>
          </a:extLst>
        </xdr:cNvPr>
        <xdr:cNvSpPr/>
      </xdr:nvSpPr>
      <xdr:spPr>
        <a:xfrm>
          <a:off x="3032760" y="678180"/>
          <a:ext cx="213360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 Orders</a:t>
          </a:r>
          <a:r>
            <a:rPr lang="en-IN" sz="1400" baseline="0"/>
            <a:t>                         1500</a:t>
          </a:r>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Singh" refreshedDate="46301.593854861108" createdVersion="8" refreshedVersion="8" minRefreshableVersion="3" recordCount="1500" xr:uid="{B82339CC-F3D9-456D-8969-DA6E47257BD5}">
  <cacheSource type="worksheet">
    <worksheetSource name="Table1_1"/>
  </cacheSource>
  <cacheFields count="24">
    <cacheField name="Order ID" numFmtId="0">
      <sharedItems/>
    </cacheField>
    <cacheField name="Order Date" numFmtId="167">
      <sharedItems containsSemiMixedTypes="0" containsNonDate="0" containsDate="1" containsString="0" minDate="2024-01-01T00:00:00" maxDate="2026-01-01T00:00:00" count="631">
        <d v="2024-01-01T00:00:00"/>
        <d v="2024-01-02T00:00:00"/>
        <d v="2024-01-03T00:00:00"/>
        <d v="2024-01-04T00:00:00"/>
        <d v="2024-01-06T00:00:00"/>
        <d v="2024-01-07T00:00:00"/>
        <d v="2024-01-11T00:00:00"/>
        <d v="2024-01-12T00:00:00"/>
        <d v="2024-01-13T00:00:00"/>
        <d v="2024-01-15T00:00:00"/>
        <d v="2024-01-16T00:00:00"/>
        <d v="2024-01-17T00:00:00"/>
        <d v="2024-01-19T00:00:00"/>
        <d v="2024-01-21T00:00:00"/>
        <d v="2024-01-22T00:00:00"/>
        <d v="2024-01-23T00:00:00"/>
        <d v="2024-01-24T00:00:00"/>
        <d v="2024-01-25T00:00:00"/>
        <d v="2024-01-26T00:00:00"/>
        <d v="2024-01-27T00:00:00"/>
        <d v="2024-01-29T00:00:00"/>
        <d v="2024-01-31T00:00:00"/>
        <d v="2024-02-02T00:00:00"/>
        <d v="2024-02-04T00:00:00"/>
        <d v="2024-02-05T00:00:00"/>
        <d v="2024-02-06T00:00:00"/>
        <d v="2024-02-07T00:00:00"/>
        <d v="2024-02-08T00:00:00"/>
        <d v="2024-02-10T00:00:00"/>
        <d v="2024-02-12T00:00:00"/>
        <d v="2024-02-13T00:00:00"/>
        <d v="2024-02-14T00:00:00"/>
        <d v="2024-02-15T00:00:00"/>
        <d v="2024-02-16T00:00:00"/>
        <d v="2024-02-17T00:00:00"/>
        <d v="2024-02-18T00:00:00"/>
        <d v="2024-02-19T00:00:00"/>
        <d v="2024-02-20T00:00:00"/>
        <d v="2024-02-21T00:00:00"/>
        <d v="2024-02-24T00:00:00"/>
        <d v="2024-02-26T00:00:00"/>
        <d v="2024-02-28T00:00:00"/>
        <d v="2024-03-01T00:00:00"/>
        <d v="2024-03-02T00:00:00"/>
        <d v="2024-03-04T00:00:00"/>
        <d v="2024-03-05T00:00:00"/>
        <d v="2024-03-06T00:00:00"/>
        <d v="2024-03-07T00:00:00"/>
        <d v="2024-03-08T00:00:00"/>
        <d v="2024-03-09T00:00:00"/>
        <d v="2024-03-10T00:00:00"/>
        <d v="2024-03-11T00:00:00"/>
        <d v="2024-03-12T00:00:00"/>
        <d v="2024-03-14T00:00:00"/>
        <d v="2024-03-15T00:00:00"/>
        <d v="2024-03-16T00:00:00"/>
        <d v="2024-03-17T00:00:00"/>
        <d v="2024-03-18T00:00:00"/>
        <d v="2024-03-19T00:00:00"/>
        <d v="2024-03-21T00:00:00"/>
        <d v="2024-03-22T00:00:00"/>
        <d v="2024-03-23T00:00:00"/>
        <d v="2024-03-24T00:00:00"/>
        <d v="2024-03-25T00:00:00"/>
        <d v="2024-03-26T00:00:00"/>
        <d v="2024-03-28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7T00:00:00"/>
        <d v="2024-04-28T00:00:00"/>
        <d v="2024-04-29T00:00:00"/>
        <d v="2024-04-30T00:00:00"/>
        <d v="2024-05-01T00:00:00"/>
        <d v="2024-05-03T00:00:00"/>
        <d v="2024-05-04T00:00:00"/>
        <d v="2024-05-05T00:00:00"/>
        <d v="2024-05-07T00:00:00"/>
        <d v="2024-05-08T00:00:00"/>
        <d v="2024-05-09T00:00:00"/>
        <d v="2024-05-10T00:00:00"/>
        <d v="2024-05-11T00:00:00"/>
        <d v="2024-05-12T00:00:00"/>
        <d v="2024-05-13T00:00:00"/>
        <d v="2024-05-14T00:00:00"/>
        <d v="2024-05-15T00:00:00"/>
        <d v="2024-05-17T00:00:00"/>
        <d v="2024-05-18T00:00:00"/>
        <d v="2024-05-19T00:00:00"/>
        <d v="2024-05-20T00:00:00"/>
        <d v="2024-05-21T00:00:00"/>
        <d v="2024-05-22T00:00:00"/>
        <d v="2024-05-24T00:00:00"/>
        <d v="2024-05-25T00:00:00"/>
        <d v="2024-05-26T00:00:00"/>
        <d v="2024-05-27T00:00:00"/>
        <d v="2024-05-28T00:00:00"/>
        <d v="2024-05-29T00:00:00"/>
        <d v="2024-05-31T00:00:00"/>
        <d v="2024-06-02T00:00:00"/>
        <d v="2024-06-03T00:00:00"/>
        <d v="2024-06-04T00:00:00"/>
        <d v="2024-06-05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2T00:00:00"/>
        <d v="2024-08-04T00:00:00"/>
        <d v="2024-08-05T00:00:00"/>
        <d v="2024-08-07T00:00:00"/>
        <d v="2024-08-08T00:00:00"/>
        <d v="2024-08-09T00:00:00"/>
        <d v="2024-08-10T00:00:00"/>
        <d v="2024-08-12T00:00:00"/>
        <d v="2024-08-13T00:00:00"/>
        <d v="2024-08-14T00:00:00"/>
        <d v="2024-08-15T00:00:00"/>
        <d v="2024-08-16T00:00:00"/>
        <d v="2024-08-17T00:00:00"/>
        <d v="2024-08-18T00:00:00"/>
        <d v="2024-08-19T00:00:00"/>
        <d v="2024-08-20T00:00:00"/>
        <d v="2024-08-21T00:00:00"/>
        <d v="2024-08-22T00:00:00"/>
        <d v="2024-08-23T00:00:00"/>
        <d v="2024-08-24T00:00:00"/>
        <d v="2024-08-26T00:00:00"/>
        <d v="2024-08-27T00:00:00"/>
        <d v="2024-08-28T00:00:00"/>
        <d v="2024-08-29T00:00:00"/>
        <d v="2024-08-30T00:00:00"/>
        <d v="2024-08-31T00:00:00"/>
        <d v="2024-09-01T00:00:00"/>
        <d v="2024-09-02T00:00:00"/>
        <d v="2024-09-04T00:00:00"/>
        <d v="2024-09-05T00:00:00"/>
        <d v="2024-09-06T00:00:00"/>
        <d v="2024-09-07T00:00:00"/>
        <d v="2024-09-08T00:00:00"/>
        <d v="2024-09-09T00:00:00"/>
        <d v="2024-09-11T00:00:00"/>
        <d v="2024-09-12T00:00:00"/>
        <d v="2024-09-14T00:00:00"/>
        <d v="2024-09-15T00:00:00"/>
        <d v="2024-09-16T00:00:00"/>
        <d v="2024-09-17T00:00:00"/>
        <d v="2024-09-18T00:00:00"/>
        <d v="2024-09-19T00:00:00"/>
        <d v="2024-09-20T00:00:00"/>
        <d v="2024-09-21T00:00:00"/>
        <d v="2024-09-23T00:00:00"/>
        <d v="2024-09-24T00:00:00"/>
        <d v="2024-09-25T00:00:00"/>
        <d v="2024-09-26T00:00:00"/>
        <d v="2024-09-27T00:00:00"/>
        <d v="2024-09-28T00:00:00"/>
        <d v="2024-09-29T00:00:00"/>
        <d v="2024-09-30T00:00:00"/>
        <d v="2024-10-01T00:00:00"/>
        <d v="2024-10-02T00:00:00"/>
        <d v="2024-10-03T00:00:00"/>
        <d v="2024-10-04T00:00:00"/>
        <d v="2024-10-06T00:00:00"/>
        <d v="2024-10-08T00:00:00"/>
        <d v="2024-10-09T00:00:00"/>
        <d v="2024-10-10T00:00:00"/>
        <d v="2024-10-11T00:00:00"/>
        <d v="2024-10-12T00:00:00"/>
        <d v="2024-10-13T00:00:00"/>
        <d v="2024-10-16T00:00:00"/>
        <d v="2024-10-17T00:00:00"/>
        <d v="2024-10-18T00:00:00"/>
        <d v="2024-10-19T00:00:00"/>
        <d v="2024-10-20T00:00:00"/>
        <d v="2024-10-21T00:00:00"/>
        <d v="2024-10-22T00:00:00"/>
        <d v="2024-10-23T00:00:00"/>
        <d v="2024-10-25T00:00:00"/>
        <d v="2024-10-26T00:00:00"/>
        <d v="2024-10-28T00:00:00"/>
        <d v="2024-10-29T00:00:00"/>
        <d v="2024-10-30T00:00:00"/>
        <d v="2024-10-31T00:00:00"/>
        <d v="2024-11-01T00:00:00"/>
        <d v="2024-11-03T00:00:00"/>
        <d v="2024-11-04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6T00:00:00"/>
        <d v="2024-12-17T00:00:00"/>
        <d v="2024-12-18T00:00:00"/>
        <d v="2024-12-19T00:00:00"/>
        <d v="2024-12-20T00:00:00"/>
        <d v="2024-12-21T00:00:00"/>
        <d v="2024-12-22T00:00:00"/>
        <d v="2024-12-23T00:00:00"/>
        <d v="2024-12-24T00:00:00"/>
        <d v="2024-12-25T00:00:00"/>
        <d v="2024-12-26T00:00:00"/>
        <d v="2024-12-28T00:00:00"/>
        <d v="2024-12-29T00:00:00"/>
        <d v="2024-12-30T00:00:00"/>
        <d v="2025-01-01T00:00:00"/>
        <d v="2025-01-04T00:00:00"/>
        <d v="2025-01-05T00:00:00"/>
        <d v="2025-01-06T00:00:00"/>
        <d v="2025-01-08T00:00:00"/>
        <d v="2025-01-09T00:00:00"/>
        <d v="2025-01-10T00:00:00"/>
        <d v="2025-01-12T00:00:00"/>
        <d v="2025-01-13T00:00:00"/>
        <d v="2025-01-14T00:00:00"/>
        <d v="2025-01-15T00:00:00"/>
        <d v="2025-01-16T00:00:00"/>
        <d v="2025-01-17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8T00:00:00"/>
        <d v="2025-02-20T00:00:00"/>
        <d v="2025-02-21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0T00:00:00"/>
        <d v="2025-04-11T00:00:00"/>
        <d v="2025-04-12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4T00:00:00"/>
        <d v="2025-05-05T00:00:00"/>
        <d v="2025-05-06T00:00:00"/>
        <d v="2025-05-07T00:00:00"/>
        <d v="2025-05-08T00:00:00"/>
        <d v="2025-05-09T00:00:00"/>
        <d v="2025-05-10T00:00:00"/>
        <d v="2025-05-14T00:00:00"/>
        <d v="2025-05-15T00:00:00"/>
        <d v="2025-05-16T00:00:00"/>
        <d v="2025-05-20T00:00:00"/>
        <d v="2025-05-21T00:00:00"/>
        <d v="2025-05-22T00:00:00"/>
        <d v="2025-05-23T00:00:00"/>
        <d v="2025-05-24T00:00:00"/>
        <d v="2025-05-25T00:00:00"/>
        <d v="2025-05-26T00:00:00"/>
        <d v="2025-05-27T00:00:00"/>
        <d v="2025-05-29T00:00:00"/>
        <d v="2025-05-30T00:00:00"/>
        <d v="2025-05-31T00:00:00"/>
        <d v="2025-06-02T00:00:00"/>
        <d v="2025-06-04T00:00:00"/>
        <d v="2025-06-05T00:00:00"/>
        <d v="2025-06-06T00:00:00"/>
        <d v="2025-06-08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3T00:00:00"/>
        <d v="2025-07-24T00:00:00"/>
        <d v="2025-07-26T00:00:00"/>
        <d v="2025-07-27T00:00:00"/>
        <d v="2025-07-29T00:00:00"/>
        <d v="2025-07-30T00:00:00"/>
        <d v="2025-07-31T00:00:00"/>
        <d v="2025-08-01T00:00:00"/>
        <d v="2025-08-02T00:00:00"/>
        <d v="2025-08-03T00:00:00"/>
        <d v="2025-08-04T00:00:00"/>
        <d v="2025-08-05T00:00:00"/>
        <d v="2025-08-06T00:00:00"/>
        <d v="2025-08-07T00:00:00"/>
        <d v="2025-08-09T00:00:00"/>
        <d v="2025-08-10T00:00:00"/>
        <d v="2025-08-12T00:00:00"/>
        <d v="2025-08-13T00:00:00"/>
        <d v="2025-08-14T00:00:00"/>
        <d v="2025-08-15T00:00:00"/>
        <d v="2025-08-16T00:00:00"/>
        <d v="2025-08-17T00:00:00"/>
        <d v="2025-08-18T00:00:00"/>
        <d v="2025-08-19T00:00:00"/>
        <d v="2025-08-20T00:00:00"/>
        <d v="2025-08-22T00:00:00"/>
        <d v="2025-08-23T00:00:00"/>
        <d v="2025-08-24T00:00:00"/>
        <d v="2025-08-25T00:00:00"/>
        <d v="2025-08-26T00:00:00"/>
        <d v="2025-08-27T00:00:00"/>
        <d v="2025-08-28T00:00:00"/>
        <d v="2025-08-29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9T00:00:00"/>
        <d v="2025-09-30T00:00:00"/>
        <d v="2025-10-01T00:00:00"/>
        <d v="2025-10-02T00:00:00"/>
        <d v="2025-10-03T00:00:00"/>
        <d v="2025-10-04T00:00:00"/>
        <d v="2025-10-05T00:00:00"/>
        <d v="2025-10-06T00:00:00"/>
        <d v="2025-10-07T00:00:00"/>
        <d v="2025-10-08T00:00:00"/>
        <d v="2025-10-11T00:00:00"/>
        <d v="2025-10-13T00:00:00"/>
        <d v="2025-10-14T00:00:00"/>
        <d v="2025-10-15T00:00:00"/>
        <d v="2025-10-16T00:00:00"/>
        <d v="2025-10-17T00:00:00"/>
        <d v="2025-10-18T00:00:00"/>
        <d v="2025-10-19T00:00:00"/>
        <d v="2025-10-20T00:00:00"/>
        <d v="2025-10-22T00:00:00"/>
        <d v="2025-10-23T00:00:00"/>
        <d v="2025-10-24T00:00:00"/>
        <d v="2025-10-25T00:00:00"/>
        <d v="2025-10-27T00:00:00"/>
        <d v="2025-10-28T00:00:00"/>
        <d v="2025-10-29T00:00:00"/>
        <d v="2025-10-30T00:00:00"/>
        <d v="2025-10-3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4T00:00:00"/>
        <d v="2025-12-15T00:00:00"/>
        <d v="2025-12-16T00:00:00"/>
        <d v="2025-12-17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23"/>
    </cacheField>
    <cacheField name="year" numFmtId="0">
      <sharedItems containsSemiMixedTypes="0" containsString="0" containsNumber="1" containsInteger="1" minValue="2024" maxValue="2025" count="2">
        <n v="2024"/>
        <n v="2025"/>
      </sharedItems>
    </cacheField>
    <cacheField name="Month" numFmtId="0">
      <sharedItems/>
    </cacheField>
    <cacheField name="Region" numFmtId="0">
      <sharedItems count="5">
        <s v="East"/>
        <s v="West"/>
        <s v="Central"/>
        <s v="North"/>
        <s v="South"/>
      </sharedItems>
    </cacheField>
    <cacheField name="City" numFmtId="0">
      <sharedItems/>
    </cacheField>
    <cacheField name="Salesperson" numFmtId="0">
      <sharedItems/>
    </cacheField>
    <cacheField name="Customer Segment" numFmtId="0">
      <sharedItems count="3">
        <s v="Institutional"/>
        <s v="Retail"/>
        <s v="Online Marketplace"/>
      </sharedItems>
    </cacheField>
    <cacheField name="Category" numFmtId="0">
      <sharedItems count="5">
        <s v="Fashion"/>
        <s v="Furniture"/>
        <s v="Electronics"/>
        <s v="Home Appliances"/>
        <s v="Sports &amp; Fitness"/>
      </sharedItems>
    </cacheField>
    <cacheField name="Sub-Category" numFmtId="0">
      <sharedItems/>
    </cacheField>
    <cacheField name="Product" numFmtId="0">
      <sharedItems/>
    </cacheField>
    <cacheField name="Channel" numFmtId="0">
      <sharedItems count="3">
        <s v="Distributor"/>
        <s v="Online"/>
        <s v="Offline"/>
      </sharedItems>
    </cacheField>
    <cacheField name="Order Status" numFmtId="0">
      <sharedItems/>
    </cacheField>
    <cacheField name="Units Sold" numFmtId="0">
      <sharedItems containsSemiMixedTypes="0" containsString="0" containsNumber="1" containsInteger="1" minValue="1" maxValue="40"/>
    </cacheField>
    <cacheField name="Unit Price" numFmtId="166">
      <sharedItems containsSemiMixedTypes="0" containsString="0" containsNumber="1" containsInteger="1" minValue="999" maxValue="55230"/>
    </cacheField>
    <cacheField name="Discount" numFmtId="0">
      <sharedItems containsSemiMixedTypes="0" containsString="0" containsNumber="1" minValue="0.05" maxValue="0.2"/>
    </cacheField>
    <cacheField name="Unit Cost" numFmtId="166">
      <sharedItems containsSemiMixedTypes="0" containsString="0" containsNumber="1" containsInteger="1" minValue="540" maxValue="39500"/>
    </cacheField>
    <cacheField name="Sales Amount" numFmtId="166">
      <sharedItems containsSemiMixedTypes="0" containsString="0" containsNumber="1" minValue="998.82" maxValue="2153969.88"/>
    </cacheField>
    <cacheField name="Total Cost" numFmtId="166">
      <sharedItems containsSemiMixedTypes="0" containsString="0" containsNumber="1" containsInteger="1" minValue="540" maxValue="1540500"/>
    </cacheField>
    <cacheField name="Profit/loss" numFmtId="166">
      <sharedItems containsSemiMixedTypes="0" containsString="0" containsNumber="1" minValue="458.82000000000005" maxValue="835769.87999999989"/>
    </cacheField>
    <cacheField name="Profit Margin" numFmtId="0">
      <sharedItems containsSemiMixedTypes="0" containsString="0" containsNumber="1" minValue="0.25457563179433079" maxValue="0.45945837729404865"/>
    </cacheField>
    <cacheField name="Months (Order 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Quarters (Order Date)" numFmtId="0" databaseField="0">
      <fieldGroup base="1">
        <rangePr groupBy="quarters" startDate="2024-01-01T00:00:00" endDate="2026-01-01T00:00:00"/>
        <groupItems count="6">
          <s v="&lt;01-01-2024"/>
          <s v="Qtr1"/>
          <s v="Qtr2"/>
          <s v="Qtr3"/>
          <s v="Qtr4"/>
          <s v="&gt;01-01-2026"/>
        </groupItems>
      </fieldGroup>
    </cacheField>
    <cacheField name="Years (Order Date)"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1083403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RD-114043"/>
    <x v="0"/>
    <x v="0"/>
    <s v="January"/>
    <x v="0"/>
    <s v="Ranchi"/>
    <s v="Aditya Verma"/>
    <x v="0"/>
    <x v="0"/>
    <s v="Footwear"/>
    <s v="Puma Sneakers"/>
    <x v="0"/>
    <s v="Delivered"/>
    <n v="26"/>
    <n v="4499"/>
    <n v="0.15"/>
    <n v="2910"/>
    <n v="116973.85"/>
    <n v="75660"/>
    <n v="41313.850000000006"/>
    <n v="0.35318876825888867"/>
  </r>
  <r>
    <s v="ORD-114084"/>
    <x v="0"/>
    <x v="0"/>
    <s v="January"/>
    <x v="1"/>
    <s v="Mumbai"/>
    <s v="Simran Kaur"/>
    <x v="1"/>
    <x v="1"/>
    <s v="Sofas"/>
    <s v="3-Seater Sofa"/>
    <x v="1"/>
    <s v="Cancelled"/>
    <n v="33"/>
    <n v="38990"/>
    <n v="0.2"/>
    <n v="25400"/>
    <n v="1286669.8"/>
    <n v="838200"/>
    <n v="448469.80000000005"/>
    <n v="0.34855080922859932"/>
  </r>
  <r>
    <s v="ORD-114444"/>
    <x v="0"/>
    <x v="0"/>
    <s v="January"/>
    <x v="2"/>
    <s v="Ujjain"/>
    <s v="Kartik Raman"/>
    <x v="2"/>
    <x v="2"/>
    <s v="Laptops"/>
    <s v="Dell Inspiron 3511"/>
    <x v="0"/>
    <s v="Delivered"/>
    <n v="39"/>
    <n v="55230"/>
    <n v="0.15"/>
    <n v="33800"/>
    <n v="2153969.85"/>
    <n v="1318200"/>
    <n v="835769.85000000009"/>
    <n v="0.38801371801931211"/>
  </r>
  <r>
    <s v="ORD-114558"/>
    <x v="0"/>
    <x v="0"/>
    <s v="January"/>
    <x v="2"/>
    <s v="Raipur"/>
    <s v="Kartik Raman"/>
    <x v="2"/>
    <x v="0"/>
    <s v="Apparel"/>
    <s v="Men'S Casual Shirt"/>
    <x v="0"/>
    <s v="Delivered"/>
    <n v="19"/>
    <n v="1899"/>
    <n v="0.08"/>
    <n v="1080"/>
    <n v="36080.92"/>
    <n v="20520"/>
    <n v="15560.919999999998"/>
    <n v="0.43127835986443802"/>
  </r>
  <r>
    <s v="ORD-114586"/>
    <x v="0"/>
    <x v="0"/>
    <s v="January"/>
    <x v="3"/>
    <s v="Delhi"/>
    <s v="Imran Sheikh"/>
    <x v="2"/>
    <x v="0"/>
    <s v="Footwear"/>
    <s v="Adidas Sports Shoes"/>
    <x v="1"/>
    <s v="Delivered"/>
    <n v="36"/>
    <n v="5999"/>
    <n v="0.05"/>
    <n v="3890"/>
    <n v="215963.95"/>
    <n v="140040"/>
    <n v="75923.950000000012"/>
    <n v="0.35155844297161637"/>
  </r>
  <r>
    <s v="ORD-114089"/>
    <x v="1"/>
    <x v="0"/>
    <s v="January"/>
    <x v="1"/>
    <s v="Pune"/>
    <s v="Imran Sheikh"/>
    <x v="2"/>
    <x v="3"/>
    <s v="Kitchen Appliances"/>
    <s v="Philips Air Fryer"/>
    <x v="2"/>
    <s v="Delivered"/>
    <n v="33"/>
    <n v="7299"/>
    <n v="0.1"/>
    <n v="5010"/>
    <n v="240866.9"/>
    <n v="165330"/>
    <n v="75536.899999999994"/>
    <n v="0.31360431840157366"/>
  </r>
  <r>
    <s v="ORD-114421"/>
    <x v="2"/>
    <x v="0"/>
    <s v="January"/>
    <x v="2"/>
    <s v="Bhopal"/>
    <s v="Anjali Mehta"/>
    <x v="0"/>
    <x v="1"/>
    <s v="Tables"/>
    <s v="Office Work Table"/>
    <x v="0"/>
    <s v="Delivered"/>
    <n v="8"/>
    <n v="12490"/>
    <n v="0.05"/>
    <n v="7900"/>
    <n v="99919.95"/>
    <n v="63200"/>
    <n v="36719.949999999997"/>
    <n v="0.36749367868979116"/>
  </r>
  <r>
    <s v="ORD-114234"/>
    <x v="3"/>
    <x v="0"/>
    <s v="January"/>
    <x v="1"/>
    <s v="Pune"/>
    <s v="Kartik Raman"/>
    <x v="2"/>
    <x v="2"/>
    <s v="Audio Devices"/>
    <s v="Boat Airdopes 131"/>
    <x v="1"/>
    <s v="Returned"/>
    <n v="4"/>
    <n v="1930"/>
    <n v="0.2"/>
    <n v="1120"/>
    <n v="7719.8"/>
    <n v="4480"/>
    <n v="3239.8"/>
    <n v="0.41967408482085028"/>
  </r>
  <r>
    <s v="ORD-114435"/>
    <x v="3"/>
    <x v="0"/>
    <s v="January"/>
    <x v="3"/>
    <s v="Lucknow"/>
    <s v="Sourav Das"/>
    <x v="1"/>
    <x v="4"/>
    <s v="Fitness Equipment"/>
    <s v="Dumbbell Set"/>
    <x v="2"/>
    <s v="Cancelled"/>
    <n v="31"/>
    <n v="3499"/>
    <n v="0.15"/>
    <n v="2190"/>
    <n v="108468.85"/>
    <n v="67890"/>
    <n v="40578.850000000006"/>
    <n v="0.3741060221436846"/>
  </r>
  <r>
    <s v="ORD-114512"/>
    <x v="3"/>
    <x v="0"/>
    <s v="January"/>
    <x v="1"/>
    <s v="Surat"/>
    <s v="Pooja Chouhan"/>
    <x v="2"/>
    <x v="2"/>
    <s v="Mobiles"/>
    <s v="Iphone 13"/>
    <x v="1"/>
    <s v="Pending"/>
    <n v="9"/>
    <n v="52990"/>
    <n v="0.1"/>
    <n v="39500"/>
    <n v="476909.9"/>
    <n v="355500"/>
    <n v="121409.90000000002"/>
    <n v="0.25457617885474809"/>
  </r>
  <r>
    <s v="ORD-114625"/>
    <x v="3"/>
    <x v="0"/>
    <s v="January"/>
    <x v="2"/>
    <s v="Ujjain"/>
    <s v="Anjali Mehta"/>
    <x v="1"/>
    <x v="4"/>
    <s v="Fitness Equipment"/>
    <s v="Yoga Mat"/>
    <x v="1"/>
    <s v="Cancelled"/>
    <n v="6"/>
    <n v="1299"/>
    <n v="0.05"/>
    <n v="720"/>
    <n v="7793.95"/>
    <n v="4320"/>
    <n v="3473.95"/>
    <n v="0.4457239268920124"/>
  </r>
  <r>
    <s v="ORD-114331"/>
    <x v="4"/>
    <x v="0"/>
    <s v="January"/>
    <x v="4"/>
    <s v="Hyderabad"/>
    <s v="Ritika Ghosh"/>
    <x v="1"/>
    <x v="1"/>
    <s v="Sofas"/>
    <s v="Single Seater Recliner"/>
    <x v="0"/>
    <s v="Delivered"/>
    <n v="22"/>
    <n v="43500"/>
    <n v="0.12"/>
    <n v="29520"/>
    <n v="956999.88"/>
    <n v="649440"/>
    <n v="307559.88"/>
    <n v="0.32137922525131352"/>
  </r>
  <r>
    <s v="ORD-114594"/>
    <x v="4"/>
    <x v="0"/>
    <s v="January"/>
    <x v="4"/>
    <s v="Kochi"/>
    <s v="Ritika Ghosh"/>
    <x v="2"/>
    <x v="4"/>
    <s v="Fitness Equipment"/>
    <s v="Resistance Bands"/>
    <x v="1"/>
    <s v="Delivered"/>
    <n v="35"/>
    <n v="999"/>
    <n v="0.2"/>
    <n v="540"/>
    <n v="34964.800000000003"/>
    <n v="18900"/>
    <n v="16064.800000000003"/>
    <n v="0.45945636754678998"/>
  </r>
  <r>
    <s v="ORD-114729"/>
    <x v="4"/>
    <x v="0"/>
    <s v="January"/>
    <x v="0"/>
    <s v="Ranchi"/>
    <s v="Imran Sheikh"/>
    <x v="0"/>
    <x v="3"/>
    <s v="Washing Machines"/>
    <s v="Ifb 7Kg Washing Machine"/>
    <x v="0"/>
    <s v="Returned"/>
    <n v="30"/>
    <n v="31990"/>
    <n v="0.05"/>
    <n v="21800"/>
    <n v="959699.95"/>
    <n v="654000"/>
    <n v="305699.94999999995"/>
    <n v="0.31853700732192386"/>
  </r>
  <r>
    <s v="ORD-114640"/>
    <x v="5"/>
    <x v="0"/>
    <s v="January"/>
    <x v="3"/>
    <s v="Jaipur"/>
    <s v="Kartik Raman"/>
    <x v="0"/>
    <x v="0"/>
    <s v="Footwear"/>
    <s v="Adidas Sports Shoes"/>
    <x v="2"/>
    <s v="Delivered"/>
    <n v="6"/>
    <n v="5999"/>
    <n v="0.15"/>
    <n v="3890"/>
    <n v="35993.85"/>
    <n v="23340"/>
    <n v="12653.849999999999"/>
    <n v="0.35155589079801131"/>
  </r>
  <r>
    <s v="ORD-114686"/>
    <x v="5"/>
    <x v="0"/>
    <s v="January"/>
    <x v="1"/>
    <s v="Pune"/>
    <s v="Kartik Raman"/>
    <x v="0"/>
    <x v="1"/>
    <s v="Sofas"/>
    <s v="Single Seater Recliner"/>
    <x v="1"/>
    <s v="Cancelled"/>
    <n v="24"/>
    <n v="43500"/>
    <n v="0.08"/>
    <n v="29520"/>
    <n v="1043999.92"/>
    <n v="708480"/>
    <n v="335519.92000000004"/>
    <n v="0.32137925834323822"/>
  </r>
  <r>
    <s v="ORD-114349"/>
    <x v="6"/>
    <x v="0"/>
    <s v="January"/>
    <x v="2"/>
    <s v="Raipur"/>
    <s v="Pooja Chouhan"/>
    <x v="0"/>
    <x v="1"/>
    <s v="Tables"/>
    <s v="6-Seater Dining Table"/>
    <x v="0"/>
    <s v="Cancelled"/>
    <n v="18"/>
    <n v="25110"/>
    <n v="0.1"/>
    <n v="16730"/>
    <n v="451979.9"/>
    <n v="301140"/>
    <n v="150839.90000000002"/>
    <n v="0.33373143363233632"/>
  </r>
  <r>
    <s v="ORD-114375"/>
    <x v="6"/>
    <x v="0"/>
    <s v="January"/>
    <x v="0"/>
    <s v="Kolkata"/>
    <s v="Sourav Das"/>
    <x v="2"/>
    <x v="1"/>
    <s v="Tables"/>
    <s v="Office Work Table"/>
    <x v="1"/>
    <s v="Returned"/>
    <n v="7"/>
    <n v="12490"/>
    <n v="0.18"/>
    <n v="7900"/>
    <n v="87429.82"/>
    <n v="55300"/>
    <n v="32129.820000000007"/>
    <n v="0.36749269299650855"/>
  </r>
  <r>
    <s v="ORD-114699"/>
    <x v="6"/>
    <x v="0"/>
    <s v="January"/>
    <x v="4"/>
    <s v="Chennai"/>
    <s v="Rahul Singh"/>
    <x v="2"/>
    <x v="2"/>
    <s v="Audio Devices"/>
    <s v="Boat Airdopes 131"/>
    <x v="2"/>
    <s v="Delivered"/>
    <n v="22"/>
    <n v="1930"/>
    <n v="0.08"/>
    <n v="1120"/>
    <n v="42459.92"/>
    <n v="24640"/>
    <n v="17819.919999999998"/>
    <n v="0.4196880257899685"/>
  </r>
  <r>
    <s v="ORD-114700"/>
    <x v="7"/>
    <x v="0"/>
    <s v="January"/>
    <x v="2"/>
    <s v="Bhopal"/>
    <s v="Pooja Chouhan"/>
    <x v="0"/>
    <x v="0"/>
    <s v="Apparel"/>
    <s v="Women'S Kurti"/>
    <x v="1"/>
    <s v="Returned"/>
    <n v="31"/>
    <n v="1599"/>
    <n v="0.15"/>
    <n v="920"/>
    <n v="49568.85"/>
    <n v="28520"/>
    <n v="21048.85"/>
    <n v="0.42463865915791871"/>
  </r>
  <r>
    <s v="ORD-114656"/>
    <x v="8"/>
    <x v="0"/>
    <s v="January"/>
    <x v="3"/>
    <s v="Lucknow"/>
    <s v="Neha Deshpande"/>
    <x v="1"/>
    <x v="1"/>
    <s v="Sofas"/>
    <s v="L-Shape Sofa"/>
    <x v="1"/>
    <s v="Pending"/>
    <n v="20"/>
    <n v="52990"/>
    <n v="0.05"/>
    <n v="35100"/>
    <n v="1059799.95"/>
    <n v="702000"/>
    <n v="357799.94999999995"/>
    <n v="0.33761083872479891"/>
  </r>
  <r>
    <s v="ORD-114324"/>
    <x v="9"/>
    <x v="0"/>
    <s v="January"/>
    <x v="4"/>
    <s v="Kochi"/>
    <s v="Neha Deshpande"/>
    <x v="1"/>
    <x v="3"/>
    <s v="Kitchen Appliances"/>
    <s v="Bajaj Otg"/>
    <x v="2"/>
    <s v="Returned"/>
    <n v="23"/>
    <n v="5890"/>
    <n v="0.15"/>
    <n v="3980"/>
    <n v="135469.85"/>
    <n v="91540"/>
    <n v="43929.850000000006"/>
    <n v="0.32427768983283001"/>
  </r>
  <r>
    <s v="ORD-114355"/>
    <x v="9"/>
    <x v="0"/>
    <s v="January"/>
    <x v="1"/>
    <s v="Surat"/>
    <s v="Anjali Mehta"/>
    <x v="0"/>
    <x v="4"/>
    <s v="Fitness Equipment"/>
    <s v="Dumbbell Set"/>
    <x v="1"/>
    <s v="Delivered"/>
    <n v="6"/>
    <n v="3499"/>
    <n v="0.1"/>
    <n v="2190"/>
    <n v="20993.9"/>
    <n v="13140"/>
    <n v="7853.9000000000015"/>
    <n v="0.37410390637280355"/>
  </r>
  <r>
    <s v="ORD-114459"/>
    <x v="9"/>
    <x v="0"/>
    <s v="January"/>
    <x v="0"/>
    <s v="Bhubaneswar"/>
    <s v="Simran Kaur"/>
    <x v="0"/>
    <x v="4"/>
    <s v="Fitness Equipment"/>
    <s v="Yoga Mat"/>
    <x v="2"/>
    <s v="Cancelled"/>
    <n v="30"/>
    <n v="1299"/>
    <n v="0.15"/>
    <n v="720"/>
    <n v="38969.85"/>
    <n v="21600"/>
    <n v="17369.849999999999"/>
    <n v="0.44572534921227563"/>
  </r>
  <r>
    <s v="ORD-114740"/>
    <x v="9"/>
    <x v="0"/>
    <s v="January"/>
    <x v="0"/>
    <s v="Kolkata"/>
    <s v="Rahul Singh"/>
    <x v="2"/>
    <x v="2"/>
    <s v="Mobiles"/>
    <s v="Samsung Galaxy M34"/>
    <x v="0"/>
    <s v="Delivered"/>
    <n v="21"/>
    <n v="22999"/>
    <n v="0.08"/>
    <n v="15100"/>
    <n v="482978.92"/>
    <n v="317100"/>
    <n v="165878.91999999998"/>
    <n v="0.34344960645487382"/>
  </r>
  <r>
    <s v="ORD-114318"/>
    <x v="10"/>
    <x v="0"/>
    <s v="January"/>
    <x v="3"/>
    <s v="Lucknow"/>
    <s v="Ritika Ghosh"/>
    <x v="1"/>
    <x v="0"/>
    <s v="Footwear"/>
    <s v="Nike Running Shoes"/>
    <x v="0"/>
    <s v="Cancelled"/>
    <n v="26"/>
    <n v="6499"/>
    <n v="0.12"/>
    <n v="4210"/>
    <n v="168973.88"/>
    <n v="109460"/>
    <n v="59513.880000000005"/>
    <n v="0.35220757196319336"/>
  </r>
  <r>
    <s v="ORD-114532"/>
    <x v="10"/>
    <x v="0"/>
    <s v="January"/>
    <x v="0"/>
    <s v="Bhubaneswar"/>
    <s v="Rahul Singh"/>
    <x v="1"/>
    <x v="4"/>
    <s v="Fitness Equipment"/>
    <s v="Yoga Mat"/>
    <x v="0"/>
    <s v="Delivered"/>
    <n v="25"/>
    <n v="1299"/>
    <n v="0.2"/>
    <n v="720"/>
    <n v="32474.799999999999"/>
    <n v="18000"/>
    <n v="14474.8"/>
    <n v="0.44572406912436718"/>
  </r>
  <r>
    <s v="ORD-114008"/>
    <x v="11"/>
    <x v="0"/>
    <s v="January"/>
    <x v="4"/>
    <s v="Kochi"/>
    <s v="Sourav Das"/>
    <x v="0"/>
    <x v="4"/>
    <s v="Fitness Equipment"/>
    <s v="Resistance Bands"/>
    <x v="2"/>
    <s v="Delivered"/>
    <n v="15"/>
    <n v="999"/>
    <n v="0.2"/>
    <n v="540"/>
    <n v="14984.8"/>
    <n v="8100"/>
    <n v="6884.7999999999993"/>
    <n v="0.45945224494154074"/>
  </r>
  <r>
    <s v="ORD-114168"/>
    <x v="11"/>
    <x v="0"/>
    <s v="January"/>
    <x v="2"/>
    <s v="Raipur"/>
    <s v="Pooja Chouhan"/>
    <x v="1"/>
    <x v="2"/>
    <s v="Laptops"/>
    <s v="Lenovo Ideapad 3"/>
    <x v="2"/>
    <s v="Delivered"/>
    <n v="25"/>
    <n v="48990"/>
    <n v="0.15"/>
    <n v="30100"/>
    <n v="1224749.8500000001"/>
    <n v="752500"/>
    <n v="472249.85000000009"/>
    <n v="0.38558882044361964"/>
  </r>
  <r>
    <s v="ORD-114552"/>
    <x v="11"/>
    <x v="0"/>
    <s v="January"/>
    <x v="2"/>
    <s v="Indore"/>
    <s v="Pooja Chouhan"/>
    <x v="1"/>
    <x v="3"/>
    <s v="Kitchen Appliances"/>
    <s v="Bajaj Otg"/>
    <x v="2"/>
    <s v="Delivered"/>
    <n v="10"/>
    <n v="5890"/>
    <n v="0.2"/>
    <n v="3980"/>
    <n v="58899.8"/>
    <n v="39800"/>
    <n v="19099.800000000003"/>
    <n v="0.32427614355227014"/>
  </r>
  <r>
    <s v="ORD-114565"/>
    <x v="11"/>
    <x v="0"/>
    <s v="January"/>
    <x v="2"/>
    <s v="Indore"/>
    <s v="Imran Sheikh"/>
    <x v="2"/>
    <x v="0"/>
    <s v="Footwear"/>
    <s v="Puma Sneakers"/>
    <x v="1"/>
    <s v="Delivered"/>
    <n v="21"/>
    <n v="4499"/>
    <n v="0.18"/>
    <n v="2910"/>
    <n v="94478.82"/>
    <n v="61110"/>
    <n v="33368.820000000007"/>
    <n v="0.35318836539237053"/>
  </r>
  <r>
    <s v="ORD-114034"/>
    <x v="12"/>
    <x v="0"/>
    <s v="January"/>
    <x v="0"/>
    <s v="Ranchi"/>
    <s v="Simran Kaur"/>
    <x v="2"/>
    <x v="0"/>
    <s v="Footwear"/>
    <s v="Nike Running Shoes"/>
    <x v="1"/>
    <s v="Returned"/>
    <n v="10"/>
    <n v="6499"/>
    <n v="0.15"/>
    <n v="4210"/>
    <n v="64989.85"/>
    <n v="42100"/>
    <n v="22889.85"/>
    <n v="0.35220653686691072"/>
  </r>
  <r>
    <s v="ORD-114303"/>
    <x v="12"/>
    <x v="0"/>
    <s v="January"/>
    <x v="3"/>
    <s v="Delhi"/>
    <s v="Pooja Chouhan"/>
    <x v="1"/>
    <x v="2"/>
    <s v="Mobiles"/>
    <s v="Samsung Galaxy M34"/>
    <x v="2"/>
    <s v="Delivered"/>
    <n v="12"/>
    <n v="22999"/>
    <n v="0.2"/>
    <n v="15100"/>
    <n v="275987.8"/>
    <n v="181200"/>
    <n v="94787.799999999988"/>
    <n v="0.34344923942290201"/>
  </r>
  <r>
    <s v="ORD-114568"/>
    <x v="12"/>
    <x v="0"/>
    <s v="January"/>
    <x v="0"/>
    <s v="Patna"/>
    <s v="Kartik Raman"/>
    <x v="0"/>
    <x v="1"/>
    <s v="Tables"/>
    <s v="6-Seater Dining Table"/>
    <x v="0"/>
    <s v="Returned"/>
    <n v="9"/>
    <n v="25110"/>
    <n v="0.08"/>
    <n v="16730"/>
    <n v="225989.92"/>
    <n v="150570"/>
    <n v="75419.920000000013"/>
    <n v="0.33373134518566144"/>
  </r>
  <r>
    <s v="ORD-114595"/>
    <x v="12"/>
    <x v="0"/>
    <s v="January"/>
    <x v="1"/>
    <s v="Surat"/>
    <s v="Kartik Raman"/>
    <x v="0"/>
    <x v="4"/>
    <s v="Fitness Equipment"/>
    <s v="Dumbbell Set"/>
    <x v="2"/>
    <s v="Delivered"/>
    <n v="19"/>
    <n v="3499"/>
    <n v="0.08"/>
    <n v="2190"/>
    <n v="66480.92"/>
    <n v="41610"/>
    <n v="24870.92"/>
    <n v="0.37410613451197727"/>
  </r>
  <r>
    <s v="ORD-114081"/>
    <x v="13"/>
    <x v="0"/>
    <s v="January"/>
    <x v="2"/>
    <s v="Bhopal"/>
    <s v="Pooja Chouhan"/>
    <x v="1"/>
    <x v="3"/>
    <s v="Refrigerators"/>
    <s v="Whirlpool 265L Refrigerator"/>
    <x v="0"/>
    <s v="Delivered"/>
    <n v="18"/>
    <n v="27890"/>
    <n v="0.15"/>
    <n v="18800"/>
    <n v="502019.85"/>
    <n v="338400"/>
    <n v="163619.84999999998"/>
    <n v="0.32592306857985792"/>
  </r>
  <r>
    <s v="ORD-114498"/>
    <x v="13"/>
    <x v="0"/>
    <s v="January"/>
    <x v="0"/>
    <s v="Bhubaneswar"/>
    <s v="Simran Kaur"/>
    <x v="2"/>
    <x v="3"/>
    <s v="Kitchen Appliances"/>
    <s v="Bajaj Otg"/>
    <x v="2"/>
    <s v="Delivered"/>
    <n v="9"/>
    <n v="5890"/>
    <n v="0.1"/>
    <n v="3980"/>
    <n v="53009.9"/>
    <n v="35820"/>
    <n v="17189.900000000001"/>
    <n v="0.32427716332232281"/>
  </r>
  <r>
    <s v="ORD-114274"/>
    <x v="14"/>
    <x v="0"/>
    <s v="January"/>
    <x v="2"/>
    <s v="Raipur"/>
    <s v="Kartik Raman"/>
    <x v="2"/>
    <x v="2"/>
    <s v="Audio Devices"/>
    <s v="Boat Airdopes 131"/>
    <x v="2"/>
    <s v="Pending"/>
    <n v="24"/>
    <n v="1930"/>
    <n v="0.15"/>
    <n v="1120"/>
    <n v="46319.85"/>
    <n v="26880"/>
    <n v="19439.849999999999"/>
    <n v="0.41968723991981838"/>
  </r>
  <r>
    <s v="ORD-114432"/>
    <x v="14"/>
    <x v="0"/>
    <s v="January"/>
    <x v="4"/>
    <s v="Kochi"/>
    <s v="Neha Deshpande"/>
    <x v="1"/>
    <x v="3"/>
    <s v="Washing Machines"/>
    <s v="Samsung 7Kg Washing Machine"/>
    <x v="1"/>
    <s v="Delivered"/>
    <n v="24"/>
    <n v="32800"/>
    <n v="0.08"/>
    <n v="23100"/>
    <n v="787199.92"/>
    <n v="554400"/>
    <n v="232799.92000000004"/>
    <n v="0.29573163574508499"/>
  </r>
  <r>
    <s v="ORD-114541"/>
    <x v="14"/>
    <x v="0"/>
    <s v="January"/>
    <x v="3"/>
    <s v="Chandigarh"/>
    <s v="Simran Kaur"/>
    <x v="2"/>
    <x v="0"/>
    <s v="Apparel"/>
    <s v="Women'S Kurti"/>
    <x v="1"/>
    <s v="Cancelled"/>
    <n v="26"/>
    <n v="1599"/>
    <n v="0.2"/>
    <n v="920"/>
    <n v="41573.800000000003"/>
    <n v="23920"/>
    <n v="17653.800000000003"/>
    <n v="0.42463763235499286"/>
  </r>
  <r>
    <s v="ORD-114542"/>
    <x v="14"/>
    <x v="0"/>
    <s v="January"/>
    <x v="2"/>
    <s v="Raipur"/>
    <s v="Neha Deshpande"/>
    <x v="0"/>
    <x v="4"/>
    <s v="Fitness Equipment"/>
    <s v="Resistance Bands"/>
    <x v="1"/>
    <s v="Cancelled"/>
    <n v="30"/>
    <n v="999"/>
    <n v="0.2"/>
    <n v="540"/>
    <n v="29969.8"/>
    <n v="16200"/>
    <n v="13769.8"/>
    <n v="0.45945585222457275"/>
  </r>
  <r>
    <s v="ORD-114004"/>
    <x v="15"/>
    <x v="0"/>
    <s v="January"/>
    <x v="4"/>
    <s v="Chennai"/>
    <s v="Neha Deshpande"/>
    <x v="1"/>
    <x v="2"/>
    <s v="Mobiles"/>
    <s v="Oneplus Nord Ce 3"/>
    <x v="2"/>
    <s v="Delivered"/>
    <n v="39"/>
    <n v="25999"/>
    <n v="0.1"/>
    <n v="17800"/>
    <n v="1013960.9"/>
    <n v="694200"/>
    <n v="319760.90000000002"/>
    <n v="0.31535821548937443"/>
  </r>
  <r>
    <s v="ORD-114071"/>
    <x v="16"/>
    <x v="0"/>
    <s v="January"/>
    <x v="4"/>
    <s v="Hyderabad"/>
    <s v="Aditya Verma"/>
    <x v="0"/>
    <x v="3"/>
    <s v="Washing Machines"/>
    <s v="Samsung 7Kg Washing Machine"/>
    <x v="0"/>
    <s v="Pending"/>
    <n v="9"/>
    <n v="32800"/>
    <n v="0.1"/>
    <n v="23100"/>
    <n v="295199.90000000002"/>
    <n v="207900"/>
    <n v="87299.900000000023"/>
    <n v="0.29573146874372253"/>
  </r>
  <r>
    <s v="ORD-114223"/>
    <x v="17"/>
    <x v="0"/>
    <s v="January"/>
    <x v="0"/>
    <s v="Bhubaneswar"/>
    <s v="Pooja Chouhan"/>
    <x v="2"/>
    <x v="4"/>
    <s v="Fitness Equipment"/>
    <s v="Resistance Bands"/>
    <x v="0"/>
    <s v="Cancelled"/>
    <n v="36"/>
    <n v="999"/>
    <n v="0.12"/>
    <n v="540"/>
    <n v="35963.879999999997"/>
    <n v="19440"/>
    <n v="16523.879999999997"/>
    <n v="0.45945765584803416"/>
  </r>
  <r>
    <s v="ORD-114183"/>
    <x v="18"/>
    <x v="0"/>
    <s v="January"/>
    <x v="0"/>
    <s v="Kolkata"/>
    <s v="Neha Deshpande"/>
    <x v="1"/>
    <x v="0"/>
    <s v="Footwear"/>
    <s v="Adidas Sports Shoes"/>
    <x v="2"/>
    <s v="Delivered"/>
    <n v="10"/>
    <n v="5999"/>
    <n v="0.05"/>
    <n v="3890"/>
    <n v="59989.95"/>
    <n v="38900"/>
    <n v="21089.949999999997"/>
    <n v="0.3515580526404839"/>
  </r>
  <r>
    <s v="ORD-114573"/>
    <x v="18"/>
    <x v="0"/>
    <s v="January"/>
    <x v="4"/>
    <s v="Hyderabad"/>
    <s v="Imran Sheikh"/>
    <x v="1"/>
    <x v="3"/>
    <s v="Kitchen Appliances"/>
    <s v="Philips Air Fryer"/>
    <x v="0"/>
    <s v="Delivered"/>
    <n v="35"/>
    <n v="7299"/>
    <n v="0.12"/>
    <n v="5010"/>
    <n v="255464.88"/>
    <n v="175350"/>
    <n v="80114.880000000005"/>
    <n v="0.31360428094852022"/>
  </r>
  <r>
    <s v="ORD-114085"/>
    <x v="19"/>
    <x v="0"/>
    <s v="January"/>
    <x v="2"/>
    <s v="Raipur"/>
    <s v="Sourav Das"/>
    <x v="1"/>
    <x v="3"/>
    <s v="Refrigerators"/>
    <s v="Samsung 253L Refrigerator"/>
    <x v="0"/>
    <s v="Cancelled"/>
    <n v="29"/>
    <n v="31490"/>
    <n v="0.2"/>
    <n v="21300"/>
    <n v="913209.8"/>
    <n v="617700"/>
    <n v="295509.80000000005"/>
    <n v="0.32359464385949432"/>
  </r>
  <r>
    <s v="ORD-114239"/>
    <x v="20"/>
    <x v="0"/>
    <s v="January"/>
    <x v="4"/>
    <s v="Hyderabad"/>
    <s v="Ritika Ghosh"/>
    <x v="2"/>
    <x v="2"/>
    <s v="Laptops"/>
    <s v="Dell Inspiron 3511"/>
    <x v="2"/>
    <s v="Cancelled"/>
    <n v="36"/>
    <n v="55230"/>
    <n v="0.12"/>
    <n v="33800"/>
    <n v="1988279.88"/>
    <n v="1216800"/>
    <n v="771479.87999999989"/>
    <n v="0.38801372370171544"/>
  </r>
  <r>
    <s v="ORD-114323"/>
    <x v="20"/>
    <x v="0"/>
    <s v="January"/>
    <x v="2"/>
    <s v="Bhopal"/>
    <s v="Imran Sheikh"/>
    <x v="1"/>
    <x v="3"/>
    <s v="Kitchen Appliances"/>
    <s v="Prestige Mixer Grinder"/>
    <x v="0"/>
    <s v="Delivered"/>
    <n v="18"/>
    <n v="4680"/>
    <n v="0.15"/>
    <n v="3250"/>
    <n v="84239.85"/>
    <n v="58500"/>
    <n v="25739.850000000006"/>
    <n v="0.30555431900697833"/>
  </r>
  <r>
    <s v="ORD-114516"/>
    <x v="20"/>
    <x v="0"/>
    <s v="January"/>
    <x v="4"/>
    <s v="Kochi"/>
    <s v="Imran Sheikh"/>
    <x v="1"/>
    <x v="4"/>
    <s v="Fitness Equipment"/>
    <s v="Yoga Mat"/>
    <x v="0"/>
    <s v="Pending"/>
    <n v="25"/>
    <n v="1299"/>
    <n v="0.05"/>
    <n v="720"/>
    <n v="32474.95"/>
    <n v="18000"/>
    <n v="14474.95"/>
    <n v="0.44572662929427143"/>
  </r>
  <r>
    <s v="ORD-114661"/>
    <x v="20"/>
    <x v="0"/>
    <s v="January"/>
    <x v="2"/>
    <s v="Raipur"/>
    <s v="Ritika Ghosh"/>
    <x v="2"/>
    <x v="0"/>
    <s v="Footwear"/>
    <s v="Adidas Sports Shoes"/>
    <x v="2"/>
    <s v="Pending"/>
    <n v="39"/>
    <n v="5999"/>
    <n v="0.15"/>
    <n v="3890"/>
    <n v="233960.85"/>
    <n v="151710"/>
    <n v="82250.850000000006"/>
    <n v="0.35155817736172529"/>
  </r>
  <r>
    <s v="ORD-114678"/>
    <x v="21"/>
    <x v="0"/>
    <s v="January"/>
    <x v="3"/>
    <s v="Delhi"/>
    <s v="Pooja Chouhan"/>
    <x v="0"/>
    <x v="0"/>
    <s v="Footwear"/>
    <s v="Nike Running Shoes"/>
    <x v="1"/>
    <s v="Delivered"/>
    <n v="33"/>
    <n v="6499"/>
    <n v="0.15"/>
    <n v="4210"/>
    <n v="214466.85"/>
    <n v="138930"/>
    <n v="75536.850000000006"/>
    <n v="0.3522075789335275"/>
  </r>
  <r>
    <s v="ORD-114107"/>
    <x v="22"/>
    <x v="0"/>
    <s v="February"/>
    <x v="0"/>
    <s v="Kolkata"/>
    <s v="Aditya Verma"/>
    <x v="0"/>
    <x v="2"/>
    <s v="Audio Devices"/>
    <s v="Sony Wh-Ch520"/>
    <x v="2"/>
    <s v="Pending"/>
    <n v="15"/>
    <n v="4490"/>
    <n v="0.18"/>
    <n v="2950"/>
    <n v="67349.820000000007"/>
    <n v="44250"/>
    <n v="23099.820000000007"/>
    <n v="0.34298265385119076"/>
  </r>
  <r>
    <s v="ORD-114281"/>
    <x v="22"/>
    <x v="0"/>
    <s v="February"/>
    <x v="1"/>
    <s v="Surat"/>
    <s v="Neha Deshpande"/>
    <x v="2"/>
    <x v="2"/>
    <s v="Audio Devices"/>
    <s v="Boat Airdopes 131"/>
    <x v="0"/>
    <s v="Cancelled"/>
    <n v="23"/>
    <n v="1930"/>
    <n v="0.2"/>
    <n v="1120"/>
    <n v="44389.8"/>
    <n v="25760"/>
    <n v="18629.800000000003"/>
    <n v="0.41968650455735329"/>
  </r>
  <r>
    <s v="ORD-114452"/>
    <x v="22"/>
    <x v="0"/>
    <s v="February"/>
    <x v="2"/>
    <s v="Ujjain"/>
    <s v="Anjali Mehta"/>
    <x v="0"/>
    <x v="2"/>
    <s v="Laptops"/>
    <s v="Hp 15S"/>
    <x v="2"/>
    <s v="Pending"/>
    <n v="28"/>
    <n v="48500"/>
    <n v="0.05"/>
    <n v="30200"/>
    <n v="1357999.95"/>
    <n v="845600"/>
    <n v="512399.94999999995"/>
    <n v="0.37731956470248762"/>
  </r>
  <r>
    <s v="ORD-114711"/>
    <x v="22"/>
    <x v="0"/>
    <s v="February"/>
    <x v="2"/>
    <s v="Indore"/>
    <s v="Pooja Chouhan"/>
    <x v="2"/>
    <x v="0"/>
    <s v="Footwear"/>
    <s v="Nike Running Shoes"/>
    <x v="1"/>
    <s v="Delivered"/>
    <n v="39"/>
    <n v="6499"/>
    <n v="0.1"/>
    <n v="4210"/>
    <n v="253460.9"/>
    <n v="164190"/>
    <n v="89270.9"/>
    <n v="0.35220777642626533"/>
  </r>
  <r>
    <s v="ORD-114159"/>
    <x v="23"/>
    <x v="0"/>
    <s v="February"/>
    <x v="3"/>
    <s v="Delhi"/>
    <s v="Sourav Das"/>
    <x v="0"/>
    <x v="2"/>
    <s v="Audio Devices"/>
    <s v="Jbl Tune 510Bt"/>
    <x v="2"/>
    <s v="Delivered"/>
    <n v="2"/>
    <n v="3299"/>
    <n v="0.1"/>
    <n v="2050"/>
    <n v="6597.9"/>
    <n v="4100"/>
    <n v="2497.8999999999996"/>
    <n v="0.37859015747434788"/>
  </r>
  <r>
    <s v="ORD-114262"/>
    <x v="23"/>
    <x v="0"/>
    <s v="February"/>
    <x v="1"/>
    <s v="Pune"/>
    <s v="Kartik Raman"/>
    <x v="0"/>
    <x v="1"/>
    <s v="Sofas"/>
    <s v="Single Seater Recliner"/>
    <x v="2"/>
    <s v="Returned"/>
    <n v="29"/>
    <n v="43500"/>
    <n v="0.1"/>
    <n v="29520"/>
    <n v="1261499.8999999999"/>
    <n v="856080"/>
    <n v="405419.89999999991"/>
    <n v="0.32137925655007976"/>
  </r>
  <r>
    <s v="ORD-114605"/>
    <x v="23"/>
    <x v="0"/>
    <s v="February"/>
    <x v="4"/>
    <s v="Chennai"/>
    <s v="Kartik Raman"/>
    <x v="0"/>
    <x v="3"/>
    <s v="Washing Machines"/>
    <s v="Ifb 7Kg Washing Machine"/>
    <x v="1"/>
    <s v="Returned"/>
    <n v="1"/>
    <n v="31990"/>
    <n v="0.2"/>
    <n v="21800"/>
    <n v="31989.8"/>
    <n v="21800"/>
    <n v="10189.799999999999"/>
    <n v="0.31853278232436588"/>
  </r>
  <r>
    <s v="ORD-114038"/>
    <x v="24"/>
    <x v="0"/>
    <s v="February"/>
    <x v="1"/>
    <s v="Ahmedabad"/>
    <s v="Rahul Singh"/>
    <x v="1"/>
    <x v="3"/>
    <s v="Kitchen Appliances"/>
    <s v="Bajaj Otg"/>
    <x v="1"/>
    <s v="Cancelled"/>
    <n v="22"/>
    <n v="5890"/>
    <n v="0.1"/>
    <n v="3980"/>
    <n v="129579.9"/>
    <n v="87560"/>
    <n v="42019.899999999994"/>
    <n v="0.32427791655958982"/>
  </r>
  <r>
    <s v="ORD-114505"/>
    <x v="25"/>
    <x v="0"/>
    <s v="February"/>
    <x v="1"/>
    <s v="Surat"/>
    <s v="Kartik Raman"/>
    <x v="2"/>
    <x v="4"/>
    <s v="Fitness Equipment"/>
    <s v="Yoga Mat"/>
    <x v="2"/>
    <s v="Delivered"/>
    <n v="39"/>
    <n v="1299"/>
    <n v="0.18"/>
    <n v="720"/>
    <n v="50660.82"/>
    <n v="28080"/>
    <n v="22580.82"/>
    <n v="0.44572551332568244"/>
  </r>
  <r>
    <s v="ORD-114029"/>
    <x v="26"/>
    <x v="0"/>
    <s v="February"/>
    <x v="1"/>
    <s v="Pune"/>
    <s v="Rahul Singh"/>
    <x v="0"/>
    <x v="1"/>
    <s v="Tables"/>
    <s v="6-Seater Dining Table"/>
    <x v="2"/>
    <s v="Pending"/>
    <n v="37"/>
    <n v="25110"/>
    <n v="0.05"/>
    <n v="16730"/>
    <n v="929069.95"/>
    <n v="619010"/>
    <n v="310059.94999999995"/>
    <n v="0.33373154518666753"/>
  </r>
  <r>
    <s v="ORD-114171"/>
    <x v="26"/>
    <x v="0"/>
    <s v="February"/>
    <x v="0"/>
    <s v="Bhubaneswar"/>
    <s v="Simran Kaur"/>
    <x v="1"/>
    <x v="4"/>
    <s v="Fitness Equipment"/>
    <s v="Resistance Bands"/>
    <x v="2"/>
    <s v="Delivered"/>
    <n v="8"/>
    <n v="999"/>
    <n v="0.08"/>
    <n v="540"/>
    <n v="7991.92"/>
    <n v="4320"/>
    <n v="3671.92"/>
    <n v="0.45945404858907496"/>
  </r>
  <r>
    <s v="ORD-114334"/>
    <x v="26"/>
    <x v="0"/>
    <s v="February"/>
    <x v="2"/>
    <s v="Indore"/>
    <s v="Anjali Mehta"/>
    <x v="0"/>
    <x v="2"/>
    <s v="Laptops"/>
    <s v="Dell Inspiron 3511"/>
    <x v="1"/>
    <s v="Delivered"/>
    <n v="17"/>
    <n v="55230"/>
    <n v="0.05"/>
    <n v="33800"/>
    <n v="938909.95"/>
    <n v="574600"/>
    <n v="364309.94999999995"/>
    <n v="0.38801372804708267"/>
  </r>
  <r>
    <s v="ORD-114428"/>
    <x v="27"/>
    <x v="0"/>
    <s v="February"/>
    <x v="3"/>
    <s v="Chandigarh"/>
    <s v="Imran Sheikh"/>
    <x v="1"/>
    <x v="1"/>
    <s v="Tables"/>
    <s v="Office Work Table"/>
    <x v="1"/>
    <s v="Delivered"/>
    <n v="5"/>
    <n v="12490"/>
    <n v="0.18"/>
    <n v="7900"/>
    <n v="62449.82"/>
    <n v="39500"/>
    <n v="22949.82"/>
    <n v="0.36749217211514779"/>
  </r>
  <r>
    <s v="ORD-114015"/>
    <x v="28"/>
    <x v="0"/>
    <s v="February"/>
    <x v="3"/>
    <s v="Lucknow"/>
    <s v="Simran Kaur"/>
    <x v="1"/>
    <x v="2"/>
    <s v="Mobiles"/>
    <s v="Samsung Galaxy M34"/>
    <x v="1"/>
    <s v="Delivered"/>
    <n v="16"/>
    <n v="22999"/>
    <n v="0.15"/>
    <n v="15100"/>
    <n v="367983.85"/>
    <n v="241600"/>
    <n v="126383.84999999998"/>
    <n v="0.34344944757765861"/>
  </r>
  <r>
    <s v="ORD-114177"/>
    <x v="28"/>
    <x v="0"/>
    <s v="February"/>
    <x v="2"/>
    <s v="Indore"/>
    <s v="Rahul Singh"/>
    <x v="1"/>
    <x v="3"/>
    <s v="Washing Machines"/>
    <s v="Ifb 7Kg Washing Machine"/>
    <x v="1"/>
    <s v="Delivered"/>
    <n v="34"/>
    <n v="31990"/>
    <n v="0.1"/>
    <n v="21800"/>
    <n v="1087659.8999999999"/>
    <n v="741200"/>
    <n v="346459.89999999991"/>
    <n v="0.3185369801718349"/>
  </r>
  <r>
    <s v="ORD-114344"/>
    <x v="28"/>
    <x v="0"/>
    <s v="February"/>
    <x v="2"/>
    <s v="Indore"/>
    <s v="Ritika Ghosh"/>
    <x v="0"/>
    <x v="3"/>
    <s v="Kitchen Appliances"/>
    <s v="Prestige Mixer Grinder"/>
    <x v="1"/>
    <s v="Delivered"/>
    <n v="3"/>
    <n v="4680"/>
    <n v="0.12"/>
    <n v="3250"/>
    <n v="14039.88"/>
    <n v="9750"/>
    <n v="4289.8799999999992"/>
    <n v="0.30554962008222286"/>
  </r>
  <r>
    <s v="ORD-114538"/>
    <x v="28"/>
    <x v="0"/>
    <s v="February"/>
    <x v="2"/>
    <s v="Bhopal"/>
    <s v="Imran Sheikh"/>
    <x v="2"/>
    <x v="4"/>
    <s v="Fitness Equipment"/>
    <s v="Resistance Bands"/>
    <x v="1"/>
    <s v="Delivered"/>
    <n v="2"/>
    <n v="999"/>
    <n v="0.1"/>
    <n v="540"/>
    <n v="1997.9"/>
    <n v="1080"/>
    <n v="917.90000000000009"/>
    <n v="0.45943240402422547"/>
  </r>
  <r>
    <s v="ORD-114660"/>
    <x v="29"/>
    <x v="0"/>
    <s v="February"/>
    <x v="0"/>
    <s v="Kolkata"/>
    <s v="Imran Sheikh"/>
    <x v="2"/>
    <x v="3"/>
    <s v="Refrigerators"/>
    <s v="Whirlpool 265L Refrigerator"/>
    <x v="1"/>
    <s v="Delivered"/>
    <n v="13"/>
    <n v="27890"/>
    <n v="0.05"/>
    <n v="18800"/>
    <n v="362569.95"/>
    <n v="244400"/>
    <n v="118169.95000000001"/>
    <n v="0.32592317703108048"/>
  </r>
  <r>
    <s v="ORD-114141"/>
    <x v="30"/>
    <x v="0"/>
    <s v="February"/>
    <x v="4"/>
    <s v="Hyderabad"/>
    <s v="Imran Sheikh"/>
    <x v="0"/>
    <x v="4"/>
    <s v="Fitness Equipment"/>
    <s v="Yoga Mat"/>
    <x v="2"/>
    <s v="Delivered"/>
    <n v="22"/>
    <n v="1299"/>
    <n v="0.18"/>
    <n v="720"/>
    <n v="28577.82"/>
    <n v="15840"/>
    <n v="12737.82"/>
    <n v="0.44572399154309178"/>
  </r>
  <r>
    <s v="ORD-114247"/>
    <x v="31"/>
    <x v="0"/>
    <s v="February"/>
    <x v="0"/>
    <s v="Bhubaneswar"/>
    <s v="Ritika Ghosh"/>
    <x v="1"/>
    <x v="2"/>
    <s v="Mobiles"/>
    <s v="Samsung Galaxy M34"/>
    <x v="2"/>
    <s v="Delivered"/>
    <n v="7"/>
    <n v="22999"/>
    <n v="0.08"/>
    <n v="15100"/>
    <n v="160992.92000000001"/>
    <n v="105700"/>
    <n v="55292.920000000013"/>
    <n v="0.34344938895449567"/>
  </r>
  <r>
    <s v="ORD-114275"/>
    <x v="31"/>
    <x v="0"/>
    <s v="February"/>
    <x v="1"/>
    <s v="Pune"/>
    <s v="Sourav Das"/>
    <x v="1"/>
    <x v="3"/>
    <s v="Washing Machines"/>
    <s v="Samsung 7Kg Washing Machine"/>
    <x v="2"/>
    <s v="Delivered"/>
    <n v="23"/>
    <n v="32800"/>
    <n v="0.2"/>
    <n v="23100"/>
    <n v="754399.8"/>
    <n v="531300"/>
    <n v="223099.80000000005"/>
    <n v="0.29573152060750818"/>
  </r>
  <r>
    <s v="ORD-114419"/>
    <x v="31"/>
    <x v="0"/>
    <s v="February"/>
    <x v="2"/>
    <s v="Ujjain"/>
    <s v="Imran Sheikh"/>
    <x v="1"/>
    <x v="2"/>
    <s v="Mobiles"/>
    <s v="Iphone 13"/>
    <x v="1"/>
    <s v="Delivered"/>
    <n v="20"/>
    <n v="52990"/>
    <n v="0.15"/>
    <n v="39500"/>
    <n v="1059799.8500000001"/>
    <n v="790000"/>
    <n v="269799.85000000009"/>
    <n v="0.25457622965317467"/>
  </r>
  <r>
    <s v="ORD-114593"/>
    <x v="32"/>
    <x v="0"/>
    <s v="February"/>
    <x v="3"/>
    <s v="Jaipur"/>
    <s v="Ritika Ghosh"/>
    <x v="1"/>
    <x v="4"/>
    <s v="Fitness Equipment"/>
    <s v="Dumbbell Set"/>
    <x v="0"/>
    <s v="Delivered"/>
    <n v="34"/>
    <n v="3499"/>
    <n v="0.15"/>
    <n v="2190"/>
    <n v="118965.85"/>
    <n v="74460"/>
    <n v="44505.850000000006"/>
    <n v="0.3741060985148259"/>
  </r>
  <r>
    <s v="ORD-114105"/>
    <x v="33"/>
    <x v="0"/>
    <s v="February"/>
    <x v="3"/>
    <s v="Jaipur"/>
    <s v="Ritika Ghosh"/>
    <x v="1"/>
    <x v="3"/>
    <s v="Refrigerators"/>
    <s v="Whirlpool 265L Refrigerator"/>
    <x v="0"/>
    <s v="Cancelled"/>
    <n v="36"/>
    <n v="27890"/>
    <n v="0.1"/>
    <n v="18800"/>
    <n v="1004039.9"/>
    <n v="676800"/>
    <n v="327239.90000000002"/>
    <n v="0.32592320285279502"/>
  </r>
  <r>
    <s v="ORD-114213"/>
    <x v="33"/>
    <x v="0"/>
    <s v="February"/>
    <x v="2"/>
    <s v="Indore"/>
    <s v="Anjali Mehta"/>
    <x v="0"/>
    <x v="4"/>
    <s v="Fitness Equipment"/>
    <s v="Yoga Mat"/>
    <x v="0"/>
    <s v="Delivered"/>
    <n v="38"/>
    <n v="1299"/>
    <n v="0.12"/>
    <n v="720"/>
    <n v="49361.88"/>
    <n v="27360"/>
    <n v="22001.879999999997"/>
    <n v="0.44572613522823684"/>
  </r>
  <r>
    <s v="ORD-114380"/>
    <x v="33"/>
    <x v="0"/>
    <s v="February"/>
    <x v="1"/>
    <s v="Ahmedabad"/>
    <s v="Aditya Verma"/>
    <x v="1"/>
    <x v="2"/>
    <s v="Audio Devices"/>
    <s v="Boat Airdopes 131"/>
    <x v="1"/>
    <s v="Pending"/>
    <n v="32"/>
    <n v="1930"/>
    <n v="0.08"/>
    <n v="1120"/>
    <n v="61759.92"/>
    <n v="35840"/>
    <n v="25919.919999999998"/>
    <n v="0.41968836747197857"/>
  </r>
  <r>
    <s v="ORD-114496"/>
    <x v="33"/>
    <x v="0"/>
    <s v="February"/>
    <x v="4"/>
    <s v="Bengaluru"/>
    <s v="Pooja Chouhan"/>
    <x v="2"/>
    <x v="0"/>
    <s v="Footwear"/>
    <s v="Adidas Sports Shoes"/>
    <x v="1"/>
    <s v="Delivered"/>
    <n v="11"/>
    <n v="5999"/>
    <n v="0.12"/>
    <n v="3890"/>
    <n v="65988.88"/>
    <n v="42790"/>
    <n v="23198.880000000005"/>
    <n v="0.3515574139157992"/>
  </r>
  <r>
    <s v="ORD-114248"/>
    <x v="34"/>
    <x v="0"/>
    <s v="February"/>
    <x v="4"/>
    <s v="Kochi"/>
    <s v="Simran Kaur"/>
    <x v="2"/>
    <x v="4"/>
    <s v="Fitness Equipment"/>
    <s v="Yoga Mat"/>
    <x v="1"/>
    <s v="Delivered"/>
    <n v="23"/>
    <n v="1299"/>
    <n v="0.15"/>
    <n v="720"/>
    <n v="29876.85"/>
    <n v="16560"/>
    <n v="13316.849999999999"/>
    <n v="0.44572469989306102"/>
  </r>
  <r>
    <s v="ORD-114659"/>
    <x v="34"/>
    <x v="0"/>
    <s v="February"/>
    <x v="3"/>
    <s v="Chandigarh"/>
    <s v="Kartik Raman"/>
    <x v="1"/>
    <x v="1"/>
    <s v="Tables"/>
    <s v="Study Table"/>
    <x v="0"/>
    <s v="Delivered"/>
    <n v="29"/>
    <n v="6999"/>
    <n v="0.1"/>
    <n v="4320"/>
    <n v="202970.9"/>
    <n v="125280"/>
    <n v="77690.899999999994"/>
    <n v="0.38276866289699657"/>
  </r>
  <r>
    <s v="ORD-114143"/>
    <x v="35"/>
    <x v="0"/>
    <s v="February"/>
    <x v="0"/>
    <s v="Patna"/>
    <s v="Sourav Das"/>
    <x v="0"/>
    <x v="4"/>
    <s v="Fitness Equipment"/>
    <s v="Resistance Bands"/>
    <x v="0"/>
    <s v="Delivered"/>
    <n v="5"/>
    <n v="999"/>
    <n v="0.1"/>
    <n v="540"/>
    <n v="4994.8999999999996"/>
    <n v="2700"/>
    <n v="2294.8999999999996"/>
    <n v="0.45944863761036253"/>
  </r>
  <r>
    <s v="ORD-114628"/>
    <x v="35"/>
    <x v="0"/>
    <s v="February"/>
    <x v="2"/>
    <s v="Ujjain"/>
    <s v="Rahul Singh"/>
    <x v="0"/>
    <x v="0"/>
    <s v="Footwear"/>
    <s v="Puma Sneakers"/>
    <x v="1"/>
    <s v="Delivered"/>
    <n v="8"/>
    <n v="4499"/>
    <n v="0.15"/>
    <n v="2910"/>
    <n v="35991.85"/>
    <n v="23280"/>
    <n v="12711.849999999999"/>
    <n v="0.35318690203476616"/>
  </r>
  <r>
    <s v="ORD-114739"/>
    <x v="35"/>
    <x v="0"/>
    <s v="February"/>
    <x v="2"/>
    <s v="Indore"/>
    <s v="Imran Sheikh"/>
    <x v="1"/>
    <x v="4"/>
    <s v="Fitness Equipment"/>
    <s v="Dumbbell Set"/>
    <x v="1"/>
    <s v="Delivered"/>
    <n v="32"/>
    <n v="3499"/>
    <n v="0.18"/>
    <n v="2190"/>
    <n v="111967.82"/>
    <n v="70080"/>
    <n v="41887.820000000007"/>
    <n v="0.37410588149345059"/>
  </r>
  <r>
    <s v="ORD-114020"/>
    <x v="36"/>
    <x v="0"/>
    <s v="February"/>
    <x v="1"/>
    <s v="Pune"/>
    <s v="Kartik Raman"/>
    <x v="1"/>
    <x v="4"/>
    <s v="Fitness Equipment"/>
    <s v="Yoga Mat"/>
    <x v="2"/>
    <s v="Cancelled"/>
    <n v="13"/>
    <n v="1299"/>
    <n v="0.05"/>
    <n v="720"/>
    <n v="16886.95"/>
    <n v="9360"/>
    <n v="7526.9500000000007"/>
    <n v="0.44572584155220452"/>
  </r>
  <r>
    <s v="ORD-114102"/>
    <x v="36"/>
    <x v="0"/>
    <s v="February"/>
    <x v="0"/>
    <s v="Ranchi"/>
    <s v="Imran Sheikh"/>
    <x v="0"/>
    <x v="3"/>
    <s v="Refrigerators"/>
    <s v="Lg 260L Double Door"/>
    <x v="0"/>
    <s v="Delivered"/>
    <n v="9"/>
    <n v="29010"/>
    <n v="0.18"/>
    <n v="19100"/>
    <n v="261089.82"/>
    <n v="171900"/>
    <n v="89189.82"/>
    <n v="0.34160588873208464"/>
  </r>
  <r>
    <s v="ORD-114095"/>
    <x v="37"/>
    <x v="0"/>
    <s v="February"/>
    <x v="1"/>
    <s v="Mumbai"/>
    <s v="Imran Sheikh"/>
    <x v="1"/>
    <x v="3"/>
    <s v="Refrigerators"/>
    <s v="Whirlpool 265L Refrigerator"/>
    <x v="2"/>
    <s v="Delivered"/>
    <n v="6"/>
    <n v="27890"/>
    <n v="0.12"/>
    <n v="18800"/>
    <n v="167339.88"/>
    <n v="112800"/>
    <n v="54539.880000000005"/>
    <n v="0.32592278660651602"/>
  </r>
  <r>
    <s v="ORD-114243"/>
    <x v="37"/>
    <x v="0"/>
    <s v="February"/>
    <x v="2"/>
    <s v="Bhopal"/>
    <s v="Sourav Das"/>
    <x v="2"/>
    <x v="3"/>
    <s v="Refrigerators"/>
    <s v="Whirlpool 265L Refrigerator"/>
    <x v="1"/>
    <s v="Pending"/>
    <n v="23"/>
    <n v="27890"/>
    <n v="0.05"/>
    <n v="18800"/>
    <n v="641469.94999999995"/>
    <n v="432400"/>
    <n v="209069.94999999995"/>
    <n v="0.32592321744767616"/>
  </r>
  <r>
    <s v="ORD-114070"/>
    <x v="38"/>
    <x v="0"/>
    <s v="February"/>
    <x v="4"/>
    <s v="Chennai"/>
    <s v="Aditya Verma"/>
    <x v="2"/>
    <x v="0"/>
    <s v="Apparel"/>
    <s v="Denim Jeans"/>
    <x v="0"/>
    <s v="Pending"/>
    <n v="39"/>
    <n v="2499"/>
    <n v="0.1"/>
    <n v="1510"/>
    <n v="97460.9"/>
    <n v="58890"/>
    <n v="38570.899999999994"/>
    <n v="0.39575768333762562"/>
  </r>
  <r>
    <s v="ORD-114463"/>
    <x v="39"/>
    <x v="0"/>
    <s v="February"/>
    <x v="4"/>
    <s v="Chennai"/>
    <s v="Rahul Singh"/>
    <x v="1"/>
    <x v="3"/>
    <s v="Kitchen Appliances"/>
    <s v="Prestige Mixer Grinder"/>
    <x v="0"/>
    <s v="Delivered"/>
    <n v="10"/>
    <n v="4680"/>
    <n v="0.2"/>
    <n v="3250"/>
    <n v="46799.8"/>
    <n v="32500"/>
    <n v="14299.800000000003"/>
    <n v="0.30555258783157196"/>
  </r>
  <r>
    <s v="ORD-114129"/>
    <x v="40"/>
    <x v="0"/>
    <s v="February"/>
    <x v="1"/>
    <s v="Surat"/>
    <s v="Imran Sheikh"/>
    <x v="0"/>
    <x v="0"/>
    <s v="Apparel"/>
    <s v="Men'S Casual Shirt"/>
    <x v="0"/>
    <s v="Delivered"/>
    <n v="23"/>
    <n v="1899"/>
    <n v="0.12"/>
    <n v="1080"/>
    <n v="43676.88"/>
    <n v="24840"/>
    <n v="18836.879999999997"/>
    <n v="0.43127805832284721"/>
  </r>
  <r>
    <s v="ORD-114012"/>
    <x v="41"/>
    <x v="0"/>
    <s v="February"/>
    <x v="1"/>
    <s v="Mumbai"/>
    <s v="Sourav Das"/>
    <x v="0"/>
    <x v="4"/>
    <s v="Fitness Equipment"/>
    <s v="Resistance Bands"/>
    <x v="2"/>
    <s v="Pending"/>
    <n v="1"/>
    <n v="999"/>
    <n v="0.18"/>
    <n v="540"/>
    <n v="998.82"/>
    <n v="540"/>
    <n v="458.82000000000005"/>
    <n v="0.45936204721571455"/>
  </r>
  <r>
    <s v="ORD-114135"/>
    <x v="41"/>
    <x v="0"/>
    <s v="February"/>
    <x v="1"/>
    <s v="Mumbai"/>
    <s v="Sourav Das"/>
    <x v="0"/>
    <x v="1"/>
    <s v="Tables"/>
    <s v="Study Table"/>
    <x v="1"/>
    <s v="Delivered"/>
    <n v="33"/>
    <n v="6999"/>
    <n v="0.18"/>
    <n v="4320"/>
    <n v="230966.82"/>
    <n v="142560"/>
    <n v="88406.82"/>
    <n v="0.3827684859669454"/>
  </r>
  <r>
    <s v="ORD-114254"/>
    <x v="41"/>
    <x v="0"/>
    <s v="February"/>
    <x v="4"/>
    <s v="Kochi"/>
    <s v="Neha Deshpande"/>
    <x v="0"/>
    <x v="0"/>
    <s v="Footwear"/>
    <s v="Adidas Sports Shoes"/>
    <x v="2"/>
    <s v="Delivered"/>
    <n v="26"/>
    <n v="5999"/>
    <n v="0.1"/>
    <n v="3890"/>
    <n v="155973.9"/>
    <n v="101140"/>
    <n v="54833.899999999994"/>
    <n v="0.35155817736172523"/>
  </r>
  <r>
    <s v="ORD-114267"/>
    <x v="41"/>
    <x v="0"/>
    <s v="February"/>
    <x v="1"/>
    <s v="Mumbai"/>
    <s v="Rahul Singh"/>
    <x v="2"/>
    <x v="0"/>
    <s v="Apparel"/>
    <s v="Denim Jeans"/>
    <x v="2"/>
    <s v="Pending"/>
    <n v="26"/>
    <n v="2499"/>
    <n v="0.15"/>
    <n v="1510"/>
    <n v="64973.85"/>
    <n v="39260"/>
    <n v="25713.85"/>
    <n v="0.39575690835620791"/>
  </r>
  <r>
    <s v="ORD-114383"/>
    <x v="41"/>
    <x v="0"/>
    <s v="February"/>
    <x v="4"/>
    <s v="Hyderabad"/>
    <s v="Neha Deshpande"/>
    <x v="0"/>
    <x v="4"/>
    <s v="Fitness Equipment"/>
    <s v="Resistance Bands"/>
    <x v="1"/>
    <s v="Delivered"/>
    <n v="22"/>
    <n v="999"/>
    <n v="0.08"/>
    <n v="540"/>
    <n v="21977.919999999998"/>
    <n v="11880"/>
    <n v="10097.919999999998"/>
    <n v="0.4594574918827623"/>
  </r>
  <r>
    <s v="ORD-114087"/>
    <x v="42"/>
    <x v="0"/>
    <s v="March"/>
    <x v="4"/>
    <s v="Chennai"/>
    <s v="Rahul Singh"/>
    <x v="2"/>
    <x v="2"/>
    <s v="Audio Devices"/>
    <s v="Jbl Tune 510Bt"/>
    <x v="1"/>
    <s v="Delivered"/>
    <n v="8"/>
    <n v="3299"/>
    <n v="0.12"/>
    <n v="2050"/>
    <n v="26391.88"/>
    <n v="16400"/>
    <n v="9991.880000000001"/>
    <n v="0.37859675021256539"/>
  </r>
  <r>
    <s v="ORD-114170"/>
    <x v="42"/>
    <x v="0"/>
    <s v="March"/>
    <x v="0"/>
    <s v="Bhubaneswar"/>
    <s v="Aditya Verma"/>
    <x v="1"/>
    <x v="2"/>
    <s v="Audio Devices"/>
    <s v="Boat Airdopes 131"/>
    <x v="2"/>
    <s v="Pending"/>
    <n v="25"/>
    <n v="1930"/>
    <n v="0.15"/>
    <n v="1120"/>
    <n v="48249.85"/>
    <n v="28000"/>
    <n v="20249.849999999999"/>
    <n v="0.41968731509009871"/>
  </r>
  <r>
    <s v="ORD-114676"/>
    <x v="42"/>
    <x v="0"/>
    <s v="March"/>
    <x v="0"/>
    <s v="Ranchi"/>
    <s v="Simran Kaur"/>
    <x v="2"/>
    <x v="4"/>
    <s v="Fitness Equipment"/>
    <s v="Yoga Mat"/>
    <x v="0"/>
    <s v="Delivered"/>
    <n v="2"/>
    <n v="1299"/>
    <n v="0.18"/>
    <n v="720"/>
    <n v="2597.8200000000002"/>
    <n v="1440"/>
    <n v="1157.8200000000002"/>
    <n v="0.44568907776520317"/>
  </r>
  <r>
    <s v="ORD-114607"/>
    <x v="43"/>
    <x v="0"/>
    <s v="March"/>
    <x v="3"/>
    <s v="Delhi"/>
    <s v="Imran Sheikh"/>
    <x v="1"/>
    <x v="2"/>
    <s v="Audio Devices"/>
    <s v="Sony Wh-Ch520"/>
    <x v="1"/>
    <s v="Pending"/>
    <n v="8"/>
    <n v="4490"/>
    <n v="0.18"/>
    <n v="2950"/>
    <n v="35919.82"/>
    <n v="23600"/>
    <n v="12319.82"/>
    <n v="0.34298111738867287"/>
  </r>
  <r>
    <s v="ORD-114669"/>
    <x v="43"/>
    <x v="0"/>
    <s v="March"/>
    <x v="1"/>
    <s v="Mumbai"/>
    <s v="Imran Sheikh"/>
    <x v="2"/>
    <x v="1"/>
    <s v="Sofas"/>
    <s v="L-Shape Sofa"/>
    <x v="2"/>
    <s v="Delivered"/>
    <n v="31"/>
    <n v="52990"/>
    <n v="0.18"/>
    <n v="35100"/>
    <n v="1642689.82"/>
    <n v="1088100"/>
    <n v="554589.82000000007"/>
    <n v="0.33761079739326566"/>
  </r>
  <r>
    <s v="ORD-114079"/>
    <x v="44"/>
    <x v="0"/>
    <s v="March"/>
    <x v="0"/>
    <s v="Ranchi"/>
    <s v="Ritika Ghosh"/>
    <x v="1"/>
    <x v="3"/>
    <s v="Washing Machines"/>
    <s v="Ifb 7Kg Washing Machine"/>
    <x v="0"/>
    <s v="Pending"/>
    <n v="19"/>
    <n v="31990"/>
    <n v="0.12"/>
    <n v="21800"/>
    <n v="607809.88"/>
    <n v="414200"/>
    <n v="193609.88"/>
    <n v="0.31853690828454451"/>
  </r>
  <r>
    <s v="ORD-114176"/>
    <x v="44"/>
    <x v="0"/>
    <s v="March"/>
    <x v="2"/>
    <s v="Bhopal"/>
    <s v="Anjali Mehta"/>
    <x v="2"/>
    <x v="4"/>
    <s v="Fitness Equipment"/>
    <s v="Yoga Mat"/>
    <x v="2"/>
    <s v="Pending"/>
    <n v="4"/>
    <n v="1299"/>
    <n v="0.2"/>
    <n v="720"/>
    <n v="5195.8"/>
    <n v="2880"/>
    <n v="2315.8000000000002"/>
    <n v="0.44570614727279728"/>
  </r>
  <r>
    <s v="ORD-114374"/>
    <x v="44"/>
    <x v="0"/>
    <s v="March"/>
    <x v="3"/>
    <s v="Chandigarh"/>
    <s v="Aditya Verma"/>
    <x v="2"/>
    <x v="3"/>
    <s v="Kitchen Appliances"/>
    <s v="Bajaj Otg"/>
    <x v="1"/>
    <s v="Pending"/>
    <n v="33"/>
    <n v="5890"/>
    <n v="0.08"/>
    <n v="3980"/>
    <n v="194369.92000000001"/>
    <n v="131340"/>
    <n v="63029.920000000013"/>
    <n v="0.32427815991280962"/>
  </r>
  <r>
    <s v="ORD-114092"/>
    <x v="45"/>
    <x v="0"/>
    <s v="March"/>
    <x v="3"/>
    <s v="Lucknow"/>
    <s v="Simran Kaur"/>
    <x v="2"/>
    <x v="0"/>
    <s v="Apparel"/>
    <s v="Denim Jeans"/>
    <x v="0"/>
    <s v="Delivered"/>
    <n v="32"/>
    <n v="2499"/>
    <n v="0.05"/>
    <n v="1510"/>
    <n v="79967.95"/>
    <n v="48320"/>
    <n v="31647.949999999997"/>
    <n v="0.39575792551891098"/>
  </r>
  <r>
    <s v="ORD-114145"/>
    <x v="46"/>
    <x v="0"/>
    <s v="March"/>
    <x v="1"/>
    <s v="Pune"/>
    <s v="Imran Sheikh"/>
    <x v="2"/>
    <x v="2"/>
    <s v="Mobiles"/>
    <s v="Iphone 13"/>
    <x v="2"/>
    <s v="Returned"/>
    <n v="22"/>
    <n v="52990"/>
    <n v="0.2"/>
    <n v="39500"/>
    <n v="1165779.8"/>
    <n v="869000"/>
    <n v="296779.80000000005"/>
    <n v="0.2545762072734491"/>
  </r>
  <r>
    <s v="ORD-114317"/>
    <x v="46"/>
    <x v="0"/>
    <s v="March"/>
    <x v="0"/>
    <s v="Kolkata"/>
    <s v="Imran Sheikh"/>
    <x v="2"/>
    <x v="1"/>
    <s v="Tables"/>
    <s v="6-Seater Dining Table"/>
    <x v="1"/>
    <s v="Delivered"/>
    <n v="29"/>
    <n v="25110"/>
    <n v="0.2"/>
    <n v="16730"/>
    <n v="728189.8"/>
    <n v="485170"/>
    <n v="243019.80000000005"/>
    <n v="0.33373139805034352"/>
  </r>
  <r>
    <s v="ORD-114635"/>
    <x v="46"/>
    <x v="0"/>
    <s v="March"/>
    <x v="4"/>
    <s v="Kochi"/>
    <s v="Neha Deshpande"/>
    <x v="1"/>
    <x v="0"/>
    <s v="Footwear"/>
    <s v="Puma Sneakers"/>
    <x v="2"/>
    <s v="Delivered"/>
    <n v="13"/>
    <n v="4499"/>
    <n v="0.1"/>
    <n v="2910"/>
    <n v="58486.9"/>
    <n v="37830"/>
    <n v="20656.900000000001"/>
    <n v="0.35318849178192041"/>
  </r>
  <r>
    <s v="ORD-114033"/>
    <x v="47"/>
    <x v="0"/>
    <s v="March"/>
    <x v="0"/>
    <s v="Patna"/>
    <s v="Rahul Singh"/>
    <x v="1"/>
    <x v="2"/>
    <s v="Audio Devices"/>
    <s v="Jbl Tune 510Bt"/>
    <x v="2"/>
    <s v="Delivered"/>
    <n v="1"/>
    <n v="3299"/>
    <n v="0.1"/>
    <n v="2050"/>
    <n v="3298.9"/>
    <n v="2050"/>
    <n v="1248.9000000000001"/>
    <n v="0.37858073903422357"/>
  </r>
  <r>
    <s v="ORD-114131"/>
    <x v="47"/>
    <x v="0"/>
    <s v="March"/>
    <x v="0"/>
    <s v="Ranchi"/>
    <s v="Anjali Mehta"/>
    <x v="0"/>
    <x v="1"/>
    <s v="Sofas"/>
    <s v="Single Seater Recliner"/>
    <x v="1"/>
    <s v="Cancelled"/>
    <n v="28"/>
    <n v="43500"/>
    <n v="0.08"/>
    <n v="29520"/>
    <n v="1217999.92"/>
    <n v="826560"/>
    <n v="391439.91999999993"/>
    <n v="0.32137926577203713"/>
  </r>
  <r>
    <s v="ORD-114182"/>
    <x v="47"/>
    <x v="0"/>
    <s v="March"/>
    <x v="1"/>
    <s v="Pune"/>
    <s v="Neha Deshpande"/>
    <x v="2"/>
    <x v="3"/>
    <s v="Washing Machines"/>
    <s v="Ifb 7Kg Washing Machine"/>
    <x v="2"/>
    <s v="Returned"/>
    <n v="23"/>
    <n v="31990"/>
    <n v="0.12"/>
    <n v="21800"/>
    <n v="735769.88"/>
    <n v="501400"/>
    <n v="234369.88"/>
    <n v="0.31853693168304198"/>
  </r>
  <r>
    <s v="ORD-114727"/>
    <x v="47"/>
    <x v="0"/>
    <s v="March"/>
    <x v="1"/>
    <s v="Mumbai"/>
    <s v="Aditya Verma"/>
    <x v="2"/>
    <x v="3"/>
    <s v="Kitchen Appliances"/>
    <s v="Philips Air Fryer"/>
    <x v="2"/>
    <s v="Returned"/>
    <n v="32"/>
    <n v="7299"/>
    <n v="0.12"/>
    <n v="5010"/>
    <n v="233567.88"/>
    <n v="160320"/>
    <n v="73247.88"/>
    <n v="0.31360425072146053"/>
  </r>
  <r>
    <s v="ORD-114469"/>
    <x v="48"/>
    <x v="0"/>
    <s v="March"/>
    <x v="1"/>
    <s v="Surat"/>
    <s v="Aditya Verma"/>
    <x v="0"/>
    <x v="1"/>
    <s v="Sofas"/>
    <s v="3-Seater Sofa"/>
    <x v="2"/>
    <s v="Cancelled"/>
    <n v="12"/>
    <n v="38990"/>
    <n v="0.15"/>
    <n v="25400"/>
    <n v="467879.85"/>
    <n v="304800"/>
    <n v="163079.84999999998"/>
    <n v="0.34855070163846547"/>
  </r>
  <r>
    <s v="ORD-114399"/>
    <x v="49"/>
    <x v="0"/>
    <s v="March"/>
    <x v="2"/>
    <s v="Bhopal"/>
    <s v="Kartik Raman"/>
    <x v="0"/>
    <x v="0"/>
    <s v="Footwear"/>
    <s v="Adidas Sports Shoes"/>
    <x v="2"/>
    <s v="Delivered"/>
    <n v="19"/>
    <n v="5999"/>
    <n v="0.12"/>
    <n v="3890"/>
    <n v="113980.88"/>
    <n v="73910"/>
    <n v="40070.880000000005"/>
    <n v="0.3515579104144485"/>
  </r>
  <r>
    <s v="ORD-114690"/>
    <x v="49"/>
    <x v="0"/>
    <s v="March"/>
    <x v="2"/>
    <s v="Bhopal"/>
    <s v="Anjali Mehta"/>
    <x v="0"/>
    <x v="2"/>
    <s v="Laptops"/>
    <s v="Dell Inspiron 3511"/>
    <x v="2"/>
    <s v="Cancelled"/>
    <n v="15"/>
    <n v="55230"/>
    <n v="0.18"/>
    <n v="33800"/>
    <n v="828449.82"/>
    <n v="507000"/>
    <n v="321449.81999999995"/>
    <n v="0.38801362766908437"/>
  </r>
  <r>
    <s v="ORD-114271"/>
    <x v="50"/>
    <x v="0"/>
    <s v="March"/>
    <x v="1"/>
    <s v="Ahmedabad"/>
    <s v="Anjali Mehta"/>
    <x v="1"/>
    <x v="1"/>
    <s v="Sofas"/>
    <s v="L-Shape Sofa"/>
    <x v="1"/>
    <s v="Delivered"/>
    <n v="1"/>
    <n v="52990"/>
    <n v="0.12"/>
    <n v="35100"/>
    <n v="52989.88"/>
    <n v="35100"/>
    <n v="17889.879999999997"/>
    <n v="0.33760936994007157"/>
  </r>
  <r>
    <s v="ORD-114195"/>
    <x v="51"/>
    <x v="0"/>
    <s v="March"/>
    <x v="0"/>
    <s v="Patna"/>
    <s v="Anjali Mehta"/>
    <x v="0"/>
    <x v="3"/>
    <s v="Washing Machines"/>
    <s v="Ifb 7Kg Washing Machine"/>
    <x v="0"/>
    <s v="Cancelled"/>
    <n v="4"/>
    <n v="31990"/>
    <n v="0.18"/>
    <n v="21800"/>
    <n v="127959.82"/>
    <n v="87200"/>
    <n v="40759.820000000007"/>
    <n v="0.31853608421768648"/>
  </r>
  <r>
    <s v="ORD-114201"/>
    <x v="51"/>
    <x v="0"/>
    <s v="March"/>
    <x v="3"/>
    <s v="Chandigarh"/>
    <s v="Aditya Verma"/>
    <x v="1"/>
    <x v="2"/>
    <s v="Mobiles"/>
    <s v="Samsung Galaxy M34"/>
    <x v="0"/>
    <s v="Cancelled"/>
    <n v="7"/>
    <n v="22999"/>
    <n v="0.18"/>
    <n v="15100"/>
    <n v="160992.82"/>
    <n v="105700"/>
    <n v="55292.820000000007"/>
    <n v="0.34344898114089811"/>
  </r>
  <r>
    <s v="ORD-114377"/>
    <x v="51"/>
    <x v="0"/>
    <s v="March"/>
    <x v="3"/>
    <s v="Lucknow"/>
    <s v="Sourav Das"/>
    <x v="2"/>
    <x v="2"/>
    <s v="Audio Devices"/>
    <s v="Sony Wh-Ch520"/>
    <x v="2"/>
    <s v="Pending"/>
    <n v="39"/>
    <n v="4490"/>
    <n v="0.18"/>
    <n v="2950"/>
    <n v="175109.82"/>
    <n v="115050"/>
    <n v="60059.820000000007"/>
    <n v="0.34298373443591001"/>
  </r>
  <r>
    <s v="ORD-114382"/>
    <x v="51"/>
    <x v="0"/>
    <s v="March"/>
    <x v="3"/>
    <s v="Lucknow"/>
    <s v="Neha Deshpande"/>
    <x v="2"/>
    <x v="1"/>
    <s v="Sofas"/>
    <s v="L-Shape Sofa"/>
    <x v="1"/>
    <s v="Delivered"/>
    <n v="3"/>
    <n v="52990"/>
    <n v="0.05"/>
    <n v="35100"/>
    <n v="158969.95000000001"/>
    <n v="105300"/>
    <n v="53669.950000000012"/>
    <n v="0.33761066163762399"/>
  </r>
  <r>
    <s v="ORD-114154"/>
    <x v="52"/>
    <x v="0"/>
    <s v="March"/>
    <x v="4"/>
    <s v="Bengaluru"/>
    <s v="Neha Deshpande"/>
    <x v="1"/>
    <x v="1"/>
    <s v="Tables"/>
    <s v="6-Seater Dining Table"/>
    <x v="1"/>
    <s v="Delivered"/>
    <n v="31"/>
    <n v="25110"/>
    <n v="0.18"/>
    <n v="16730"/>
    <n v="778409.82"/>
    <n v="518630"/>
    <n v="259779.81999999995"/>
    <n v="0.33373142697506047"/>
  </r>
  <r>
    <s v="ORD-114361"/>
    <x v="52"/>
    <x v="0"/>
    <s v="March"/>
    <x v="0"/>
    <s v="Ranchi"/>
    <s v="Anjali Mehta"/>
    <x v="2"/>
    <x v="3"/>
    <s v="Kitchen Appliances"/>
    <s v="Bajaj Otg"/>
    <x v="2"/>
    <s v="Returned"/>
    <n v="21"/>
    <n v="5890"/>
    <n v="0.18"/>
    <n v="3980"/>
    <n v="123689.82"/>
    <n v="83580"/>
    <n v="40109.820000000007"/>
    <n v="0.32427745468462971"/>
  </r>
  <r>
    <s v="ORD-114157"/>
    <x v="53"/>
    <x v="0"/>
    <s v="March"/>
    <x v="1"/>
    <s v="Mumbai"/>
    <s v="Ritika Ghosh"/>
    <x v="0"/>
    <x v="4"/>
    <s v="Fitness Equipment"/>
    <s v="Resistance Bands"/>
    <x v="0"/>
    <s v="Pending"/>
    <n v="16"/>
    <n v="999"/>
    <n v="0.18"/>
    <n v="540"/>
    <n v="15983.82"/>
    <n v="8640"/>
    <n v="7343.82"/>
    <n v="0.45945337222266014"/>
  </r>
  <r>
    <s v="ORD-114167"/>
    <x v="53"/>
    <x v="0"/>
    <s v="March"/>
    <x v="0"/>
    <s v="Kolkata"/>
    <s v="Ritika Ghosh"/>
    <x v="2"/>
    <x v="0"/>
    <s v="Apparel"/>
    <s v="Denim Jeans"/>
    <x v="0"/>
    <s v="Returned"/>
    <n v="11"/>
    <n v="2499"/>
    <n v="0.05"/>
    <n v="1510"/>
    <n v="27488.95"/>
    <n v="16610"/>
    <n v="10878.95"/>
    <n v="0.39575720425843841"/>
  </r>
  <r>
    <s v="ORD-114088"/>
    <x v="54"/>
    <x v="0"/>
    <s v="March"/>
    <x v="4"/>
    <s v="Kochi"/>
    <s v="Rahul Singh"/>
    <x v="2"/>
    <x v="1"/>
    <s v="Sofas"/>
    <s v="3-Seater Sofa"/>
    <x v="2"/>
    <s v="Delivered"/>
    <n v="30"/>
    <n v="38990"/>
    <n v="0.15"/>
    <n v="25400"/>
    <n v="1169699.8500000001"/>
    <n v="762000"/>
    <n v="407699.85000000009"/>
    <n v="0.34855082694932382"/>
  </r>
  <r>
    <s v="ORD-114475"/>
    <x v="54"/>
    <x v="0"/>
    <s v="March"/>
    <x v="0"/>
    <s v="Bhubaneswar"/>
    <s v="Kartik Raman"/>
    <x v="0"/>
    <x v="0"/>
    <s v="Footwear"/>
    <s v="Adidas Sports Shoes"/>
    <x v="0"/>
    <s v="Delivered"/>
    <n v="30"/>
    <n v="5999"/>
    <n v="0.18"/>
    <n v="3890"/>
    <n v="179969.82"/>
    <n v="116700"/>
    <n v="63269.820000000007"/>
    <n v="0.35155794454870271"/>
  </r>
  <r>
    <s v="ORD-114548"/>
    <x v="54"/>
    <x v="0"/>
    <s v="March"/>
    <x v="2"/>
    <s v="Indore"/>
    <s v="Sourav Das"/>
    <x v="2"/>
    <x v="0"/>
    <s v="Footwear"/>
    <s v="Nike Running Shoes"/>
    <x v="2"/>
    <s v="Pending"/>
    <n v="10"/>
    <n v="6499"/>
    <n v="0.08"/>
    <n v="4210"/>
    <n v="64989.919999999998"/>
    <n v="42100"/>
    <n v="22889.919999999998"/>
    <n v="0.3522072345988424"/>
  </r>
  <r>
    <s v="ORD-114599"/>
    <x v="54"/>
    <x v="0"/>
    <s v="March"/>
    <x v="0"/>
    <s v="Ranchi"/>
    <s v="Rahul Singh"/>
    <x v="2"/>
    <x v="3"/>
    <s v="Washing Machines"/>
    <s v="Samsung 7Kg Washing Machine"/>
    <x v="0"/>
    <s v="Delivered"/>
    <n v="22"/>
    <n v="32800"/>
    <n v="0.05"/>
    <n v="23100"/>
    <n v="721599.95"/>
    <n v="508200"/>
    <n v="213399.94999999995"/>
    <n v="0.29573165851799182"/>
  </r>
  <r>
    <s v="ORD-114715"/>
    <x v="54"/>
    <x v="0"/>
    <s v="March"/>
    <x v="3"/>
    <s v="Jaipur"/>
    <s v="Kartik Raman"/>
    <x v="0"/>
    <x v="2"/>
    <s v="Mobiles"/>
    <s v="Iphone 13"/>
    <x v="2"/>
    <s v="Cancelled"/>
    <n v="16"/>
    <n v="52990"/>
    <n v="0.1"/>
    <n v="39500"/>
    <n v="847839.9"/>
    <n v="632000"/>
    <n v="215839.90000000002"/>
    <n v="0.25457624723724376"/>
  </r>
  <r>
    <s v="ORD-114649"/>
    <x v="55"/>
    <x v="0"/>
    <s v="March"/>
    <x v="3"/>
    <s v="Delhi"/>
    <s v="Sourav Das"/>
    <x v="1"/>
    <x v="1"/>
    <s v="Tables"/>
    <s v="6-Seater Dining Table"/>
    <x v="1"/>
    <s v="Delivered"/>
    <n v="8"/>
    <n v="25110"/>
    <n v="0.18"/>
    <n v="16730"/>
    <n v="200879.82"/>
    <n v="133840"/>
    <n v="67039.820000000007"/>
    <n v="0.33373098402816176"/>
  </r>
  <r>
    <s v="ORD-114078"/>
    <x v="56"/>
    <x v="0"/>
    <s v="March"/>
    <x v="1"/>
    <s v="Mumbai"/>
    <s v="Aditya Verma"/>
    <x v="0"/>
    <x v="4"/>
    <s v="Fitness Equipment"/>
    <s v="Dumbbell Set"/>
    <x v="1"/>
    <s v="Pending"/>
    <n v="15"/>
    <n v="3499"/>
    <n v="0.18"/>
    <n v="2190"/>
    <n v="52484.82"/>
    <n v="32850"/>
    <n v="19634.82"/>
    <n v="0.37410474114229597"/>
  </r>
  <r>
    <s v="ORD-114470"/>
    <x v="56"/>
    <x v="0"/>
    <s v="March"/>
    <x v="2"/>
    <s v="Indore"/>
    <s v="Ritika Ghosh"/>
    <x v="2"/>
    <x v="1"/>
    <s v="Tables"/>
    <s v="Office Work Table"/>
    <x v="2"/>
    <s v="Cancelled"/>
    <n v="13"/>
    <n v="12490"/>
    <n v="0.08"/>
    <n v="7900"/>
    <n v="162369.92000000001"/>
    <n v="102700"/>
    <n v="59669.920000000013"/>
    <n v="0.36749368355912232"/>
  </r>
  <r>
    <s v="ORD-114707"/>
    <x v="57"/>
    <x v="0"/>
    <s v="March"/>
    <x v="2"/>
    <s v="Raipur"/>
    <s v="Imran Sheikh"/>
    <x v="2"/>
    <x v="2"/>
    <s v="Audio Devices"/>
    <s v="Boat Airdopes 131"/>
    <x v="2"/>
    <s v="Cancelled"/>
    <n v="10"/>
    <n v="1930"/>
    <n v="0.08"/>
    <n v="1120"/>
    <n v="19299.919999999998"/>
    <n v="11200"/>
    <n v="8099.9199999999983"/>
    <n v="0.41968671372731076"/>
  </r>
  <r>
    <s v="ORD-114735"/>
    <x v="57"/>
    <x v="0"/>
    <s v="March"/>
    <x v="1"/>
    <s v="Ahmedabad"/>
    <s v="Rahul Singh"/>
    <x v="2"/>
    <x v="1"/>
    <s v="Sofas"/>
    <s v="3-Seater Sofa"/>
    <x v="1"/>
    <s v="Delivered"/>
    <n v="32"/>
    <n v="38990"/>
    <n v="0.2"/>
    <n v="25400"/>
    <n v="1247679.8"/>
    <n v="812800"/>
    <n v="434879.80000000005"/>
    <n v="0.34855080606418409"/>
  </r>
  <r>
    <s v="ORD-114210"/>
    <x v="58"/>
    <x v="0"/>
    <s v="March"/>
    <x v="2"/>
    <s v="Bhopal"/>
    <s v="Ritika Ghosh"/>
    <x v="2"/>
    <x v="1"/>
    <s v="Sofas"/>
    <s v="L-Shape Sofa"/>
    <x v="1"/>
    <s v="Delivered"/>
    <n v="9"/>
    <n v="52990"/>
    <n v="0.12"/>
    <n v="35100"/>
    <n v="476909.88"/>
    <n v="315900"/>
    <n v="161009.88"/>
    <n v="0.3376107033052031"/>
  </r>
  <r>
    <s v="ORD-114256"/>
    <x v="58"/>
    <x v="0"/>
    <s v="March"/>
    <x v="1"/>
    <s v="Ahmedabad"/>
    <s v="Ritika Ghosh"/>
    <x v="0"/>
    <x v="0"/>
    <s v="Footwear"/>
    <s v="Puma Sneakers"/>
    <x v="2"/>
    <s v="Delivered"/>
    <n v="17"/>
    <n v="4499"/>
    <n v="0.18"/>
    <n v="2910"/>
    <n v="76482.820000000007"/>
    <n v="49470"/>
    <n v="27012.820000000007"/>
    <n v="0.35318807543968705"/>
  </r>
  <r>
    <s v="ORD-114283"/>
    <x v="59"/>
    <x v="0"/>
    <s v="March"/>
    <x v="4"/>
    <s v="Kochi"/>
    <s v="Neha Deshpande"/>
    <x v="2"/>
    <x v="2"/>
    <s v="Laptops"/>
    <s v="Hp 15S"/>
    <x v="0"/>
    <s v="Cancelled"/>
    <n v="2"/>
    <n v="48500"/>
    <n v="0.05"/>
    <n v="30200"/>
    <n v="96999.95"/>
    <n v="60400"/>
    <n v="36599.949999999997"/>
    <n v="0.37731926665941579"/>
  </r>
  <r>
    <s v="ORD-114631"/>
    <x v="59"/>
    <x v="0"/>
    <s v="March"/>
    <x v="1"/>
    <s v="Ahmedabad"/>
    <s v="Neha Deshpande"/>
    <x v="2"/>
    <x v="0"/>
    <s v="Footwear"/>
    <s v="Nike Running Shoes"/>
    <x v="0"/>
    <s v="Delivered"/>
    <n v="35"/>
    <n v="6499"/>
    <n v="0.08"/>
    <n v="4210"/>
    <n v="227464.92"/>
    <n v="147350"/>
    <n v="80114.920000000013"/>
    <n v="0.35220780417481523"/>
  </r>
  <r>
    <s v="ORD-114011"/>
    <x v="60"/>
    <x v="0"/>
    <s v="March"/>
    <x v="1"/>
    <s v="Ahmedabad"/>
    <s v="Aditya Verma"/>
    <x v="1"/>
    <x v="4"/>
    <s v="Fitness Equipment"/>
    <s v="Yoga Mat"/>
    <x v="1"/>
    <s v="Delivered"/>
    <n v="10"/>
    <n v="1299"/>
    <n v="0.18"/>
    <n v="720"/>
    <n v="12989.82"/>
    <n v="7200"/>
    <n v="5789.82"/>
    <n v="0.44571980212196932"/>
  </r>
  <r>
    <s v="ORD-114184"/>
    <x v="60"/>
    <x v="0"/>
    <s v="March"/>
    <x v="0"/>
    <s v="Patna"/>
    <s v="Imran Sheikh"/>
    <x v="0"/>
    <x v="3"/>
    <s v="Kitchen Appliances"/>
    <s v="Philips Air Fryer"/>
    <x v="0"/>
    <s v="Returned"/>
    <n v="21"/>
    <n v="7299"/>
    <n v="0.08"/>
    <n v="5010"/>
    <n v="153278.92000000001"/>
    <n v="105210"/>
    <n v="48068.920000000013"/>
    <n v="0.3136042451238566"/>
  </r>
  <r>
    <s v="ORD-114403"/>
    <x v="61"/>
    <x v="0"/>
    <s v="March"/>
    <x v="3"/>
    <s v="Delhi"/>
    <s v="Pooja Chouhan"/>
    <x v="0"/>
    <x v="3"/>
    <s v="Kitchen Appliances"/>
    <s v="Bajaj Otg"/>
    <x v="1"/>
    <s v="Delivered"/>
    <n v="18"/>
    <n v="5890"/>
    <n v="0.2"/>
    <n v="3980"/>
    <n v="106019.8"/>
    <n v="71640"/>
    <n v="34379.800000000003"/>
    <n v="0.32427716332232281"/>
  </r>
  <r>
    <s v="ORD-114708"/>
    <x v="61"/>
    <x v="0"/>
    <s v="March"/>
    <x v="0"/>
    <s v="Patna"/>
    <s v="Sourav Das"/>
    <x v="0"/>
    <x v="2"/>
    <s v="Audio Devices"/>
    <s v="Boat Airdopes 131"/>
    <x v="2"/>
    <s v="Delivered"/>
    <n v="19"/>
    <n v="1930"/>
    <n v="0.18"/>
    <n v="1120"/>
    <n v="36669.82"/>
    <n v="21280"/>
    <n v="15389.82"/>
    <n v="0.41968627061709057"/>
  </r>
  <r>
    <s v="ORD-114059"/>
    <x v="62"/>
    <x v="0"/>
    <s v="March"/>
    <x v="3"/>
    <s v="Chandigarh"/>
    <s v="Simran Kaur"/>
    <x v="2"/>
    <x v="1"/>
    <s v="Sofas"/>
    <s v="Single Seater Recliner"/>
    <x v="0"/>
    <s v="Pending"/>
    <n v="8"/>
    <n v="43500"/>
    <n v="0.2"/>
    <n v="29520"/>
    <n v="347999.8"/>
    <n v="236160"/>
    <n v="111839.79999999999"/>
    <n v="0.32137892033271281"/>
  </r>
  <r>
    <s v="ORD-114539"/>
    <x v="62"/>
    <x v="0"/>
    <s v="March"/>
    <x v="1"/>
    <s v="Pune"/>
    <s v="Kartik Raman"/>
    <x v="2"/>
    <x v="0"/>
    <s v="Apparel"/>
    <s v="Men'S Casual Shirt"/>
    <x v="2"/>
    <s v="Cancelled"/>
    <n v="31"/>
    <n v="1899"/>
    <n v="0.08"/>
    <n v="1080"/>
    <n v="58868.92"/>
    <n v="33480"/>
    <n v="25388.92"/>
    <n v="0.4312788479897372"/>
  </r>
  <r>
    <s v="ORD-114663"/>
    <x v="62"/>
    <x v="0"/>
    <s v="March"/>
    <x v="0"/>
    <s v="Patna"/>
    <s v="Kartik Raman"/>
    <x v="1"/>
    <x v="3"/>
    <s v="Refrigerators"/>
    <s v="Samsung 253L Refrigerator"/>
    <x v="0"/>
    <s v="Cancelled"/>
    <n v="29"/>
    <n v="31490"/>
    <n v="0.1"/>
    <n v="21300"/>
    <n v="913209.9"/>
    <n v="617700"/>
    <n v="295509.90000000002"/>
    <n v="0.32359471792848504"/>
  </r>
  <r>
    <s v="ORD-114670"/>
    <x v="62"/>
    <x v="0"/>
    <s v="March"/>
    <x v="0"/>
    <s v="Kolkata"/>
    <s v="Rahul Singh"/>
    <x v="1"/>
    <x v="4"/>
    <s v="Fitness Equipment"/>
    <s v="Yoga Mat"/>
    <x v="2"/>
    <s v="Cancelled"/>
    <n v="9"/>
    <n v="1299"/>
    <n v="0.1"/>
    <n v="720"/>
    <n v="11690.9"/>
    <n v="6480"/>
    <n v="5210.8999999999996"/>
    <n v="0.44572274161955022"/>
  </r>
  <r>
    <s v="ORD-114736"/>
    <x v="62"/>
    <x v="0"/>
    <s v="March"/>
    <x v="2"/>
    <s v="Raipur"/>
    <s v="Pooja Chouhan"/>
    <x v="1"/>
    <x v="3"/>
    <s v="Kitchen Appliances"/>
    <s v="Prestige Mixer Grinder"/>
    <x v="1"/>
    <s v="Delivered"/>
    <n v="31"/>
    <n v="4680"/>
    <n v="0.1"/>
    <n v="3250"/>
    <n v="145079.9"/>
    <n v="100750"/>
    <n v="44329.899999999994"/>
    <n v="0.30555507689211253"/>
  </r>
  <r>
    <s v="ORD-114054"/>
    <x v="63"/>
    <x v="0"/>
    <s v="March"/>
    <x v="4"/>
    <s v="Kochi"/>
    <s v="Aditya Verma"/>
    <x v="0"/>
    <x v="0"/>
    <s v="Apparel"/>
    <s v="Men'S Casual Shirt"/>
    <x v="2"/>
    <s v="Delivered"/>
    <n v="26"/>
    <n v="1899"/>
    <n v="0.18"/>
    <n v="1080"/>
    <n v="49373.82"/>
    <n v="28080"/>
    <n v="21293.82"/>
    <n v="0.43127754749379327"/>
  </r>
  <r>
    <s v="ORD-114312"/>
    <x v="63"/>
    <x v="0"/>
    <s v="March"/>
    <x v="0"/>
    <s v="Patna"/>
    <s v="Rahul Singh"/>
    <x v="1"/>
    <x v="2"/>
    <s v="Laptops"/>
    <s v="Hp 15S"/>
    <x v="0"/>
    <s v="Delivered"/>
    <n v="10"/>
    <n v="48500"/>
    <n v="0.05"/>
    <n v="30200"/>
    <n v="484999.95"/>
    <n v="302000"/>
    <n v="182999.95"/>
    <n v="0.37731952343500241"/>
  </r>
  <r>
    <s v="ORD-114250"/>
    <x v="64"/>
    <x v="0"/>
    <s v="March"/>
    <x v="2"/>
    <s v="Indore"/>
    <s v="Sourav Das"/>
    <x v="1"/>
    <x v="3"/>
    <s v="Washing Machines"/>
    <s v="Lg 6.5Kg Washing Machine"/>
    <x v="2"/>
    <s v="Cancelled"/>
    <n v="10"/>
    <n v="29010"/>
    <n v="0.05"/>
    <n v="19150"/>
    <n v="290099.95"/>
    <n v="191500"/>
    <n v="98599.950000000012"/>
    <n v="0.33988268526071791"/>
  </r>
  <r>
    <s v="ORD-114270"/>
    <x v="64"/>
    <x v="0"/>
    <s v="March"/>
    <x v="1"/>
    <s v="Pune"/>
    <s v="Imran Sheikh"/>
    <x v="0"/>
    <x v="0"/>
    <s v="Footwear"/>
    <s v="Adidas Sports Shoes"/>
    <x v="0"/>
    <s v="Pending"/>
    <n v="12"/>
    <n v="5999"/>
    <n v="0.15"/>
    <n v="3890"/>
    <n v="71987.850000000006"/>
    <n v="46680"/>
    <n v="25307.850000000006"/>
    <n v="0.35155724195124599"/>
  </r>
  <r>
    <s v="ORD-114272"/>
    <x v="64"/>
    <x v="0"/>
    <s v="March"/>
    <x v="4"/>
    <s v="Kochi"/>
    <s v="Kartik Raman"/>
    <x v="2"/>
    <x v="0"/>
    <s v="Apparel"/>
    <s v="Denim Jeans"/>
    <x v="2"/>
    <s v="Cancelled"/>
    <n v="29"/>
    <n v="2499"/>
    <n v="0.12"/>
    <n v="1510"/>
    <n v="72470.880000000005"/>
    <n v="43790"/>
    <n v="28680.880000000005"/>
    <n v="0.39575730279527449"/>
  </r>
  <r>
    <s v="ORD-114478"/>
    <x v="64"/>
    <x v="0"/>
    <s v="March"/>
    <x v="1"/>
    <s v="Pune"/>
    <s v="Anjali Mehta"/>
    <x v="1"/>
    <x v="3"/>
    <s v="Refrigerators"/>
    <s v="Lg 260L Double Door"/>
    <x v="0"/>
    <s v="Delivered"/>
    <n v="6"/>
    <n v="29010"/>
    <n v="0.08"/>
    <n v="19100"/>
    <n v="174059.92"/>
    <n v="114600"/>
    <n v="59459.920000000013"/>
    <n v="0.34160604003494893"/>
  </r>
  <r>
    <s v="ORD-114653"/>
    <x v="64"/>
    <x v="0"/>
    <s v="March"/>
    <x v="4"/>
    <s v="Hyderabad"/>
    <s v="Aditya Verma"/>
    <x v="0"/>
    <x v="1"/>
    <s v="Sofas"/>
    <s v="Single Seater Recliner"/>
    <x v="1"/>
    <s v="Delivered"/>
    <n v="19"/>
    <n v="43500"/>
    <n v="0.12"/>
    <n v="29520"/>
    <n v="826499.88"/>
    <n v="560880"/>
    <n v="265619.88"/>
    <n v="0.32137921181549356"/>
  </r>
  <r>
    <s v="ORD-114363"/>
    <x v="65"/>
    <x v="0"/>
    <s v="March"/>
    <x v="4"/>
    <s v="Hyderabad"/>
    <s v="Aditya Verma"/>
    <x v="2"/>
    <x v="4"/>
    <s v="Fitness Equipment"/>
    <s v="Resistance Bands"/>
    <x v="2"/>
    <s v="Pending"/>
    <n v="20"/>
    <n v="999"/>
    <n v="0.2"/>
    <n v="540"/>
    <n v="19979.8"/>
    <n v="10800"/>
    <n v="9179.7999999999993"/>
    <n v="0.45945404858907496"/>
  </r>
  <r>
    <s v="ORD-114621"/>
    <x v="65"/>
    <x v="0"/>
    <s v="March"/>
    <x v="3"/>
    <s v="Chandigarh"/>
    <s v="Anjali Mehta"/>
    <x v="1"/>
    <x v="3"/>
    <s v="Refrigerators"/>
    <s v="Lg 260L Double Door"/>
    <x v="2"/>
    <s v="Delivered"/>
    <n v="30"/>
    <n v="29010"/>
    <n v="0.15"/>
    <n v="19100"/>
    <n v="870299.85"/>
    <n v="573000"/>
    <n v="297299.84999999998"/>
    <n v="0.34160622916343142"/>
  </r>
  <r>
    <s v="ORD-114263"/>
    <x v="66"/>
    <x v="0"/>
    <s v="March"/>
    <x v="0"/>
    <s v="Kolkata"/>
    <s v="Ritika Ghosh"/>
    <x v="1"/>
    <x v="1"/>
    <s v="Tables"/>
    <s v="Office Work Table"/>
    <x v="1"/>
    <s v="Returned"/>
    <n v="16"/>
    <n v="12490"/>
    <n v="0.15"/>
    <n v="7900"/>
    <n v="199839.85"/>
    <n v="126400"/>
    <n v="73439.850000000006"/>
    <n v="0.36749352043648953"/>
  </r>
  <r>
    <s v="ORD-114381"/>
    <x v="66"/>
    <x v="0"/>
    <s v="March"/>
    <x v="2"/>
    <s v="Ujjain"/>
    <s v="Ritika Ghosh"/>
    <x v="0"/>
    <x v="3"/>
    <s v="Washing Machines"/>
    <s v="Lg 6.5Kg Washing Machine"/>
    <x v="2"/>
    <s v="Cancelled"/>
    <n v="4"/>
    <n v="29010"/>
    <n v="0.05"/>
    <n v="19150"/>
    <n v="116039.95"/>
    <n v="76600"/>
    <n v="39439.949999999997"/>
    <n v="0.33988251459949781"/>
  </r>
  <r>
    <s v="ORD-114561"/>
    <x v="66"/>
    <x v="0"/>
    <s v="March"/>
    <x v="2"/>
    <s v="Bhopal"/>
    <s v="Pooja Chouhan"/>
    <x v="1"/>
    <x v="1"/>
    <s v="Sofas"/>
    <s v="3-Seater Sofa"/>
    <x v="0"/>
    <s v="Pending"/>
    <n v="40"/>
    <n v="38990"/>
    <n v="0.05"/>
    <n v="25400"/>
    <n v="1559599.95"/>
    <n v="1016000"/>
    <n v="543599.94999999995"/>
    <n v="0.34855088960473485"/>
  </r>
  <r>
    <s v="ORD-114566"/>
    <x v="66"/>
    <x v="0"/>
    <s v="March"/>
    <x v="0"/>
    <s v="Patna"/>
    <s v="Ritika Ghosh"/>
    <x v="0"/>
    <x v="3"/>
    <s v="Washing Machines"/>
    <s v="Lg 6.5Kg Washing Machine"/>
    <x v="2"/>
    <s v="Delivered"/>
    <n v="34"/>
    <n v="29010"/>
    <n v="0.1"/>
    <n v="19150"/>
    <n v="986339.9"/>
    <n v="651100"/>
    <n v="335239.90000000002"/>
    <n v="0.33988273210888054"/>
  </r>
  <r>
    <s v="ORD-114047"/>
    <x v="67"/>
    <x v="0"/>
    <s v="March"/>
    <x v="1"/>
    <s v="Surat"/>
    <s v="Sourav Das"/>
    <x v="1"/>
    <x v="3"/>
    <s v="Refrigerators"/>
    <s v="Whirlpool 265L Refrigerator"/>
    <x v="1"/>
    <s v="Delivered"/>
    <n v="28"/>
    <n v="27890"/>
    <n v="0.08"/>
    <n v="18800"/>
    <n v="780919.92"/>
    <n v="526400"/>
    <n v="254519.92000000004"/>
    <n v="0.32592320093461058"/>
  </r>
  <r>
    <s v="ORD-114326"/>
    <x v="67"/>
    <x v="0"/>
    <s v="March"/>
    <x v="2"/>
    <s v="Indore"/>
    <s v="Pooja Chouhan"/>
    <x v="2"/>
    <x v="0"/>
    <s v="Footwear"/>
    <s v="Adidas Sports Shoes"/>
    <x v="0"/>
    <s v="Delivered"/>
    <n v="9"/>
    <n v="5999"/>
    <n v="0.1"/>
    <n v="3890"/>
    <n v="53990.9"/>
    <n v="35010"/>
    <n v="18980.900000000001"/>
    <n v="0.35155739207903558"/>
  </r>
  <r>
    <s v="ORD-114329"/>
    <x v="67"/>
    <x v="0"/>
    <s v="March"/>
    <x v="4"/>
    <s v="Hyderabad"/>
    <s v="Aditya Verma"/>
    <x v="2"/>
    <x v="4"/>
    <s v="Fitness Equipment"/>
    <s v="Dumbbell Set"/>
    <x v="2"/>
    <s v="Returned"/>
    <n v="19"/>
    <n v="3499"/>
    <n v="0.08"/>
    <n v="2190"/>
    <n v="66480.92"/>
    <n v="41610"/>
    <n v="24870.92"/>
    <n v="0.37410613451197727"/>
  </r>
  <r>
    <s v="ORD-114013"/>
    <x v="68"/>
    <x v="0"/>
    <s v="April"/>
    <x v="2"/>
    <s v="Bhopal"/>
    <s v="Neha Deshpande"/>
    <x v="1"/>
    <x v="1"/>
    <s v="Sofas"/>
    <s v="Single Seater Recliner"/>
    <x v="2"/>
    <s v="Delivered"/>
    <n v="17"/>
    <n v="43500"/>
    <n v="0.15"/>
    <n v="29520"/>
    <n v="739499.85"/>
    <n v="501840"/>
    <n v="237659.84999999998"/>
    <n v="0.32137917269354416"/>
  </r>
  <r>
    <s v="ORD-114036"/>
    <x v="68"/>
    <x v="0"/>
    <s v="April"/>
    <x v="3"/>
    <s v="Lucknow"/>
    <s v="Kartik Raman"/>
    <x v="0"/>
    <x v="4"/>
    <s v="Fitness Equipment"/>
    <s v="Yoga Mat"/>
    <x v="1"/>
    <s v="Delivered"/>
    <n v="27"/>
    <n v="1299"/>
    <n v="0.05"/>
    <n v="720"/>
    <n v="35072.949999999997"/>
    <n v="19440"/>
    <n v="15632.949999999997"/>
    <n v="0.44572669250804392"/>
  </r>
  <r>
    <s v="ORD-114574"/>
    <x v="68"/>
    <x v="0"/>
    <s v="April"/>
    <x v="4"/>
    <s v="Bengaluru"/>
    <s v="Simran Kaur"/>
    <x v="2"/>
    <x v="2"/>
    <s v="Laptops"/>
    <s v="Dell Inspiron 3511"/>
    <x v="1"/>
    <s v="Delivered"/>
    <n v="28"/>
    <n v="55230"/>
    <n v="0.12"/>
    <n v="33800"/>
    <n v="1546439.88"/>
    <n v="946400"/>
    <n v="600039.87999999989"/>
    <n v="0.38801371314868055"/>
  </r>
  <r>
    <s v="ORD-114610"/>
    <x v="68"/>
    <x v="0"/>
    <s v="April"/>
    <x v="0"/>
    <s v="Kolkata"/>
    <s v="Rahul Singh"/>
    <x v="0"/>
    <x v="3"/>
    <s v="Washing Machines"/>
    <s v="Samsung 7Kg Washing Machine"/>
    <x v="2"/>
    <s v="Delivered"/>
    <n v="40"/>
    <n v="32800"/>
    <n v="0.12"/>
    <n v="23100"/>
    <n v="1311999.8799999999"/>
    <n v="924000"/>
    <n v="387999.87999999989"/>
    <n v="0.29573164290228438"/>
  </r>
  <r>
    <s v="ORD-114439"/>
    <x v="69"/>
    <x v="0"/>
    <s v="April"/>
    <x v="2"/>
    <s v="Indore"/>
    <s v="Anjali Mehta"/>
    <x v="2"/>
    <x v="4"/>
    <s v="Fitness Equipment"/>
    <s v="Resistance Bands"/>
    <x v="1"/>
    <s v="Delivered"/>
    <n v="11"/>
    <n v="999"/>
    <n v="0.1"/>
    <n v="540"/>
    <n v="10988.9"/>
    <n v="5940"/>
    <n v="5048.8999999999996"/>
    <n v="0.45945454049085893"/>
  </r>
  <r>
    <s v="ORD-114364"/>
    <x v="70"/>
    <x v="0"/>
    <s v="April"/>
    <x v="2"/>
    <s v="Indore"/>
    <s v="Rahul Singh"/>
    <x v="1"/>
    <x v="0"/>
    <s v="Footwear"/>
    <s v="Puma Sneakers"/>
    <x v="2"/>
    <s v="Returned"/>
    <n v="36"/>
    <n v="4499"/>
    <n v="0.2"/>
    <n v="2910"/>
    <n v="161963.79999999999"/>
    <n v="104760"/>
    <n v="57203.799999999988"/>
    <n v="0.35318879897853711"/>
  </r>
  <r>
    <s v="ORD-114750"/>
    <x v="70"/>
    <x v="0"/>
    <s v="April"/>
    <x v="0"/>
    <s v="Bhubaneswar"/>
    <s v="Imran Sheikh"/>
    <x v="1"/>
    <x v="4"/>
    <s v="Fitness Equipment"/>
    <s v="Yoga Mat"/>
    <x v="0"/>
    <s v="Returned"/>
    <n v="30"/>
    <n v="1299"/>
    <n v="0.08"/>
    <n v="720"/>
    <n v="38969.919999999998"/>
    <n v="21600"/>
    <n v="17369.919999999998"/>
    <n v="0.44572634483211665"/>
  </r>
  <r>
    <s v="ORD-114468"/>
    <x v="71"/>
    <x v="0"/>
    <s v="April"/>
    <x v="0"/>
    <s v="Bhubaneswar"/>
    <s v="Anjali Mehta"/>
    <x v="2"/>
    <x v="1"/>
    <s v="Tables"/>
    <s v="Study Table"/>
    <x v="2"/>
    <s v="Pending"/>
    <n v="22"/>
    <n v="6999"/>
    <n v="0.1"/>
    <n v="4320"/>
    <n v="153977.9"/>
    <n v="95040"/>
    <n v="58937.899999999994"/>
    <n v="0.38276856613838739"/>
  </r>
  <r>
    <s v="ORD-114436"/>
    <x v="72"/>
    <x v="0"/>
    <s v="April"/>
    <x v="2"/>
    <s v="Indore"/>
    <s v="Simran Kaur"/>
    <x v="1"/>
    <x v="3"/>
    <s v="Kitchen Appliances"/>
    <s v="Bajaj Otg"/>
    <x v="0"/>
    <s v="Delivered"/>
    <n v="14"/>
    <n v="5890"/>
    <n v="0.08"/>
    <n v="3980"/>
    <n v="82459.92"/>
    <n v="55720"/>
    <n v="26739.919999999998"/>
    <n v="0.32427778246692451"/>
  </r>
  <r>
    <s v="ORD-114485"/>
    <x v="73"/>
    <x v="0"/>
    <s v="April"/>
    <x v="1"/>
    <s v="Surat"/>
    <s v="Rahul Singh"/>
    <x v="1"/>
    <x v="0"/>
    <s v="Apparel"/>
    <s v="Denim Jeans"/>
    <x v="1"/>
    <s v="Delivered"/>
    <n v="36"/>
    <n v="2499"/>
    <n v="0.1"/>
    <n v="1510"/>
    <n v="89963.9"/>
    <n v="54360"/>
    <n v="35603.899999999994"/>
    <n v="0.39575763167225964"/>
  </r>
  <r>
    <s v="ORD-114567"/>
    <x v="74"/>
    <x v="0"/>
    <s v="April"/>
    <x v="3"/>
    <s v="Lucknow"/>
    <s v="Pooja Chouhan"/>
    <x v="1"/>
    <x v="2"/>
    <s v="Mobiles"/>
    <s v="Iphone 13"/>
    <x v="1"/>
    <s v="Cancelled"/>
    <n v="33"/>
    <n v="52990"/>
    <n v="0.08"/>
    <n v="39500"/>
    <n v="1748669.92"/>
    <n v="1303500"/>
    <n v="445169.91999999993"/>
    <n v="0.25457630105514706"/>
  </r>
  <r>
    <s v="ORD-114237"/>
    <x v="75"/>
    <x v="0"/>
    <s v="April"/>
    <x v="2"/>
    <s v="Bhopal"/>
    <s v="Pooja Chouhan"/>
    <x v="2"/>
    <x v="0"/>
    <s v="Footwear"/>
    <s v="Nike Running Shoes"/>
    <x v="1"/>
    <s v="Pending"/>
    <n v="10"/>
    <n v="6499"/>
    <n v="0.08"/>
    <n v="4210"/>
    <n v="64989.919999999998"/>
    <n v="42100"/>
    <n v="22889.919999999998"/>
    <n v="0.3522072345988424"/>
  </r>
  <r>
    <s v="ORD-114606"/>
    <x v="75"/>
    <x v="0"/>
    <s v="April"/>
    <x v="3"/>
    <s v="Jaipur"/>
    <s v="Ritika Ghosh"/>
    <x v="2"/>
    <x v="2"/>
    <s v="Audio Devices"/>
    <s v="Jbl Tune 510Bt"/>
    <x v="2"/>
    <s v="Delivered"/>
    <n v="19"/>
    <n v="3299"/>
    <n v="0.1"/>
    <n v="2050"/>
    <n v="62680.9"/>
    <n v="38950"/>
    <n v="23730.9"/>
    <n v="0.37859858425772447"/>
  </r>
  <r>
    <s v="ORD-114617"/>
    <x v="75"/>
    <x v="0"/>
    <s v="April"/>
    <x v="1"/>
    <s v="Mumbai"/>
    <s v="Neha Deshpande"/>
    <x v="0"/>
    <x v="2"/>
    <s v="Audio Devices"/>
    <s v="Jbl Tune 510Bt"/>
    <x v="0"/>
    <s v="Delivered"/>
    <n v="9"/>
    <n v="3299"/>
    <n v="0.05"/>
    <n v="2050"/>
    <n v="29690.95"/>
    <n v="18450"/>
    <n v="11240.95"/>
    <n v="0.37859852918145093"/>
  </r>
  <r>
    <s v="ORD-114366"/>
    <x v="76"/>
    <x v="0"/>
    <s v="April"/>
    <x v="0"/>
    <s v="Patna"/>
    <s v="Ritika Ghosh"/>
    <x v="0"/>
    <x v="2"/>
    <s v="Audio Devices"/>
    <s v="Sony Wh-Ch520"/>
    <x v="0"/>
    <s v="Pending"/>
    <n v="5"/>
    <n v="4490"/>
    <n v="0.12"/>
    <n v="2950"/>
    <n v="22449.88"/>
    <n v="14750"/>
    <n v="7699.880000000001"/>
    <n v="0.34298089789344088"/>
  </r>
  <r>
    <s v="ORD-114454"/>
    <x v="76"/>
    <x v="0"/>
    <s v="April"/>
    <x v="0"/>
    <s v="Kolkata"/>
    <s v="Anjali Mehta"/>
    <x v="2"/>
    <x v="0"/>
    <s v="Apparel"/>
    <s v="Men'S Casual Shirt"/>
    <x v="1"/>
    <s v="Returned"/>
    <n v="34"/>
    <n v="1899"/>
    <n v="0.1"/>
    <n v="1080"/>
    <n v="64565.9"/>
    <n v="36720"/>
    <n v="27845.9"/>
    <n v="0.43127874001601468"/>
  </r>
  <r>
    <s v="ORD-114629"/>
    <x v="76"/>
    <x v="0"/>
    <s v="April"/>
    <x v="2"/>
    <s v="Bhopal"/>
    <s v="Kartik Raman"/>
    <x v="2"/>
    <x v="3"/>
    <s v="Washing Machines"/>
    <s v="Ifb 7Kg Washing Machine"/>
    <x v="0"/>
    <s v="Delivered"/>
    <n v="18"/>
    <n v="31990"/>
    <n v="0.05"/>
    <n v="21800"/>
    <n v="575819.94999999995"/>
    <n v="392400"/>
    <n v="183419.94999999995"/>
    <n v="0.31853698365261568"/>
  </r>
  <r>
    <s v="ORD-114671"/>
    <x v="76"/>
    <x v="0"/>
    <s v="April"/>
    <x v="3"/>
    <s v="Lucknow"/>
    <s v="Neha Deshpande"/>
    <x v="0"/>
    <x v="1"/>
    <s v="Tables"/>
    <s v="Study Table"/>
    <x v="2"/>
    <s v="Pending"/>
    <n v="5"/>
    <n v="6999"/>
    <n v="0.15"/>
    <n v="4320"/>
    <n v="34994.85"/>
    <n v="21600"/>
    <n v="13394.849999999999"/>
    <n v="0.38276632133013855"/>
  </r>
  <r>
    <s v="ORD-114266"/>
    <x v="77"/>
    <x v="0"/>
    <s v="April"/>
    <x v="4"/>
    <s v="Chennai"/>
    <s v="Rahul Singh"/>
    <x v="2"/>
    <x v="2"/>
    <s v="Audio Devices"/>
    <s v="Boat Airdopes 131"/>
    <x v="0"/>
    <s v="Delivered"/>
    <n v="24"/>
    <n v="1930"/>
    <n v="0.1"/>
    <n v="1120"/>
    <n v="46319.9"/>
    <n v="26880"/>
    <n v="19439.900000000001"/>
    <n v="0.41968786633822613"/>
  </r>
  <r>
    <s v="ORD-114045"/>
    <x v="78"/>
    <x v="0"/>
    <s v="April"/>
    <x v="4"/>
    <s v="Bengaluru"/>
    <s v="Rahul Singh"/>
    <x v="2"/>
    <x v="4"/>
    <s v="Fitness Equipment"/>
    <s v="Yoga Mat"/>
    <x v="1"/>
    <s v="Returned"/>
    <n v="20"/>
    <n v="1299"/>
    <n v="0.08"/>
    <n v="720"/>
    <n v="25979.919999999998"/>
    <n v="14400"/>
    <n v="11579.919999999998"/>
    <n v="0.44572577590693119"/>
  </r>
  <r>
    <s v="ORD-114037"/>
    <x v="79"/>
    <x v="0"/>
    <s v="April"/>
    <x v="0"/>
    <s v="Patna"/>
    <s v="Aditya Verma"/>
    <x v="0"/>
    <x v="3"/>
    <s v="Refrigerators"/>
    <s v="Lg 260L Double Door"/>
    <x v="2"/>
    <s v="Delivered"/>
    <n v="31"/>
    <n v="29010"/>
    <n v="0.08"/>
    <n v="19100"/>
    <n v="899309.92"/>
    <n v="592100"/>
    <n v="307209.92000000004"/>
    <n v="0.34160628407168026"/>
  </r>
  <r>
    <s v="ORD-114338"/>
    <x v="79"/>
    <x v="0"/>
    <s v="April"/>
    <x v="4"/>
    <s v="Bengaluru"/>
    <s v="Neha Deshpande"/>
    <x v="1"/>
    <x v="0"/>
    <s v="Footwear"/>
    <s v="Adidas Sports Shoes"/>
    <x v="0"/>
    <s v="Returned"/>
    <n v="39"/>
    <n v="5999"/>
    <n v="0.12"/>
    <n v="3890"/>
    <n v="233960.88"/>
    <n v="151710"/>
    <n v="82250.880000000005"/>
    <n v="0.35155826050919281"/>
  </r>
  <r>
    <s v="ORD-114462"/>
    <x v="79"/>
    <x v="0"/>
    <s v="April"/>
    <x v="4"/>
    <s v="Kochi"/>
    <s v="Neha Deshpande"/>
    <x v="0"/>
    <x v="3"/>
    <s v="Refrigerators"/>
    <s v="Samsung 253L Refrigerator"/>
    <x v="1"/>
    <s v="Returned"/>
    <n v="13"/>
    <n v="31490"/>
    <n v="0.12"/>
    <n v="21300"/>
    <n v="409369.88"/>
    <n v="276900"/>
    <n v="132469.88"/>
    <n v="0.323594593720476"/>
  </r>
  <r>
    <s v="ORD-114570"/>
    <x v="79"/>
    <x v="0"/>
    <s v="April"/>
    <x v="3"/>
    <s v="Delhi"/>
    <s v="Kartik Raman"/>
    <x v="2"/>
    <x v="1"/>
    <s v="Tables"/>
    <s v="Office Work Table"/>
    <x v="2"/>
    <s v="Returned"/>
    <n v="14"/>
    <n v="12490"/>
    <n v="0.1"/>
    <n v="7900"/>
    <n v="174859.9"/>
    <n v="110600"/>
    <n v="64259.899999999994"/>
    <n v="0.3674936334745702"/>
  </r>
  <r>
    <s v="ORD-114633"/>
    <x v="79"/>
    <x v="0"/>
    <s v="April"/>
    <x v="4"/>
    <s v="Hyderabad"/>
    <s v="Aditya Verma"/>
    <x v="1"/>
    <x v="1"/>
    <s v="Tables"/>
    <s v="6-Seater Dining Table"/>
    <x v="1"/>
    <s v="Returned"/>
    <n v="27"/>
    <n v="25110"/>
    <n v="0.2"/>
    <n v="16730"/>
    <n v="677969.8"/>
    <n v="451710"/>
    <n v="226259.80000000005"/>
    <n v="0.3337313844952976"/>
  </r>
  <r>
    <s v="ORD-114721"/>
    <x v="79"/>
    <x v="0"/>
    <s v="April"/>
    <x v="1"/>
    <s v="Mumbai"/>
    <s v="Pooja Chouhan"/>
    <x v="2"/>
    <x v="3"/>
    <s v="Refrigerators"/>
    <s v="Samsung 253L Refrigerator"/>
    <x v="0"/>
    <s v="Delivered"/>
    <n v="1"/>
    <n v="31490"/>
    <n v="0.12"/>
    <n v="21300"/>
    <n v="31489.88"/>
    <n v="21300"/>
    <n v="10189.880000000001"/>
    <n v="0.32359221438760644"/>
  </r>
  <r>
    <s v="ORD-114161"/>
    <x v="80"/>
    <x v="0"/>
    <s v="April"/>
    <x v="4"/>
    <s v="Kochi"/>
    <s v="Simran Kaur"/>
    <x v="2"/>
    <x v="3"/>
    <s v="Kitchen Appliances"/>
    <s v="Prestige Mixer Grinder"/>
    <x v="0"/>
    <s v="Cancelled"/>
    <n v="3"/>
    <n v="4680"/>
    <n v="0.1"/>
    <n v="3250"/>
    <n v="14039.9"/>
    <n v="9750"/>
    <n v="4289.8999999999996"/>
    <n v="0.30555060933482431"/>
  </r>
  <r>
    <s v="ORD-114212"/>
    <x v="80"/>
    <x v="0"/>
    <s v="April"/>
    <x v="3"/>
    <s v="Jaipur"/>
    <s v="Kartik Raman"/>
    <x v="2"/>
    <x v="1"/>
    <s v="Tables"/>
    <s v="Office Work Table"/>
    <x v="1"/>
    <s v="Delivered"/>
    <n v="36"/>
    <n v="12490"/>
    <n v="0.15"/>
    <n v="7900"/>
    <n v="449639.85"/>
    <n v="284400"/>
    <n v="165239.84999999998"/>
    <n v="0.36749378419194828"/>
  </r>
  <r>
    <s v="ORD-114549"/>
    <x v="80"/>
    <x v="0"/>
    <s v="April"/>
    <x v="4"/>
    <s v="Bengaluru"/>
    <s v="Sourav Das"/>
    <x v="0"/>
    <x v="1"/>
    <s v="Sofas"/>
    <s v="3-Seater Sofa"/>
    <x v="0"/>
    <s v="Delivered"/>
    <n v="8"/>
    <n v="38990"/>
    <n v="0.08"/>
    <n v="25400"/>
    <n v="311919.92"/>
    <n v="203200"/>
    <n v="108719.91999999998"/>
    <n v="0.34855074340875691"/>
  </r>
  <r>
    <s v="ORD-114130"/>
    <x v="81"/>
    <x v="0"/>
    <s v="April"/>
    <x v="0"/>
    <s v="Patna"/>
    <s v="Kartik Raman"/>
    <x v="2"/>
    <x v="1"/>
    <s v="Tables"/>
    <s v="6-Seater Dining Table"/>
    <x v="2"/>
    <s v="Pending"/>
    <n v="4"/>
    <n v="25110"/>
    <n v="0.05"/>
    <n v="16730"/>
    <n v="100439.95"/>
    <n v="66920"/>
    <n v="33519.949999999997"/>
    <n v="0.3337312493684037"/>
  </r>
  <r>
    <s v="ORD-114526"/>
    <x v="81"/>
    <x v="0"/>
    <s v="April"/>
    <x v="3"/>
    <s v="Lucknow"/>
    <s v="Ritika Ghosh"/>
    <x v="0"/>
    <x v="0"/>
    <s v="Apparel"/>
    <s v="Men'S Casual Shirt"/>
    <x v="2"/>
    <s v="Delivered"/>
    <n v="35"/>
    <n v="1899"/>
    <n v="0.08"/>
    <n v="1080"/>
    <n v="66464.92"/>
    <n v="37800"/>
    <n v="28664.92"/>
    <n v="0.43127893631708275"/>
  </r>
  <r>
    <s v="ORD-114540"/>
    <x v="81"/>
    <x v="0"/>
    <s v="April"/>
    <x v="4"/>
    <s v="Chennai"/>
    <s v="Pooja Chouhan"/>
    <x v="0"/>
    <x v="2"/>
    <s v="Mobiles"/>
    <s v="Samsung Galaxy M34"/>
    <x v="1"/>
    <s v="Returned"/>
    <n v="13"/>
    <n v="22999"/>
    <n v="0.2"/>
    <n v="15100"/>
    <n v="298986.8"/>
    <n v="196300"/>
    <n v="102686.79999999999"/>
    <n v="0.34344927602155007"/>
  </r>
  <r>
    <s v="ORD-114645"/>
    <x v="81"/>
    <x v="0"/>
    <s v="April"/>
    <x v="1"/>
    <s v="Mumbai"/>
    <s v="Neha Deshpande"/>
    <x v="0"/>
    <x v="3"/>
    <s v="Refrigerators"/>
    <s v="Whirlpool 265L Refrigerator"/>
    <x v="0"/>
    <s v="Delivered"/>
    <n v="36"/>
    <n v="27890"/>
    <n v="0.18"/>
    <n v="18800"/>
    <n v="1004039.82"/>
    <n v="676800"/>
    <n v="327239.81999999995"/>
    <n v="0.32592314914362658"/>
  </r>
  <r>
    <s v="ORD-114308"/>
    <x v="82"/>
    <x v="0"/>
    <s v="April"/>
    <x v="3"/>
    <s v="Chandigarh"/>
    <s v="Kartik Raman"/>
    <x v="0"/>
    <x v="2"/>
    <s v="Mobiles"/>
    <s v="Oneplus Nord Ce 3"/>
    <x v="0"/>
    <s v="Cancelled"/>
    <n v="20"/>
    <n v="25999"/>
    <n v="0.05"/>
    <n v="17800"/>
    <n v="519979.95"/>
    <n v="356000"/>
    <n v="163979.95000000001"/>
    <n v="0.31535821717741236"/>
  </r>
  <r>
    <s v="ORD-114679"/>
    <x v="82"/>
    <x v="0"/>
    <s v="April"/>
    <x v="1"/>
    <s v="Mumbai"/>
    <s v="Rahul Singh"/>
    <x v="1"/>
    <x v="2"/>
    <s v="Mobiles"/>
    <s v="Iphone 13"/>
    <x v="1"/>
    <s v="Delivered"/>
    <n v="8"/>
    <n v="52990"/>
    <n v="0.15"/>
    <n v="39500"/>
    <n v="423919.85"/>
    <n v="316000"/>
    <n v="107919.84999999998"/>
    <n v="0.25457607139651511"/>
  </r>
  <r>
    <s v="ORD-114379"/>
    <x v="83"/>
    <x v="0"/>
    <s v="April"/>
    <x v="4"/>
    <s v="Hyderabad"/>
    <s v="Kartik Raman"/>
    <x v="1"/>
    <x v="1"/>
    <s v="Sofas"/>
    <s v="3-Seater Sofa"/>
    <x v="1"/>
    <s v="Delivered"/>
    <n v="36"/>
    <n v="38990"/>
    <n v="0.12"/>
    <n v="25400"/>
    <n v="1403639.88"/>
    <n v="914400"/>
    <n v="489239.87999999989"/>
    <n v="0.34855085479617459"/>
  </r>
  <r>
    <s v="ORD-114255"/>
    <x v="84"/>
    <x v="0"/>
    <s v="April"/>
    <x v="2"/>
    <s v="Indore"/>
    <s v="Imran Sheikh"/>
    <x v="2"/>
    <x v="3"/>
    <s v="Refrigerators"/>
    <s v="Whirlpool 265L Refrigerator"/>
    <x v="1"/>
    <s v="Returned"/>
    <n v="30"/>
    <n v="27890"/>
    <n v="0.18"/>
    <n v="18800"/>
    <n v="836699.82"/>
    <n v="564000"/>
    <n v="272699.81999999995"/>
    <n v="0.32592312497449799"/>
  </r>
  <r>
    <s v="ORD-114630"/>
    <x v="84"/>
    <x v="0"/>
    <s v="April"/>
    <x v="3"/>
    <s v="Chandigarh"/>
    <s v="Simran Kaur"/>
    <x v="0"/>
    <x v="3"/>
    <s v="Kitchen Appliances"/>
    <s v="Bajaj Otg"/>
    <x v="1"/>
    <s v="Delivered"/>
    <n v="24"/>
    <n v="5890"/>
    <n v="0.1"/>
    <n v="3980"/>
    <n v="141359.9"/>
    <n v="95520"/>
    <n v="45839.899999999994"/>
    <n v="0.32427796001553477"/>
  </r>
  <r>
    <s v="ORD-114240"/>
    <x v="85"/>
    <x v="0"/>
    <s v="April"/>
    <x v="3"/>
    <s v="Chandigarh"/>
    <s v="Ritika Ghosh"/>
    <x v="0"/>
    <x v="0"/>
    <s v="Apparel"/>
    <s v="Denim Jeans"/>
    <x v="1"/>
    <s v="Pending"/>
    <n v="3"/>
    <n v="2499"/>
    <n v="0.08"/>
    <n v="1510"/>
    <n v="7496.92"/>
    <n v="4530"/>
    <n v="2966.92"/>
    <n v="0.39575185542862934"/>
  </r>
  <r>
    <s v="ORD-114051"/>
    <x v="86"/>
    <x v="0"/>
    <s v="April"/>
    <x v="0"/>
    <s v="Bhubaneswar"/>
    <s v="Kartik Raman"/>
    <x v="1"/>
    <x v="3"/>
    <s v="Kitchen Appliances"/>
    <s v="Prestige Mixer Grinder"/>
    <x v="2"/>
    <s v="Returned"/>
    <n v="10"/>
    <n v="4680"/>
    <n v="0.18"/>
    <n v="3250"/>
    <n v="46799.82"/>
    <n v="32500"/>
    <n v="14299.82"/>
    <n v="0.30555288460511171"/>
  </r>
  <r>
    <s v="ORD-114289"/>
    <x v="86"/>
    <x v="0"/>
    <s v="April"/>
    <x v="4"/>
    <s v="Bengaluru"/>
    <s v="Kartik Raman"/>
    <x v="2"/>
    <x v="2"/>
    <s v="Audio Devices"/>
    <s v="Sony Wh-Ch520"/>
    <x v="1"/>
    <s v="Cancelled"/>
    <n v="23"/>
    <n v="4490"/>
    <n v="0.18"/>
    <n v="2950"/>
    <n v="103269.82"/>
    <n v="67850"/>
    <n v="35419.820000000007"/>
    <n v="0.34298326461690359"/>
  </r>
  <r>
    <s v="ORD-114185"/>
    <x v="87"/>
    <x v="0"/>
    <s v="April"/>
    <x v="1"/>
    <s v="Surat"/>
    <s v="Simran Kaur"/>
    <x v="0"/>
    <x v="0"/>
    <s v="Footwear"/>
    <s v="Nike Running Shoes"/>
    <x v="2"/>
    <s v="Pending"/>
    <n v="30"/>
    <n v="6499"/>
    <n v="0.08"/>
    <n v="4210"/>
    <n v="194969.92"/>
    <n v="126300"/>
    <n v="68669.920000000013"/>
    <n v="0.35220776620311484"/>
  </r>
  <r>
    <s v="ORD-114637"/>
    <x v="87"/>
    <x v="0"/>
    <s v="April"/>
    <x v="2"/>
    <s v="Indore"/>
    <s v="Imran Sheikh"/>
    <x v="1"/>
    <x v="4"/>
    <s v="Fitness Equipment"/>
    <s v="Yoga Mat"/>
    <x v="2"/>
    <s v="Pending"/>
    <n v="32"/>
    <n v="1299"/>
    <n v="0.2"/>
    <n v="720"/>
    <n v="41567.800000000003"/>
    <n v="23040"/>
    <n v="18527.800000000003"/>
    <n v="0.44572481584303236"/>
  </r>
  <r>
    <s v="ORD-114400"/>
    <x v="88"/>
    <x v="0"/>
    <s v="April"/>
    <x v="4"/>
    <s v="Kochi"/>
    <s v="Imran Sheikh"/>
    <x v="2"/>
    <x v="4"/>
    <s v="Fitness Equipment"/>
    <s v="Resistance Bands"/>
    <x v="0"/>
    <s v="Delivered"/>
    <n v="36"/>
    <n v="999"/>
    <n v="0.18"/>
    <n v="540"/>
    <n v="35963.82"/>
    <n v="19440"/>
    <n v="16523.82"/>
    <n v="0.459456754037808"/>
  </r>
  <r>
    <s v="ORD-114411"/>
    <x v="88"/>
    <x v="0"/>
    <s v="April"/>
    <x v="2"/>
    <s v="Raipur"/>
    <s v="Ritika Ghosh"/>
    <x v="0"/>
    <x v="3"/>
    <s v="Kitchen Appliances"/>
    <s v="Bajaj Otg"/>
    <x v="2"/>
    <s v="Delivered"/>
    <n v="24"/>
    <n v="5890"/>
    <n v="0.1"/>
    <n v="3980"/>
    <n v="141359.9"/>
    <n v="95520"/>
    <n v="45839.899999999994"/>
    <n v="0.32427796001553477"/>
  </r>
  <r>
    <s v="ORD-114550"/>
    <x v="88"/>
    <x v="0"/>
    <s v="April"/>
    <x v="3"/>
    <s v="Lucknow"/>
    <s v="Pooja Chouhan"/>
    <x v="0"/>
    <x v="0"/>
    <s v="Apparel"/>
    <s v="Denim Jeans"/>
    <x v="1"/>
    <s v="Pending"/>
    <n v="32"/>
    <n v="2499"/>
    <n v="0.08"/>
    <n v="1510"/>
    <n v="79967.92"/>
    <n v="48320"/>
    <n v="31647.919999999998"/>
    <n v="0.39575769883723372"/>
  </r>
  <r>
    <s v="ORD-114018"/>
    <x v="89"/>
    <x v="0"/>
    <s v="April"/>
    <x v="1"/>
    <s v="Mumbai"/>
    <s v="Aditya Verma"/>
    <x v="1"/>
    <x v="2"/>
    <s v="Mobiles"/>
    <s v="Oneplus Nord Ce 3"/>
    <x v="0"/>
    <s v="Pending"/>
    <n v="15"/>
    <n v="25999"/>
    <n v="0.15"/>
    <n v="17800"/>
    <n v="389984.85"/>
    <n v="267000"/>
    <n v="122984.84999999998"/>
    <n v="0.31535801967691818"/>
  </r>
  <r>
    <s v="ORD-114152"/>
    <x v="90"/>
    <x v="0"/>
    <s v="April"/>
    <x v="2"/>
    <s v="Ujjain"/>
    <s v="Rahul Singh"/>
    <x v="1"/>
    <x v="3"/>
    <s v="Washing Machines"/>
    <s v="Lg 6.5Kg Washing Machine"/>
    <x v="0"/>
    <s v="Delivered"/>
    <n v="28"/>
    <n v="29010"/>
    <n v="0.05"/>
    <n v="19150"/>
    <n v="812279.95"/>
    <n v="536200"/>
    <n v="276079.94999999995"/>
    <n v="0.33988275840121374"/>
  </r>
  <r>
    <s v="ORD-114259"/>
    <x v="90"/>
    <x v="0"/>
    <s v="April"/>
    <x v="2"/>
    <s v="Ujjain"/>
    <s v="Imran Sheikh"/>
    <x v="2"/>
    <x v="0"/>
    <s v="Apparel"/>
    <s v="Women'S Kurti"/>
    <x v="1"/>
    <s v="Delivered"/>
    <n v="7"/>
    <n v="1599"/>
    <n v="0.1"/>
    <n v="920"/>
    <n v="11192.9"/>
    <n v="6440"/>
    <n v="4752.8999999999996"/>
    <n v="0.42463525985222772"/>
  </r>
  <r>
    <s v="ORD-114426"/>
    <x v="90"/>
    <x v="0"/>
    <s v="April"/>
    <x v="0"/>
    <s v="Ranchi"/>
    <s v="Imran Sheikh"/>
    <x v="2"/>
    <x v="1"/>
    <s v="Sofas"/>
    <s v="3-Seater Sofa"/>
    <x v="1"/>
    <s v="Delivered"/>
    <n v="21"/>
    <n v="38990"/>
    <n v="0.08"/>
    <n v="25400"/>
    <n v="818789.92"/>
    <n v="533400"/>
    <n v="285389.92000000004"/>
    <n v="0.34855084683993182"/>
  </r>
  <r>
    <s v="ORD-114057"/>
    <x v="91"/>
    <x v="0"/>
    <s v="April"/>
    <x v="1"/>
    <s v="Ahmedabad"/>
    <s v="Sourav Das"/>
    <x v="0"/>
    <x v="2"/>
    <s v="Mobiles"/>
    <s v="Oneplus Nord Ce 3"/>
    <x v="0"/>
    <s v="Pending"/>
    <n v="4"/>
    <n v="25999"/>
    <n v="0.1"/>
    <n v="17800"/>
    <n v="103995.9"/>
    <n v="71200"/>
    <n v="32795.899999999994"/>
    <n v="0.31535762467558814"/>
  </r>
  <r>
    <s v="ORD-114286"/>
    <x v="92"/>
    <x v="0"/>
    <s v="April"/>
    <x v="4"/>
    <s v="Kochi"/>
    <s v="Ritika Ghosh"/>
    <x v="2"/>
    <x v="2"/>
    <s v="Laptops"/>
    <s v="Hp 15S"/>
    <x v="2"/>
    <s v="Delivered"/>
    <n v="9"/>
    <n v="48500"/>
    <n v="0.15"/>
    <n v="30200"/>
    <n v="436499.85"/>
    <n v="271800"/>
    <n v="164699.84999999998"/>
    <n v="0.37731937364926926"/>
  </r>
  <r>
    <s v="ORD-114406"/>
    <x v="92"/>
    <x v="0"/>
    <s v="April"/>
    <x v="1"/>
    <s v="Ahmedabad"/>
    <s v="Kartik Raman"/>
    <x v="1"/>
    <x v="2"/>
    <s v="Audio Devices"/>
    <s v="Jbl Tune 510Bt"/>
    <x v="1"/>
    <s v="Pending"/>
    <n v="29"/>
    <n v="3299"/>
    <n v="0.2"/>
    <n v="2050"/>
    <n v="95670.8"/>
    <n v="59450"/>
    <n v="36220.800000000003"/>
    <n v="0.37859827659014039"/>
  </r>
  <r>
    <s v="ORD-114646"/>
    <x v="92"/>
    <x v="0"/>
    <s v="April"/>
    <x v="4"/>
    <s v="Hyderabad"/>
    <s v="Aditya Verma"/>
    <x v="2"/>
    <x v="2"/>
    <s v="Audio Devices"/>
    <s v="Jbl Tune 510Bt"/>
    <x v="0"/>
    <s v="Pending"/>
    <n v="14"/>
    <n v="3299"/>
    <n v="0.2"/>
    <n v="2050"/>
    <n v="46185.8"/>
    <n v="28700"/>
    <n v="17485.800000000003"/>
    <n v="0.37859688475678677"/>
  </r>
  <r>
    <s v="ORD-114287"/>
    <x v="93"/>
    <x v="0"/>
    <s v="April"/>
    <x v="2"/>
    <s v="Raipur"/>
    <s v="Pooja Chouhan"/>
    <x v="1"/>
    <x v="1"/>
    <s v="Tables"/>
    <s v="Study Table"/>
    <x v="0"/>
    <s v="Delivered"/>
    <n v="31"/>
    <n v="6999"/>
    <n v="0.05"/>
    <n v="4320"/>
    <n v="216968.95"/>
    <n v="133920"/>
    <n v="83048.950000000012"/>
    <n v="0.38276882475580032"/>
  </r>
  <r>
    <s v="ORD-114507"/>
    <x v="94"/>
    <x v="0"/>
    <s v="April"/>
    <x v="3"/>
    <s v="Lucknow"/>
    <s v="Kartik Raman"/>
    <x v="1"/>
    <x v="2"/>
    <s v="Mobiles"/>
    <s v="Oneplus Nord Ce 3"/>
    <x v="1"/>
    <s v="Pending"/>
    <n v="7"/>
    <n v="25999"/>
    <n v="0.05"/>
    <n v="17800"/>
    <n v="181992.95"/>
    <n v="124600"/>
    <n v="57392.950000000012"/>
    <n v="0.31535809491521516"/>
  </r>
  <r>
    <s v="ORD-114576"/>
    <x v="94"/>
    <x v="0"/>
    <s v="April"/>
    <x v="2"/>
    <s v="Indore"/>
    <s v="Ritika Ghosh"/>
    <x v="2"/>
    <x v="0"/>
    <s v="Footwear"/>
    <s v="Adidas Sports Shoes"/>
    <x v="2"/>
    <s v="Returned"/>
    <n v="30"/>
    <n v="5999"/>
    <n v="0.12"/>
    <n v="3890"/>
    <n v="179969.88"/>
    <n v="116700"/>
    <n v="63269.880000000005"/>
    <n v="0.35155816073222923"/>
  </r>
  <r>
    <s v="ORD-114325"/>
    <x v="95"/>
    <x v="0"/>
    <s v="April"/>
    <x v="0"/>
    <s v="Ranchi"/>
    <s v="Imran Sheikh"/>
    <x v="1"/>
    <x v="0"/>
    <s v="Apparel"/>
    <s v="Men'S Casual Shirt"/>
    <x v="2"/>
    <s v="Delivered"/>
    <n v="6"/>
    <n v="1899"/>
    <n v="0.05"/>
    <n v="1080"/>
    <n v="11393.95"/>
    <n v="6480"/>
    <n v="4913.9500000000007"/>
    <n v="0.43127712514097399"/>
  </r>
  <r>
    <s v="ORD-114497"/>
    <x v="95"/>
    <x v="0"/>
    <s v="April"/>
    <x v="2"/>
    <s v="Bhopal"/>
    <s v="Pooja Chouhan"/>
    <x v="1"/>
    <x v="1"/>
    <s v="Tables"/>
    <s v="Office Work Table"/>
    <x v="0"/>
    <s v="Delivered"/>
    <n v="9"/>
    <n v="12490"/>
    <n v="0.12"/>
    <n v="7900"/>
    <n v="112409.88"/>
    <n v="71100"/>
    <n v="41309.880000000005"/>
    <n v="0.36749331998219376"/>
  </r>
  <r>
    <s v="ORD-114514"/>
    <x v="95"/>
    <x v="0"/>
    <s v="April"/>
    <x v="4"/>
    <s v="Bengaluru"/>
    <s v="Pooja Chouhan"/>
    <x v="0"/>
    <x v="1"/>
    <s v="Tables"/>
    <s v="6-Seater Dining Table"/>
    <x v="2"/>
    <s v="Delivered"/>
    <n v="38"/>
    <n v="25110"/>
    <n v="0.08"/>
    <n v="16730"/>
    <n v="954179.92"/>
    <n v="635740"/>
    <n v="318439.92000000004"/>
    <n v="0.33373152518237864"/>
  </r>
  <r>
    <s v="ORD-114524"/>
    <x v="95"/>
    <x v="0"/>
    <s v="April"/>
    <x v="3"/>
    <s v="Lucknow"/>
    <s v="Anjali Mehta"/>
    <x v="0"/>
    <x v="4"/>
    <s v="Fitness Equipment"/>
    <s v="Resistance Bands"/>
    <x v="1"/>
    <s v="Cancelled"/>
    <n v="3"/>
    <n v="999"/>
    <n v="0.2"/>
    <n v="540"/>
    <n v="2996.8"/>
    <n v="1620"/>
    <n v="1376.8000000000002"/>
    <n v="0.45942338494394025"/>
  </r>
  <r>
    <s v="ORD-114108"/>
    <x v="96"/>
    <x v="0"/>
    <s v="April"/>
    <x v="1"/>
    <s v="Ahmedabad"/>
    <s v="Sourav Das"/>
    <x v="1"/>
    <x v="3"/>
    <s v="Kitchen Appliances"/>
    <s v="Prestige Mixer Grinder"/>
    <x v="2"/>
    <s v="Cancelled"/>
    <n v="8"/>
    <n v="4680"/>
    <n v="0.05"/>
    <n v="3250"/>
    <n v="37439.949999999997"/>
    <n v="26000"/>
    <n v="11439.949999999997"/>
    <n v="0.30555462814453538"/>
  </r>
  <r>
    <s v="ORD-114110"/>
    <x v="96"/>
    <x v="0"/>
    <s v="April"/>
    <x v="3"/>
    <s v="Jaipur"/>
    <s v="Imran Sheikh"/>
    <x v="0"/>
    <x v="1"/>
    <s v="Tables"/>
    <s v="Office Work Table"/>
    <x v="2"/>
    <s v="Delivered"/>
    <n v="29"/>
    <n v="12490"/>
    <n v="0.12"/>
    <n v="7900"/>
    <n v="362209.88"/>
    <n v="229100"/>
    <n v="133109.88"/>
    <n v="0.36749378564715024"/>
  </r>
  <r>
    <s v="ORD-114390"/>
    <x v="96"/>
    <x v="0"/>
    <s v="April"/>
    <x v="0"/>
    <s v="Ranchi"/>
    <s v="Neha Deshpande"/>
    <x v="0"/>
    <x v="2"/>
    <s v="Audio Devices"/>
    <s v="Boat Airdopes 131"/>
    <x v="0"/>
    <s v="Returned"/>
    <n v="25"/>
    <n v="1930"/>
    <n v="0.12"/>
    <n v="1120"/>
    <n v="48249.88"/>
    <n v="28000"/>
    <n v="20249.879999999997"/>
    <n v="0.41968767590717321"/>
  </r>
  <r>
    <s v="ORD-114581"/>
    <x v="96"/>
    <x v="0"/>
    <s v="April"/>
    <x v="3"/>
    <s v="Lucknow"/>
    <s v="Aditya Verma"/>
    <x v="2"/>
    <x v="4"/>
    <s v="Fitness Equipment"/>
    <s v="Dumbbell Set"/>
    <x v="0"/>
    <s v="Delivered"/>
    <n v="35"/>
    <n v="3499"/>
    <n v="0.18"/>
    <n v="2190"/>
    <n v="122464.82"/>
    <n v="76650"/>
    <n v="45814.820000000007"/>
    <n v="0.37410596773832683"/>
  </r>
  <r>
    <s v="ORD-114023"/>
    <x v="97"/>
    <x v="0"/>
    <s v="May"/>
    <x v="4"/>
    <s v="Bengaluru"/>
    <s v="Simran Kaur"/>
    <x v="2"/>
    <x v="2"/>
    <s v="Laptops"/>
    <s v="Lenovo Ideapad 3"/>
    <x v="0"/>
    <s v="Delivered"/>
    <n v="6"/>
    <n v="48990"/>
    <n v="0.2"/>
    <n v="30100"/>
    <n v="293939.8"/>
    <n v="180600"/>
    <n v="113339.79999999999"/>
    <n v="0.38558847764065973"/>
  </r>
  <r>
    <s v="ORD-114654"/>
    <x v="97"/>
    <x v="0"/>
    <s v="May"/>
    <x v="2"/>
    <s v="Indore"/>
    <s v="Kartik Raman"/>
    <x v="0"/>
    <x v="3"/>
    <s v="Kitchen Appliances"/>
    <s v="Bajaj Otg"/>
    <x v="0"/>
    <s v="Returned"/>
    <n v="10"/>
    <n v="5890"/>
    <n v="0.08"/>
    <n v="3980"/>
    <n v="58899.92"/>
    <n v="39800"/>
    <n v="19099.919999999998"/>
    <n v="0.32427752024111406"/>
  </r>
  <r>
    <s v="ORD-114066"/>
    <x v="98"/>
    <x v="0"/>
    <s v="May"/>
    <x v="0"/>
    <s v="Kolkata"/>
    <s v="Kartik Raman"/>
    <x v="1"/>
    <x v="2"/>
    <s v="Laptops"/>
    <s v="Lenovo Ideapad 3"/>
    <x v="2"/>
    <s v="Cancelled"/>
    <n v="36"/>
    <n v="48990"/>
    <n v="0.2"/>
    <n v="30100"/>
    <n v="1763639.8"/>
    <n v="1083600"/>
    <n v="680039.8"/>
    <n v="0.38558882601764827"/>
  </r>
  <r>
    <s v="ORD-114200"/>
    <x v="99"/>
    <x v="0"/>
    <s v="May"/>
    <x v="4"/>
    <s v="Chennai"/>
    <s v="Kartik Raman"/>
    <x v="0"/>
    <x v="4"/>
    <s v="Fitness Equipment"/>
    <s v="Yoga Mat"/>
    <x v="1"/>
    <s v="Pending"/>
    <n v="38"/>
    <n v="1299"/>
    <n v="0.08"/>
    <n v="720"/>
    <n v="49361.919999999998"/>
    <n v="27360"/>
    <n v="22001.919999999998"/>
    <n v="0.44572658437921375"/>
  </r>
  <r>
    <s v="ORD-114624"/>
    <x v="99"/>
    <x v="0"/>
    <s v="May"/>
    <x v="3"/>
    <s v="Delhi"/>
    <s v="Rahul Singh"/>
    <x v="1"/>
    <x v="0"/>
    <s v="Footwear"/>
    <s v="Puma Sneakers"/>
    <x v="2"/>
    <s v="Pending"/>
    <n v="11"/>
    <n v="4499"/>
    <n v="0.12"/>
    <n v="2910"/>
    <n v="49488.88"/>
    <n v="32010"/>
    <n v="17478.879999999997"/>
    <n v="0.35318802931082699"/>
  </r>
  <r>
    <s v="ORD-114007"/>
    <x v="100"/>
    <x v="0"/>
    <s v="May"/>
    <x v="4"/>
    <s v="Hyderabad"/>
    <s v="Neha Deshpande"/>
    <x v="1"/>
    <x v="1"/>
    <s v="Tables"/>
    <s v="Office Work Table"/>
    <x v="0"/>
    <s v="Delivered"/>
    <n v="35"/>
    <n v="12490"/>
    <n v="0.18"/>
    <n v="7900"/>
    <n v="437149.82"/>
    <n v="276500"/>
    <n v="160649.82"/>
    <n v="0.3674937347566562"/>
  </r>
  <r>
    <s v="ORD-114698"/>
    <x v="100"/>
    <x v="0"/>
    <s v="May"/>
    <x v="3"/>
    <s v="Lucknow"/>
    <s v="Sourav Das"/>
    <x v="1"/>
    <x v="0"/>
    <s v="Apparel"/>
    <s v="Women'S Kurti"/>
    <x v="2"/>
    <s v="Delivered"/>
    <n v="4"/>
    <n v="1599"/>
    <n v="0.18"/>
    <n v="920"/>
    <n v="6395.82"/>
    <n v="3680"/>
    <n v="2715.8199999999997"/>
    <n v="0.42462420768564468"/>
  </r>
  <r>
    <s v="ORD-114035"/>
    <x v="101"/>
    <x v="0"/>
    <s v="May"/>
    <x v="0"/>
    <s v="Ranchi"/>
    <s v="Sourav Das"/>
    <x v="1"/>
    <x v="2"/>
    <s v="Mobiles"/>
    <s v="Samsung Galaxy M34"/>
    <x v="1"/>
    <s v="Delivered"/>
    <n v="14"/>
    <n v="22999"/>
    <n v="0.18"/>
    <n v="15100"/>
    <n v="321985.82"/>
    <n v="211400"/>
    <n v="110585.82"/>
    <n v="0.3434493481731587"/>
  </r>
  <r>
    <s v="ORD-114314"/>
    <x v="101"/>
    <x v="0"/>
    <s v="May"/>
    <x v="3"/>
    <s v="Delhi"/>
    <s v="Anjali Mehta"/>
    <x v="2"/>
    <x v="1"/>
    <s v="Tables"/>
    <s v="6-Seater Dining Table"/>
    <x v="2"/>
    <s v="Delivered"/>
    <n v="6"/>
    <n v="25110"/>
    <n v="0.18"/>
    <n v="16730"/>
    <n v="150659.82"/>
    <n v="100380"/>
    <n v="50279.820000000007"/>
    <n v="0.33373078502284154"/>
  </r>
  <r>
    <s v="ORD-114113"/>
    <x v="102"/>
    <x v="0"/>
    <s v="May"/>
    <x v="4"/>
    <s v="Chennai"/>
    <s v="Aditya Verma"/>
    <x v="0"/>
    <x v="3"/>
    <s v="Refrigerators"/>
    <s v="Lg 260L Double Door"/>
    <x v="2"/>
    <s v="Delivered"/>
    <n v="9"/>
    <n v="29010"/>
    <n v="0.15"/>
    <n v="19100"/>
    <n v="261089.85"/>
    <n v="171900"/>
    <n v="89189.85"/>
    <n v="0.34160596438352547"/>
  </r>
  <r>
    <s v="ORD-114749"/>
    <x v="103"/>
    <x v="0"/>
    <s v="May"/>
    <x v="3"/>
    <s v="Delhi"/>
    <s v="Kartik Raman"/>
    <x v="1"/>
    <x v="4"/>
    <s v="Fitness Equipment"/>
    <s v="Dumbbell Set"/>
    <x v="1"/>
    <s v="Cancelled"/>
    <n v="37"/>
    <n v="3499"/>
    <n v="0.2"/>
    <n v="2190"/>
    <n v="129462.8"/>
    <n v="81030"/>
    <n v="48432.800000000003"/>
    <n v="0.37410592077415289"/>
  </r>
  <r>
    <s v="ORD-114395"/>
    <x v="104"/>
    <x v="0"/>
    <s v="May"/>
    <x v="0"/>
    <s v="Bhubaneswar"/>
    <s v="Ritika Ghosh"/>
    <x v="1"/>
    <x v="3"/>
    <s v="Washing Machines"/>
    <s v="Samsung 7Kg Washing Machine"/>
    <x v="0"/>
    <s v="Returned"/>
    <n v="27"/>
    <n v="32800"/>
    <n v="0.05"/>
    <n v="23100"/>
    <n v="885599.95"/>
    <n v="623700"/>
    <n v="261899.94999999995"/>
    <n v="0.29573166755485925"/>
  </r>
  <r>
    <s v="ORD-114472"/>
    <x v="104"/>
    <x v="0"/>
    <s v="May"/>
    <x v="0"/>
    <s v="Bhubaneswar"/>
    <s v="Kartik Raman"/>
    <x v="2"/>
    <x v="2"/>
    <s v="Mobiles"/>
    <s v="Oneplus Nord Ce 3"/>
    <x v="0"/>
    <s v="Delivered"/>
    <n v="4"/>
    <n v="25999"/>
    <n v="0.08"/>
    <n v="17800"/>
    <n v="103995.92"/>
    <n v="71200"/>
    <n v="32795.919999999998"/>
    <n v="0.31535775634274882"/>
  </r>
  <r>
    <s v="ORD-114473"/>
    <x v="105"/>
    <x v="0"/>
    <s v="May"/>
    <x v="1"/>
    <s v="Mumbai"/>
    <s v="Simran Kaur"/>
    <x v="2"/>
    <x v="1"/>
    <s v="Sofas"/>
    <s v="3-Seater Sofa"/>
    <x v="2"/>
    <s v="Pending"/>
    <n v="36"/>
    <n v="38990"/>
    <n v="0.2"/>
    <n v="25400"/>
    <n v="1403639.8"/>
    <n v="914400"/>
    <n v="489239.80000000005"/>
    <n v="0.34855081766703966"/>
  </r>
  <r>
    <s v="ORD-114049"/>
    <x v="106"/>
    <x v="0"/>
    <s v="May"/>
    <x v="0"/>
    <s v="Patna"/>
    <s v="Imran Sheikh"/>
    <x v="2"/>
    <x v="4"/>
    <s v="Fitness Equipment"/>
    <s v="Resistance Bands"/>
    <x v="2"/>
    <s v="Delivered"/>
    <n v="31"/>
    <n v="999"/>
    <n v="0.12"/>
    <n v="540"/>
    <n v="30968.880000000001"/>
    <n v="16740"/>
    <n v="14228.880000000001"/>
    <n v="0.45945736494183842"/>
  </r>
  <r>
    <s v="ORD-114611"/>
    <x v="106"/>
    <x v="0"/>
    <s v="May"/>
    <x v="1"/>
    <s v="Mumbai"/>
    <s v="Anjali Mehta"/>
    <x v="2"/>
    <x v="0"/>
    <s v="Footwear"/>
    <s v="Puma Sneakers"/>
    <x v="0"/>
    <s v="Delivered"/>
    <n v="29"/>
    <n v="4499"/>
    <n v="0.18"/>
    <n v="2910"/>
    <n v="130470.82"/>
    <n v="84390"/>
    <n v="46080.820000000007"/>
    <n v="0.35318870533656493"/>
  </r>
  <r>
    <s v="ORD-114457"/>
    <x v="107"/>
    <x v="0"/>
    <s v="May"/>
    <x v="0"/>
    <s v="Bhubaneswar"/>
    <s v="Neha Deshpande"/>
    <x v="0"/>
    <x v="3"/>
    <s v="Refrigerators"/>
    <s v="Lg 260L Double Door"/>
    <x v="2"/>
    <s v="Cancelled"/>
    <n v="37"/>
    <n v="29010"/>
    <n v="0.05"/>
    <n v="19100"/>
    <n v="1073369.95"/>
    <n v="706700"/>
    <n v="366669.94999999995"/>
    <n v="0.34160631197100305"/>
  </r>
  <r>
    <s v="ORD-114483"/>
    <x v="107"/>
    <x v="0"/>
    <s v="May"/>
    <x v="2"/>
    <s v="Bhopal"/>
    <s v="Neha Deshpande"/>
    <x v="0"/>
    <x v="4"/>
    <s v="Fitness Equipment"/>
    <s v="Yoga Mat"/>
    <x v="2"/>
    <s v="Delivered"/>
    <n v="24"/>
    <n v="1299"/>
    <n v="0.12"/>
    <n v="720"/>
    <n v="31175.88"/>
    <n v="17280"/>
    <n v="13895.880000000001"/>
    <n v="0.44572534921227563"/>
  </r>
  <r>
    <s v="ORD-114340"/>
    <x v="108"/>
    <x v="0"/>
    <s v="May"/>
    <x v="0"/>
    <s v="Kolkata"/>
    <s v="Kartik Raman"/>
    <x v="0"/>
    <x v="3"/>
    <s v="Washing Machines"/>
    <s v="Lg 6.5Kg Washing Machine"/>
    <x v="2"/>
    <s v="Delivered"/>
    <n v="29"/>
    <n v="29010"/>
    <n v="0.05"/>
    <n v="19150"/>
    <n v="841289.95"/>
    <n v="555350"/>
    <n v="285939.94999999995"/>
    <n v="0.33988275980237248"/>
  </r>
  <r>
    <s v="ORD-114479"/>
    <x v="108"/>
    <x v="0"/>
    <s v="May"/>
    <x v="1"/>
    <s v="Mumbai"/>
    <s v="Ritika Ghosh"/>
    <x v="1"/>
    <x v="0"/>
    <s v="Footwear"/>
    <s v="Nike Running Shoes"/>
    <x v="2"/>
    <s v="Pending"/>
    <n v="6"/>
    <n v="6499"/>
    <n v="0.05"/>
    <n v="4210"/>
    <n v="38993.949999999997"/>
    <n v="25260"/>
    <n v="13733.949999999997"/>
    <n v="0.35220720137354639"/>
  </r>
  <r>
    <s v="ORD-114486"/>
    <x v="108"/>
    <x v="0"/>
    <s v="May"/>
    <x v="1"/>
    <s v="Surat"/>
    <s v="Sourav Das"/>
    <x v="1"/>
    <x v="3"/>
    <s v="Refrigerators"/>
    <s v="Whirlpool 265L Refrigerator"/>
    <x v="0"/>
    <s v="Cancelled"/>
    <n v="25"/>
    <n v="27890"/>
    <n v="0.08"/>
    <n v="18800"/>
    <n v="697249.92"/>
    <n v="470000"/>
    <n v="227249.92000000004"/>
    <n v="0.32592319264805369"/>
  </r>
  <r>
    <s v="ORD-114500"/>
    <x v="108"/>
    <x v="0"/>
    <s v="May"/>
    <x v="1"/>
    <s v="Ahmedabad"/>
    <s v="Imran Sheikh"/>
    <x v="2"/>
    <x v="3"/>
    <s v="Kitchen Appliances"/>
    <s v="Bajaj Otg"/>
    <x v="1"/>
    <s v="Cancelled"/>
    <n v="19"/>
    <n v="5890"/>
    <n v="0.2"/>
    <n v="3980"/>
    <n v="111909.8"/>
    <n v="75620"/>
    <n v="36289.800000000003"/>
    <n v="0.32427723041234996"/>
  </r>
  <r>
    <s v="ORD-114024"/>
    <x v="109"/>
    <x v="0"/>
    <s v="May"/>
    <x v="4"/>
    <s v="Kochi"/>
    <s v="Simran Kaur"/>
    <x v="0"/>
    <x v="3"/>
    <s v="Washing Machines"/>
    <s v="Samsung 7Kg Washing Machine"/>
    <x v="1"/>
    <s v="Cancelled"/>
    <n v="1"/>
    <n v="32800"/>
    <n v="0.12"/>
    <n v="23100"/>
    <n v="32799.879999999997"/>
    <n v="23100"/>
    <n v="9699.8799999999974"/>
    <n v="0.29572913071633183"/>
  </r>
  <r>
    <s v="ORD-114028"/>
    <x v="109"/>
    <x v="0"/>
    <s v="May"/>
    <x v="2"/>
    <s v="Ujjain"/>
    <s v="Imran Sheikh"/>
    <x v="1"/>
    <x v="0"/>
    <s v="Apparel"/>
    <s v="Women'S Kurti"/>
    <x v="1"/>
    <s v="Returned"/>
    <n v="21"/>
    <n v="1599"/>
    <n v="0.08"/>
    <n v="920"/>
    <n v="33578.92"/>
    <n v="19320"/>
    <n v="14258.919999999998"/>
    <n v="0.42463902948635629"/>
  </r>
  <r>
    <s v="ORD-114031"/>
    <x v="109"/>
    <x v="0"/>
    <s v="May"/>
    <x v="2"/>
    <s v="Bhopal"/>
    <s v="Imran Sheikh"/>
    <x v="2"/>
    <x v="4"/>
    <s v="Fitness Equipment"/>
    <s v="Resistance Bands"/>
    <x v="0"/>
    <s v="Delivered"/>
    <n v="7"/>
    <n v="999"/>
    <n v="0.08"/>
    <n v="540"/>
    <n v="6992.92"/>
    <n v="3780"/>
    <n v="3212.92"/>
    <n v="0.45945327559874843"/>
  </r>
  <r>
    <s v="ORD-114039"/>
    <x v="109"/>
    <x v="0"/>
    <s v="May"/>
    <x v="0"/>
    <s v="Bhubaneswar"/>
    <s v="Kartik Raman"/>
    <x v="0"/>
    <x v="4"/>
    <s v="Fitness Equipment"/>
    <s v="Yoga Mat"/>
    <x v="1"/>
    <s v="Delivered"/>
    <n v="12"/>
    <n v="1299"/>
    <n v="0.15"/>
    <n v="720"/>
    <n v="15587.85"/>
    <n v="8640"/>
    <n v="6947.85"/>
    <n v="0.44572214898141821"/>
  </r>
  <r>
    <s v="ORD-114114"/>
    <x v="109"/>
    <x v="0"/>
    <s v="May"/>
    <x v="4"/>
    <s v="Bengaluru"/>
    <s v="Pooja Chouhan"/>
    <x v="1"/>
    <x v="2"/>
    <s v="Mobiles"/>
    <s v="Oneplus Nord Ce 3"/>
    <x v="0"/>
    <s v="Delivered"/>
    <n v="2"/>
    <n v="25999"/>
    <n v="0.08"/>
    <n v="17800"/>
    <n v="51997.919999999998"/>
    <n v="35600"/>
    <n v="16397.919999999998"/>
    <n v="0.31535722967380231"/>
  </r>
  <r>
    <s v="ORD-114313"/>
    <x v="109"/>
    <x v="0"/>
    <s v="May"/>
    <x v="1"/>
    <s v="Surat"/>
    <s v="Neha Deshpande"/>
    <x v="0"/>
    <x v="2"/>
    <s v="Audio Devices"/>
    <s v="Jbl Tune 510Bt"/>
    <x v="1"/>
    <s v="Cancelled"/>
    <n v="20"/>
    <n v="3299"/>
    <n v="0.12"/>
    <n v="2050"/>
    <n v="65979.88"/>
    <n v="41000"/>
    <n v="24979.880000000005"/>
    <n v="0.37859844546549648"/>
  </r>
  <r>
    <s v="ORD-114487"/>
    <x v="110"/>
    <x v="0"/>
    <s v="May"/>
    <x v="3"/>
    <s v="Jaipur"/>
    <s v="Aditya Verma"/>
    <x v="2"/>
    <x v="4"/>
    <s v="Fitness Equipment"/>
    <s v="Dumbbell Set"/>
    <x v="0"/>
    <s v="Returned"/>
    <n v="35"/>
    <n v="3499"/>
    <n v="0.2"/>
    <n v="2190"/>
    <n v="122464.8"/>
    <n v="76650"/>
    <n v="45814.8"/>
    <n v="0.37410586552217456"/>
  </r>
  <r>
    <s v="ORD-114572"/>
    <x v="111"/>
    <x v="0"/>
    <s v="May"/>
    <x v="3"/>
    <s v="Delhi"/>
    <s v="Imran Sheikh"/>
    <x v="2"/>
    <x v="4"/>
    <s v="Fitness Equipment"/>
    <s v="Yoga Mat"/>
    <x v="0"/>
    <s v="Delivered"/>
    <n v="36"/>
    <n v="1299"/>
    <n v="0.1"/>
    <n v="720"/>
    <n v="46763.9"/>
    <n v="25920"/>
    <n v="20843.900000000001"/>
    <n v="0.44572629742172915"/>
  </r>
  <r>
    <s v="ORD-114626"/>
    <x v="111"/>
    <x v="0"/>
    <s v="May"/>
    <x v="4"/>
    <s v="Bengaluru"/>
    <s v="Imran Sheikh"/>
    <x v="0"/>
    <x v="0"/>
    <s v="Apparel"/>
    <s v="Denim Jeans"/>
    <x v="1"/>
    <s v="Delivered"/>
    <n v="10"/>
    <n v="2499"/>
    <n v="0.18"/>
    <n v="1510"/>
    <n v="24989.82"/>
    <n v="15100"/>
    <n v="9889.82"/>
    <n v="0.3957539510088508"/>
  </r>
  <r>
    <s v="ORD-114050"/>
    <x v="112"/>
    <x v="0"/>
    <s v="May"/>
    <x v="4"/>
    <s v="Hyderabad"/>
    <s v="Kartik Raman"/>
    <x v="0"/>
    <x v="3"/>
    <s v="Washing Machines"/>
    <s v="Lg 6.5Kg Washing Machine"/>
    <x v="1"/>
    <s v="Returned"/>
    <n v="19"/>
    <n v="29010"/>
    <n v="0.08"/>
    <n v="19150"/>
    <n v="551189.92000000004"/>
    <n v="363850"/>
    <n v="187339.92000000004"/>
    <n v="0.33988270322505176"/>
  </r>
  <r>
    <s v="ORD-114488"/>
    <x v="112"/>
    <x v="0"/>
    <s v="May"/>
    <x v="1"/>
    <s v="Pune"/>
    <s v="Ritika Ghosh"/>
    <x v="1"/>
    <x v="3"/>
    <s v="Washing Machines"/>
    <s v="Samsung 7Kg Washing Machine"/>
    <x v="0"/>
    <s v="Cancelled"/>
    <n v="40"/>
    <n v="32800"/>
    <n v="0.12"/>
    <n v="23100"/>
    <n v="1311999.8799999999"/>
    <n v="924000"/>
    <n v="387999.87999999989"/>
    <n v="0.29573164290228438"/>
  </r>
  <r>
    <s v="ORD-114738"/>
    <x v="112"/>
    <x v="0"/>
    <s v="May"/>
    <x v="3"/>
    <s v="Chandigarh"/>
    <s v="Ritika Ghosh"/>
    <x v="0"/>
    <x v="2"/>
    <s v="Laptops"/>
    <s v="Dell Inspiron 3511"/>
    <x v="1"/>
    <s v="Delivered"/>
    <n v="33"/>
    <n v="55230"/>
    <n v="0.2"/>
    <n v="33800"/>
    <n v="1822589.8"/>
    <n v="1115400"/>
    <n v="707189.8"/>
    <n v="0.38801369348166004"/>
  </r>
  <r>
    <s v="ORD-114138"/>
    <x v="113"/>
    <x v="0"/>
    <s v="May"/>
    <x v="2"/>
    <s v="Bhopal"/>
    <s v="Neha Deshpande"/>
    <x v="1"/>
    <x v="0"/>
    <s v="Footwear"/>
    <s v="Adidas Sports Shoes"/>
    <x v="2"/>
    <s v="Returned"/>
    <n v="20"/>
    <n v="5999"/>
    <n v="0.2"/>
    <n v="3890"/>
    <n v="119979.8"/>
    <n v="77800"/>
    <n v="42179.8"/>
    <n v="0.35155751218121717"/>
  </r>
  <r>
    <s v="ORD-114236"/>
    <x v="113"/>
    <x v="0"/>
    <s v="May"/>
    <x v="2"/>
    <s v="Raipur"/>
    <s v="Simran Kaur"/>
    <x v="1"/>
    <x v="2"/>
    <s v="Audio Devices"/>
    <s v="Sony Wh-Ch520"/>
    <x v="2"/>
    <s v="Delivered"/>
    <n v="2"/>
    <n v="4490"/>
    <n v="0.15"/>
    <n v="2950"/>
    <n v="8979.85"/>
    <n v="5900"/>
    <n v="3079.8500000000004"/>
    <n v="0.34297343496829014"/>
  </r>
  <r>
    <s v="ORD-114284"/>
    <x v="113"/>
    <x v="0"/>
    <s v="May"/>
    <x v="1"/>
    <s v="Surat"/>
    <s v="Pooja Chouhan"/>
    <x v="0"/>
    <x v="3"/>
    <s v="Refrigerators"/>
    <s v="Lg 260L Double Door"/>
    <x v="0"/>
    <s v="Delivered"/>
    <n v="11"/>
    <n v="29010"/>
    <n v="0.2"/>
    <n v="19100"/>
    <n v="319109.8"/>
    <n v="210100"/>
    <n v="109009.79999999999"/>
    <n v="0.34160592999650902"/>
  </r>
  <r>
    <s v="ORD-114571"/>
    <x v="113"/>
    <x v="0"/>
    <s v="May"/>
    <x v="4"/>
    <s v="Hyderabad"/>
    <s v="Rahul Singh"/>
    <x v="2"/>
    <x v="1"/>
    <s v="Sofas"/>
    <s v="L-Shape Sofa"/>
    <x v="1"/>
    <s v="Delivered"/>
    <n v="10"/>
    <n v="52990"/>
    <n v="0.08"/>
    <n v="35100"/>
    <n v="529899.92000000004"/>
    <n v="351000"/>
    <n v="178899.92000000004"/>
    <n v="0.33761076997331879"/>
  </r>
  <r>
    <s v="ORD-114455"/>
    <x v="114"/>
    <x v="0"/>
    <s v="May"/>
    <x v="3"/>
    <s v="Chandigarh"/>
    <s v="Imran Sheikh"/>
    <x v="1"/>
    <x v="2"/>
    <s v="Mobiles"/>
    <s v="Oneplus Nord Ce 3"/>
    <x v="0"/>
    <s v="Delivered"/>
    <n v="11"/>
    <n v="25999"/>
    <n v="0.05"/>
    <n v="17800"/>
    <n v="285988.95"/>
    <n v="195800"/>
    <n v="90188.950000000012"/>
    <n v="0.31535816331365252"/>
  </r>
  <r>
    <s v="ORD-114668"/>
    <x v="114"/>
    <x v="0"/>
    <s v="May"/>
    <x v="1"/>
    <s v="Mumbai"/>
    <s v="Rahul Singh"/>
    <x v="0"/>
    <x v="3"/>
    <s v="Washing Machines"/>
    <s v="Ifb 7Kg Washing Machine"/>
    <x v="0"/>
    <s v="Delivered"/>
    <n v="2"/>
    <n v="31990"/>
    <n v="0.05"/>
    <n v="21800"/>
    <n v="63979.95"/>
    <n v="43600"/>
    <n v="20379.949999999997"/>
    <n v="0.3185365102661068"/>
  </r>
  <r>
    <s v="ORD-114003"/>
    <x v="115"/>
    <x v="0"/>
    <s v="May"/>
    <x v="2"/>
    <s v="Raipur"/>
    <s v="Aditya Verma"/>
    <x v="0"/>
    <x v="4"/>
    <s v="Fitness Equipment"/>
    <s v="Yoga Mat"/>
    <x v="1"/>
    <s v="Returned"/>
    <n v="28"/>
    <n v="1299"/>
    <n v="0.1"/>
    <n v="720"/>
    <n v="36371.9"/>
    <n v="20160"/>
    <n v="16211.900000000001"/>
    <n v="0.44572595877586818"/>
  </r>
  <r>
    <s v="ORD-114296"/>
    <x v="115"/>
    <x v="0"/>
    <s v="May"/>
    <x v="2"/>
    <s v="Raipur"/>
    <s v="Sourav Das"/>
    <x v="2"/>
    <x v="0"/>
    <s v="Footwear"/>
    <s v="Puma Sneakers"/>
    <x v="0"/>
    <s v="Pending"/>
    <n v="40"/>
    <n v="4499"/>
    <n v="0.08"/>
    <n v="2910"/>
    <n v="179959.92"/>
    <n v="116400"/>
    <n v="63559.920000000013"/>
    <n v="0.35318931015306082"/>
  </r>
  <r>
    <s v="ORD-114551"/>
    <x v="115"/>
    <x v="0"/>
    <s v="May"/>
    <x v="2"/>
    <s v="Raipur"/>
    <s v="Simran Kaur"/>
    <x v="0"/>
    <x v="0"/>
    <s v="Footwear"/>
    <s v="Puma Sneakers"/>
    <x v="0"/>
    <s v="Delivered"/>
    <n v="16"/>
    <n v="4499"/>
    <n v="0.15"/>
    <n v="2910"/>
    <n v="71983.850000000006"/>
    <n v="46560"/>
    <n v="25423.850000000006"/>
    <n v="0.35318824986437936"/>
  </r>
  <r>
    <s v="ORD-114710"/>
    <x v="115"/>
    <x v="0"/>
    <s v="May"/>
    <x v="2"/>
    <s v="Raipur"/>
    <s v="Sourav Das"/>
    <x v="2"/>
    <x v="2"/>
    <s v="Laptops"/>
    <s v="Hp 15S"/>
    <x v="2"/>
    <s v="Delivered"/>
    <n v="2"/>
    <n v="48500"/>
    <n v="0.1"/>
    <n v="30200"/>
    <n v="96999.9"/>
    <n v="60400"/>
    <n v="36599.899999999994"/>
    <n v="0.3773189456896347"/>
  </r>
  <r>
    <s v="ORD-114077"/>
    <x v="116"/>
    <x v="0"/>
    <s v="May"/>
    <x v="3"/>
    <s v="Chandigarh"/>
    <s v="Pooja Chouhan"/>
    <x v="0"/>
    <x v="0"/>
    <s v="Apparel"/>
    <s v="Women'S Kurti"/>
    <x v="1"/>
    <s v="Delivered"/>
    <n v="19"/>
    <n v="1599"/>
    <n v="0.18"/>
    <n v="920"/>
    <n v="30380.82"/>
    <n v="17480"/>
    <n v="12900.82"/>
    <n v="0.4246369913649467"/>
  </r>
  <r>
    <s v="ORD-114359"/>
    <x v="116"/>
    <x v="0"/>
    <s v="May"/>
    <x v="2"/>
    <s v="Raipur"/>
    <s v="Imran Sheikh"/>
    <x v="1"/>
    <x v="2"/>
    <s v="Audio Devices"/>
    <s v="Sony Wh-Ch520"/>
    <x v="2"/>
    <s v="Pending"/>
    <n v="39"/>
    <n v="4490"/>
    <n v="0.15"/>
    <n v="2950"/>
    <n v="175109.85"/>
    <n v="115050"/>
    <n v="60059.850000000006"/>
    <n v="0.34298384699661388"/>
  </r>
  <r>
    <s v="ORD-114413"/>
    <x v="116"/>
    <x v="0"/>
    <s v="May"/>
    <x v="2"/>
    <s v="Indore"/>
    <s v="Pooja Chouhan"/>
    <x v="2"/>
    <x v="1"/>
    <s v="Sofas"/>
    <s v="Single Seater Recliner"/>
    <x v="2"/>
    <s v="Delivered"/>
    <n v="35"/>
    <n v="43500"/>
    <n v="0.18"/>
    <n v="29520"/>
    <n v="1522499.82"/>
    <n v="1033200"/>
    <n v="489299.82000000007"/>
    <n v="0.32137923011380065"/>
  </r>
  <r>
    <s v="ORD-114489"/>
    <x v="116"/>
    <x v="0"/>
    <s v="May"/>
    <x v="2"/>
    <s v="Raipur"/>
    <s v="Aditya Verma"/>
    <x v="0"/>
    <x v="2"/>
    <s v="Laptops"/>
    <s v="Hp 15S"/>
    <x v="0"/>
    <s v="Delivered"/>
    <n v="12"/>
    <n v="48500"/>
    <n v="0.05"/>
    <n v="30200"/>
    <n v="581999.94999999995"/>
    <n v="362400"/>
    <n v="219599.94999999995"/>
    <n v="0.37731953413398056"/>
  </r>
  <r>
    <s v="ORD-114723"/>
    <x v="116"/>
    <x v="0"/>
    <s v="May"/>
    <x v="1"/>
    <s v="Ahmedabad"/>
    <s v="Simran Kaur"/>
    <x v="0"/>
    <x v="3"/>
    <s v="Washing Machines"/>
    <s v="Samsung 7Kg Washing Machine"/>
    <x v="0"/>
    <s v="Pending"/>
    <n v="21"/>
    <n v="32800"/>
    <n v="0.2"/>
    <n v="23100"/>
    <n v="688799.8"/>
    <n v="485100"/>
    <n v="203699.80000000005"/>
    <n v="0.29573150282563965"/>
  </r>
  <r>
    <s v="ORD-114474"/>
    <x v="117"/>
    <x v="0"/>
    <s v="May"/>
    <x v="0"/>
    <s v="Kolkata"/>
    <s v="Sourav Das"/>
    <x v="1"/>
    <x v="1"/>
    <s v="Tables"/>
    <s v="Office Work Table"/>
    <x v="0"/>
    <s v="Returned"/>
    <n v="35"/>
    <n v="12490"/>
    <n v="0.08"/>
    <n v="7900"/>
    <n v="437149.92"/>
    <n v="276500"/>
    <n v="160649.91999999998"/>
    <n v="0.36749387944529416"/>
  </r>
  <r>
    <s v="ORD-114139"/>
    <x v="118"/>
    <x v="0"/>
    <s v="May"/>
    <x v="2"/>
    <s v="Ujjain"/>
    <s v="Neha Deshpande"/>
    <x v="2"/>
    <x v="2"/>
    <s v="Mobiles"/>
    <s v="Samsung Galaxy M34"/>
    <x v="2"/>
    <s v="Delivered"/>
    <n v="4"/>
    <n v="22999"/>
    <n v="0.1"/>
    <n v="15100"/>
    <n v="91995.9"/>
    <n v="60400"/>
    <n v="31595.899999999994"/>
    <n v="0.34344900153158997"/>
  </r>
  <r>
    <s v="ORD-114295"/>
    <x v="118"/>
    <x v="0"/>
    <s v="May"/>
    <x v="3"/>
    <s v="Delhi"/>
    <s v="Imran Sheikh"/>
    <x v="1"/>
    <x v="2"/>
    <s v="Mobiles"/>
    <s v="Oneplus Nord Ce 3"/>
    <x v="1"/>
    <s v="Delivered"/>
    <n v="26"/>
    <n v="25999"/>
    <n v="0.15"/>
    <n v="17800"/>
    <n v="675973.85"/>
    <n v="462800"/>
    <n v="213173.84999999998"/>
    <n v="0.31535813108746735"/>
  </r>
  <r>
    <s v="ORD-114543"/>
    <x v="118"/>
    <x v="0"/>
    <s v="May"/>
    <x v="4"/>
    <s v="Kochi"/>
    <s v="Pooja Chouhan"/>
    <x v="2"/>
    <x v="0"/>
    <s v="Footwear"/>
    <s v="Nike Running Shoes"/>
    <x v="2"/>
    <s v="Cancelled"/>
    <n v="26"/>
    <n v="6499"/>
    <n v="0.1"/>
    <n v="4210"/>
    <n v="168973.9"/>
    <n v="109460"/>
    <n v="59513.899999999994"/>
    <n v="0.35220764863686044"/>
  </r>
  <r>
    <s v="ORD-114197"/>
    <x v="119"/>
    <x v="0"/>
    <s v="May"/>
    <x v="0"/>
    <s v="Bhubaneswar"/>
    <s v="Imran Sheikh"/>
    <x v="0"/>
    <x v="3"/>
    <s v="Kitchen Appliances"/>
    <s v="Philips Air Fryer"/>
    <x v="0"/>
    <s v="Delivered"/>
    <n v="15"/>
    <n v="7299"/>
    <n v="0.1"/>
    <n v="5010"/>
    <n v="109484.9"/>
    <n v="75150"/>
    <n v="34334.899999999994"/>
    <n v="0.31360397643876003"/>
  </r>
  <r>
    <s v="ORD-114525"/>
    <x v="119"/>
    <x v="0"/>
    <s v="May"/>
    <x v="4"/>
    <s v="Hyderabad"/>
    <s v="Anjali Mehta"/>
    <x v="2"/>
    <x v="2"/>
    <s v="Laptops"/>
    <s v="Lenovo Ideapad 3"/>
    <x v="1"/>
    <s v="Delivered"/>
    <n v="40"/>
    <n v="48990"/>
    <n v="0.08"/>
    <n v="30100"/>
    <n v="1959599.92"/>
    <n v="1204000"/>
    <n v="755599.91999999993"/>
    <n v="0.38558887060987423"/>
  </r>
  <r>
    <s v="ORD-114221"/>
    <x v="120"/>
    <x v="0"/>
    <s v="May"/>
    <x v="3"/>
    <s v="Chandigarh"/>
    <s v="Pooja Chouhan"/>
    <x v="0"/>
    <x v="0"/>
    <s v="Footwear"/>
    <s v="Puma Sneakers"/>
    <x v="1"/>
    <s v="Delivered"/>
    <n v="9"/>
    <n v="4499"/>
    <n v="0.15"/>
    <n v="2910"/>
    <n v="40490.85"/>
    <n v="26190"/>
    <n v="14300.849999999999"/>
    <n v="0.35318720155294342"/>
  </r>
  <r>
    <s v="ORD-114728"/>
    <x v="120"/>
    <x v="0"/>
    <s v="May"/>
    <x v="1"/>
    <s v="Pune"/>
    <s v="Imran Sheikh"/>
    <x v="1"/>
    <x v="1"/>
    <s v="Tables"/>
    <s v="Study Table"/>
    <x v="1"/>
    <s v="Cancelled"/>
    <n v="10"/>
    <n v="6999"/>
    <n v="0.05"/>
    <n v="4320"/>
    <n v="69989.95"/>
    <n v="43200"/>
    <n v="26789.949999999997"/>
    <n v="0.38276852605266898"/>
  </r>
  <r>
    <s v="ORD-114584"/>
    <x v="121"/>
    <x v="0"/>
    <s v="May"/>
    <x v="3"/>
    <s v="Delhi"/>
    <s v="Aditya Verma"/>
    <x v="1"/>
    <x v="4"/>
    <s v="Fitness Equipment"/>
    <s v="Yoga Mat"/>
    <x v="0"/>
    <s v="Delivered"/>
    <n v="29"/>
    <n v="1299"/>
    <n v="0.15"/>
    <n v="720"/>
    <n v="37670.85"/>
    <n v="20880"/>
    <n v="16790.849999999999"/>
    <n v="0.44572527564416514"/>
  </r>
  <r>
    <s v="ORD-114636"/>
    <x v="122"/>
    <x v="0"/>
    <s v="May"/>
    <x v="3"/>
    <s v="Delhi"/>
    <s v="Rahul Singh"/>
    <x v="1"/>
    <x v="2"/>
    <s v="Mobiles"/>
    <s v="Samsung Galaxy M34"/>
    <x v="2"/>
    <s v="Delivered"/>
    <n v="22"/>
    <n v="22999"/>
    <n v="0.08"/>
    <n v="15100"/>
    <n v="505977.92"/>
    <n v="332200"/>
    <n v="173777.91999999998"/>
    <n v="0.34344961139806257"/>
  </r>
  <r>
    <s v="ORD-114172"/>
    <x v="123"/>
    <x v="0"/>
    <s v="June"/>
    <x v="1"/>
    <s v="Pune"/>
    <s v="Simran Kaur"/>
    <x v="1"/>
    <x v="1"/>
    <s v="Sofas"/>
    <s v="L-Shape Sofa"/>
    <x v="1"/>
    <s v="Pending"/>
    <n v="35"/>
    <n v="52990"/>
    <n v="0.1"/>
    <n v="35100"/>
    <n v="1854649.9"/>
    <n v="1228500"/>
    <n v="626149.89999999991"/>
    <n v="0.33761083426041755"/>
  </r>
  <r>
    <s v="ORD-114180"/>
    <x v="124"/>
    <x v="0"/>
    <s v="June"/>
    <x v="2"/>
    <s v="Bhopal"/>
    <s v="Aditya Verma"/>
    <x v="2"/>
    <x v="0"/>
    <s v="Footwear"/>
    <s v="Adidas Sports Shoes"/>
    <x v="0"/>
    <s v="Pending"/>
    <n v="19"/>
    <n v="5999"/>
    <n v="0.18"/>
    <n v="3890"/>
    <n v="113980.82"/>
    <n v="73910"/>
    <n v="40070.820000000007"/>
    <n v="0.35155756907170876"/>
  </r>
  <r>
    <s v="ORD-114579"/>
    <x v="124"/>
    <x v="0"/>
    <s v="June"/>
    <x v="2"/>
    <s v="Indore"/>
    <s v="Kartik Raman"/>
    <x v="1"/>
    <x v="0"/>
    <s v="Footwear"/>
    <s v="Adidas Sports Shoes"/>
    <x v="0"/>
    <s v="Returned"/>
    <n v="5"/>
    <n v="5999"/>
    <n v="0.2"/>
    <n v="3890"/>
    <n v="29994.799999999999"/>
    <n v="19450"/>
    <n v="10544.8"/>
    <n v="0.35155426940669715"/>
  </r>
  <r>
    <s v="ORD-114704"/>
    <x v="124"/>
    <x v="0"/>
    <s v="June"/>
    <x v="3"/>
    <s v="Lucknow"/>
    <s v="Rahul Singh"/>
    <x v="1"/>
    <x v="4"/>
    <s v="Fitness Equipment"/>
    <s v="Dumbbell Set"/>
    <x v="1"/>
    <s v="Delivered"/>
    <n v="5"/>
    <n v="3499"/>
    <n v="0.18"/>
    <n v="2190"/>
    <n v="17494.82"/>
    <n v="10950"/>
    <n v="6544.82"/>
    <n v="0.3741004480183277"/>
  </r>
  <r>
    <s v="ORD-114691"/>
    <x v="125"/>
    <x v="0"/>
    <s v="June"/>
    <x v="3"/>
    <s v="Delhi"/>
    <s v="Pooja Chouhan"/>
    <x v="1"/>
    <x v="0"/>
    <s v="Footwear"/>
    <s v="Nike Running Shoes"/>
    <x v="2"/>
    <s v="Pending"/>
    <n v="21"/>
    <n v="6499"/>
    <n v="0.08"/>
    <n v="4210"/>
    <n v="136478.92000000001"/>
    <n v="88410"/>
    <n v="48068.920000000013"/>
    <n v="0.35220765228798712"/>
  </r>
  <r>
    <s v="ORD-114641"/>
    <x v="126"/>
    <x v="0"/>
    <s v="June"/>
    <x v="1"/>
    <s v="Pune"/>
    <s v="Anjali Mehta"/>
    <x v="0"/>
    <x v="1"/>
    <s v="Tables"/>
    <s v="Office Work Table"/>
    <x v="1"/>
    <s v="Delivered"/>
    <n v="31"/>
    <n v="12490"/>
    <n v="0.18"/>
    <n v="7900"/>
    <n v="387189.82"/>
    <n v="244900"/>
    <n v="142289.82"/>
    <n v="0.36749370115154373"/>
  </r>
  <r>
    <s v="ORD-114652"/>
    <x v="126"/>
    <x v="0"/>
    <s v="June"/>
    <x v="0"/>
    <s v="Bhubaneswar"/>
    <s v="Simran Kaur"/>
    <x v="2"/>
    <x v="4"/>
    <s v="Fitness Equipment"/>
    <s v="Dumbbell Set"/>
    <x v="2"/>
    <s v="Pending"/>
    <n v="9"/>
    <n v="3499"/>
    <n v="0.2"/>
    <n v="2190"/>
    <n v="31490.799999999999"/>
    <n v="19710"/>
    <n v="11780.8"/>
    <n v="0.37410291259669487"/>
  </r>
  <r>
    <s v="ORD-114144"/>
    <x v="127"/>
    <x v="0"/>
    <s v="June"/>
    <x v="2"/>
    <s v="Raipur"/>
    <s v="Rahul Singh"/>
    <x v="0"/>
    <x v="4"/>
    <s v="Fitness Equipment"/>
    <s v="Dumbbell Set"/>
    <x v="1"/>
    <s v="Pending"/>
    <n v="10"/>
    <n v="3499"/>
    <n v="0.1"/>
    <n v="2190"/>
    <n v="34989.9"/>
    <n v="21900"/>
    <n v="13089.900000000001"/>
    <n v="0.37410509889996829"/>
  </r>
  <r>
    <s v="ORD-114305"/>
    <x v="128"/>
    <x v="0"/>
    <s v="June"/>
    <x v="3"/>
    <s v="Delhi"/>
    <s v="Anjali Mehta"/>
    <x v="1"/>
    <x v="4"/>
    <s v="Fitness Equipment"/>
    <s v="Dumbbell Set"/>
    <x v="1"/>
    <s v="Cancelled"/>
    <n v="19"/>
    <n v="3499"/>
    <n v="0.2"/>
    <n v="2190"/>
    <n v="66480.800000000003"/>
    <n v="41610"/>
    <n v="24870.800000000003"/>
    <n v="0.37410500475325209"/>
  </r>
  <r>
    <s v="ORD-114493"/>
    <x v="128"/>
    <x v="0"/>
    <s v="June"/>
    <x v="4"/>
    <s v="Bengaluru"/>
    <s v="Aditya Verma"/>
    <x v="0"/>
    <x v="2"/>
    <s v="Audio Devices"/>
    <s v="Sony Wh-Ch520"/>
    <x v="1"/>
    <s v="Cancelled"/>
    <n v="25"/>
    <n v="4490"/>
    <n v="0.18"/>
    <n v="2950"/>
    <n v="112249.82"/>
    <n v="73750"/>
    <n v="38499.820000000007"/>
    <n v="0.3429833562316626"/>
  </r>
  <r>
    <s v="ORD-114685"/>
    <x v="128"/>
    <x v="0"/>
    <s v="June"/>
    <x v="0"/>
    <s v="Kolkata"/>
    <s v="Ritika Ghosh"/>
    <x v="0"/>
    <x v="0"/>
    <s v="Footwear"/>
    <s v="Adidas Sports Shoes"/>
    <x v="2"/>
    <s v="Cancelled"/>
    <n v="39"/>
    <n v="5999"/>
    <n v="0.18"/>
    <n v="3890"/>
    <n v="233960.82"/>
    <n v="151710"/>
    <n v="82250.820000000007"/>
    <n v="0.35155809421423639"/>
  </r>
  <r>
    <s v="ORD-114253"/>
    <x v="129"/>
    <x v="0"/>
    <s v="June"/>
    <x v="1"/>
    <s v="Ahmedabad"/>
    <s v="Sourav Das"/>
    <x v="2"/>
    <x v="4"/>
    <s v="Fitness Equipment"/>
    <s v="Dumbbell Set"/>
    <x v="2"/>
    <s v="Pending"/>
    <n v="13"/>
    <n v="3499"/>
    <n v="0.12"/>
    <n v="2190"/>
    <n v="45486.879999999997"/>
    <n v="28470"/>
    <n v="17016.879999999997"/>
    <n v="0.37410523649896404"/>
  </r>
  <r>
    <s v="ORD-114476"/>
    <x v="129"/>
    <x v="0"/>
    <s v="June"/>
    <x v="4"/>
    <s v="Hyderabad"/>
    <s v="Sourav Das"/>
    <x v="2"/>
    <x v="4"/>
    <s v="Fitness Equipment"/>
    <s v="Yoga Mat"/>
    <x v="1"/>
    <s v="Delivered"/>
    <n v="22"/>
    <n v="1299"/>
    <n v="0.08"/>
    <n v="720"/>
    <n v="28577.919999999998"/>
    <n v="15840"/>
    <n v="12737.919999999998"/>
    <n v="0.4457259310684612"/>
  </r>
  <r>
    <s v="ORD-114241"/>
    <x v="130"/>
    <x v="0"/>
    <s v="June"/>
    <x v="2"/>
    <s v="Raipur"/>
    <s v="Rahul Singh"/>
    <x v="1"/>
    <x v="2"/>
    <s v="Audio Devices"/>
    <s v="Jbl Tune 510Bt"/>
    <x v="0"/>
    <s v="Pending"/>
    <n v="3"/>
    <n v="3299"/>
    <n v="0.08"/>
    <n v="2050"/>
    <n v="9896.92"/>
    <n v="6150"/>
    <n v="3746.92"/>
    <n v="0.37859455264870284"/>
  </r>
  <r>
    <s v="ORD-114094"/>
    <x v="131"/>
    <x v="0"/>
    <s v="June"/>
    <x v="4"/>
    <s v="Bengaluru"/>
    <s v="Simran Kaur"/>
    <x v="0"/>
    <x v="1"/>
    <s v="Sofas"/>
    <s v="L-Shape Sofa"/>
    <x v="1"/>
    <s v="Delivered"/>
    <n v="35"/>
    <n v="52990"/>
    <n v="0.12"/>
    <n v="35100"/>
    <n v="1854649.88"/>
    <n v="1228500"/>
    <n v="626149.87999999989"/>
    <n v="0.33761082711740714"/>
  </r>
  <r>
    <s v="ORD-114328"/>
    <x v="131"/>
    <x v="0"/>
    <s v="June"/>
    <x v="1"/>
    <s v="Mumbai"/>
    <s v="Neha Deshpande"/>
    <x v="0"/>
    <x v="1"/>
    <s v="Tables"/>
    <s v="6-Seater Dining Table"/>
    <x v="0"/>
    <s v="Cancelled"/>
    <n v="32"/>
    <n v="25110"/>
    <n v="0.18"/>
    <n v="16730"/>
    <n v="803519.82"/>
    <n v="535360"/>
    <n v="268159.81999999995"/>
    <n v="0.33373143178969744"/>
  </r>
  <r>
    <s v="ORD-114587"/>
    <x v="131"/>
    <x v="0"/>
    <s v="June"/>
    <x v="2"/>
    <s v="Bhopal"/>
    <s v="Ritika Ghosh"/>
    <x v="0"/>
    <x v="2"/>
    <s v="Laptops"/>
    <s v="Dell Inspiron 3511"/>
    <x v="0"/>
    <s v="Pending"/>
    <n v="26"/>
    <n v="55230"/>
    <n v="0.18"/>
    <n v="33800"/>
    <n v="1435979.82"/>
    <n v="878800"/>
    <n v="557179.82000000007"/>
    <n v="0.38801368392488972"/>
  </r>
  <r>
    <s v="ORD-114536"/>
    <x v="132"/>
    <x v="0"/>
    <s v="June"/>
    <x v="4"/>
    <s v="Chennai"/>
    <s v="Neha Deshpande"/>
    <x v="1"/>
    <x v="4"/>
    <s v="Fitness Equipment"/>
    <s v="Yoga Mat"/>
    <x v="2"/>
    <s v="Delivered"/>
    <n v="2"/>
    <n v="1299"/>
    <n v="0.2"/>
    <n v="720"/>
    <n v="2597.8000000000002"/>
    <n v="1440"/>
    <n v="1157.8000000000002"/>
    <n v="0.44568481022403578"/>
  </r>
  <r>
    <s v="ORD-114117"/>
    <x v="133"/>
    <x v="0"/>
    <s v="June"/>
    <x v="3"/>
    <s v="Delhi"/>
    <s v="Simran Kaur"/>
    <x v="0"/>
    <x v="0"/>
    <s v="Footwear"/>
    <s v="Adidas Sports Shoes"/>
    <x v="0"/>
    <s v="Cancelled"/>
    <n v="5"/>
    <n v="5999"/>
    <n v="0.05"/>
    <n v="3890"/>
    <n v="29994.95"/>
    <n v="19450"/>
    <n v="10544.95"/>
    <n v="0.35155751218121717"/>
  </r>
  <r>
    <s v="ORD-114350"/>
    <x v="133"/>
    <x v="0"/>
    <s v="June"/>
    <x v="0"/>
    <s v="Bhubaneswar"/>
    <s v="Rahul Singh"/>
    <x v="0"/>
    <x v="0"/>
    <s v="Footwear"/>
    <s v="Nike Running Shoes"/>
    <x v="1"/>
    <s v="Delivered"/>
    <n v="29"/>
    <n v="6499"/>
    <n v="0.2"/>
    <n v="4210"/>
    <n v="188470.8"/>
    <n v="122090"/>
    <n v="66380.799999999988"/>
    <n v="0.35220734458600478"/>
  </r>
  <r>
    <s v="ORD-114080"/>
    <x v="134"/>
    <x v="0"/>
    <s v="June"/>
    <x v="1"/>
    <s v="Ahmedabad"/>
    <s v="Sourav Das"/>
    <x v="0"/>
    <x v="4"/>
    <s v="Fitness Equipment"/>
    <s v="Dumbbell Set"/>
    <x v="1"/>
    <s v="Pending"/>
    <n v="3"/>
    <n v="3499"/>
    <n v="0.12"/>
    <n v="2190"/>
    <n v="10496.88"/>
    <n v="6570"/>
    <n v="3926.8799999999992"/>
    <n v="0.3740997324919404"/>
  </r>
  <r>
    <s v="ORD-114207"/>
    <x v="134"/>
    <x v="0"/>
    <s v="June"/>
    <x v="1"/>
    <s v="Surat"/>
    <s v="Kartik Raman"/>
    <x v="0"/>
    <x v="2"/>
    <s v="Mobiles"/>
    <s v="Iphone 13"/>
    <x v="1"/>
    <s v="Delivered"/>
    <n v="9"/>
    <n v="52990"/>
    <n v="0.12"/>
    <n v="39500"/>
    <n v="476909.88"/>
    <n v="355500"/>
    <n v="121409.88"/>
    <n v="0.25457614759417441"/>
  </r>
  <r>
    <s v="ORD-114277"/>
    <x v="134"/>
    <x v="0"/>
    <s v="June"/>
    <x v="4"/>
    <s v="Chennai"/>
    <s v="Aditya Verma"/>
    <x v="1"/>
    <x v="4"/>
    <s v="Fitness Equipment"/>
    <s v="Resistance Bands"/>
    <x v="2"/>
    <s v="Pending"/>
    <n v="35"/>
    <n v="999"/>
    <n v="0.08"/>
    <n v="540"/>
    <n v="34964.92"/>
    <n v="18900"/>
    <n v="16064.919999999998"/>
    <n v="0.45945822269863623"/>
  </r>
  <r>
    <s v="ORD-114499"/>
    <x v="134"/>
    <x v="0"/>
    <s v="June"/>
    <x v="1"/>
    <s v="Surat"/>
    <s v="Kartik Raman"/>
    <x v="0"/>
    <x v="4"/>
    <s v="Fitness Equipment"/>
    <s v="Yoga Mat"/>
    <x v="0"/>
    <s v="Delivered"/>
    <n v="35"/>
    <n v="1299"/>
    <n v="0.1"/>
    <n v="720"/>
    <n v="45464.9"/>
    <n v="25200"/>
    <n v="20264.900000000001"/>
    <n v="0.44572626355716172"/>
  </r>
  <r>
    <s v="ORD-114545"/>
    <x v="134"/>
    <x v="0"/>
    <s v="June"/>
    <x v="1"/>
    <s v="Mumbai"/>
    <s v="Kartik Raman"/>
    <x v="1"/>
    <x v="3"/>
    <s v="Refrigerators"/>
    <s v="Whirlpool 265L Refrigerator"/>
    <x v="0"/>
    <s v="Delivered"/>
    <n v="26"/>
    <n v="27890"/>
    <n v="0.12"/>
    <n v="18800"/>
    <n v="725139.88"/>
    <n v="488800"/>
    <n v="236339.88"/>
    <n v="0.3259231584394448"/>
  </r>
  <r>
    <s v="ORD-114467"/>
    <x v="135"/>
    <x v="0"/>
    <s v="June"/>
    <x v="2"/>
    <s v="Raipur"/>
    <s v="Neha Deshpande"/>
    <x v="2"/>
    <x v="2"/>
    <s v="Laptops"/>
    <s v="Lenovo Ideapad 3"/>
    <x v="1"/>
    <s v="Cancelled"/>
    <n v="38"/>
    <n v="48990"/>
    <n v="0.05"/>
    <n v="30100"/>
    <n v="1861619.95"/>
    <n v="1143800"/>
    <n v="717819.95"/>
    <n v="0.38558887919094331"/>
  </r>
  <r>
    <s v="ORD-114577"/>
    <x v="135"/>
    <x v="0"/>
    <s v="June"/>
    <x v="4"/>
    <s v="Chennai"/>
    <s v="Imran Sheikh"/>
    <x v="0"/>
    <x v="1"/>
    <s v="Sofas"/>
    <s v="Single Seater Recliner"/>
    <x v="0"/>
    <s v="Returned"/>
    <n v="22"/>
    <n v="43500"/>
    <n v="0.2"/>
    <n v="29520"/>
    <n v="956999.8"/>
    <n v="649440"/>
    <n v="307559.80000000005"/>
    <n v="0.32137916852229231"/>
  </r>
  <r>
    <s v="ORD-114741"/>
    <x v="135"/>
    <x v="0"/>
    <s v="June"/>
    <x v="3"/>
    <s v="Jaipur"/>
    <s v="Simran Kaur"/>
    <x v="0"/>
    <x v="1"/>
    <s v="Tables"/>
    <s v="Study Table"/>
    <x v="1"/>
    <s v="Returned"/>
    <n v="40"/>
    <n v="6999"/>
    <n v="0.12"/>
    <n v="4320"/>
    <n v="279959.88"/>
    <n v="172800"/>
    <n v="107159.88"/>
    <n v="0.382768702429791"/>
  </r>
  <r>
    <s v="ORD-114311"/>
    <x v="136"/>
    <x v="0"/>
    <s v="June"/>
    <x v="2"/>
    <s v="Ujjain"/>
    <s v="Sourav Das"/>
    <x v="2"/>
    <x v="3"/>
    <s v="Kitchen Appliances"/>
    <s v="Philips Air Fryer"/>
    <x v="2"/>
    <s v="Delivered"/>
    <n v="26"/>
    <n v="7299"/>
    <n v="0.18"/>
    <n v="5010"/>
    <n v="189773.82"/>
    <n v="130260"/>
    <n v="59513.820000000007"/>
    <n v="0.3136039523259847"/>
  </r>
  <r>
    <s v="ORD-114720"/>
    <x v="136"/>
    <x v="0"/>
    <s v="June"/>
    <x v="3"/>
    <s v="Chandigarh"/>
    <s v="Rahul Singh"/>
    <x v="2"/>
    <x v="2"/>
    <s v="Mobiles"/>
    <s v="Samsung Galaxy M34"/>
    <x v="0"/>
    <s v="Returned"/>
    <n v="36"/>
    <n v="22999"/>
    <n v="0.18"/>
    <n v="15100"/>
    <n v="827963.82"/>
    <n v="543600"/>
    <n v="284363.81999999995"/>
    <n v="0.34344957247044922"/>
  </r>
  <r>
    <s v="ORD-114252"/>
    <x v="137"/>
    <x v="0"/>
    <s v="June"/>
    <x v="4"/>
    <s v="Kochi"/>
    <s v="Ritika Ghosh"/>
    <x v="1"/>
    <x v="1"/>
    <s v="Tables"/>
    <s v="Study Table"/>
    <x v="2"/>
    <s v="Pending"/>
    <n v="25"/>
    <n v="6999"/>
    <n v="0.2"/>
    <n v="4320"/>
    <n v="174974.8"/>
    <n v="108000"/>
    <n v="66974.799999999988"/>
    <n v="0.38276826148679693"/>
  </r>
  <r>
    <s v="ORD-114408"/>
    <x v="138"/>
    <x v="0"/>
    <s v="June"/>
    <x v="3"/>
    <s v="Jaipur"/>
    <s v="Pooja Chouhan"/>
    <x v="0"/>
    <x v="1"/>
    <s v="Sofas"/>
    <s v="Single Seater Recliner"/>
    <x v="1"/>
    <s v="Pending"/>
    <n v="17"/>
    <n v="43500"/>
    <n v="0.05"/>
    <n v="29520"/>
    <n v="739499.95"/>
    <n v="501840"/>
    <n v="237659.94999999995"/>
    <n v="0.32137926446107262"/>
  </r>
  <r>
    <s v="ORD-114416"/>
    <x v="138"/>
    <x v="0"/>
    <s v="June"/>
    <x v="1"/>
    <s v="Mumbai"/>
    <s v="Aditya Verma"/>
    <x v="2"/>
    <x v="0"/>
    <s v="Footwear"/>
    <s v="Puma Sneakers"/>
    <x v="0"/>
    <s v="Delivered"/>
    <n v="2"/>
    <n v="4499"/>
    <n v="0.12"/>
    <n v="2910"/>
    <n v="8997.8799999999992"/>
    <n v="5820"/>
    <n v="3177.8799999999992"/>
    <n v="0.35318097151773525"/>
  </r>
  <r>
    <s v="ORD-114424"/>
    <x v="138"/>
    <x v="0"/>
    <s v="June"/>
    <x v="3"/>
    <s v="Jaipur"/>
    <s v="Kartik Raman"/>
    <x v="1"/>
    <x v="1"/>
    <s v="Tables"/>
    <s v="Study Table"/>
    <x v="1"/>
    <s v="Delivered"/>
    <n v="38"/>
    <n v="6999"/>
    <n v="0.12"/>
    <n v="4320"/>
    <n v="265961.88"/>
    <n v="164160"/>
    <n v="101801.88"/>
    <n v="0.38276868850528506"/>
  </r>
  <r>
    <s v="ORD-114559"/>
    <x v="139"/>
    <x v="0"/>
    <s v="June"/>
    <x v="3"/>
    <s v="Delhi"/>
    <s v="Simran Kaur"/>
    <x v="2"/>
    <x v="2"/>
    <s v="Audio Devices"/>
    <s v="Boat Airdopes 131"/>
    <x v="0"/>
    <s v="Cancelled"/>
    <n v="27"/>
    <n v="1930"/>
    <n v="0.05"/>
    <n v="1120"/>
    <n v="52109.95"/>
    <n v="30240"/>
    <n v="21869.949999999997"/>
    <n v="0.41968856235709301"/>
  </r>
  <r>
    <s v="ORD-114623"/>
    <x v="140"/>
    <x v="0"/>
    <s v="June"/>
    <x v="1"/>
    <s v="Ahmedabad"/>
    <s v="Ritika Ghosh"/>
    <x v="2"/>
    <x v="4"/>
    <s v="Fitness Equipment"/>
    <s v="Dumbbell Set"/>
    <x v="1"/>
    <s v="Delivered"/>
    <n v="38"/>
    <n v="3499"/>
    <n v="0.08"/>
    <n v="2190"/>
    <n v="132961.92000000001"/>
    <n v="83220"/>
    <n v="49741.920000000013"/>
    <n v="0.37410651109731274"/>
  </r>
  <r>
    <s v="ORD-114056"/>
    <x v="141"/>
    <x v="0"/>
    <s v="June"/>
    <x v="1"/>
    <s v="Pune"/>
    <s v="Simran Kaur"/>
    <x v="1"/>
    <x v="2"/>
    <s v="Mobiles"/>
    <s v="Samsung Galaxy M34"/>
    <x v="2"/>
    <s v="Delivered"/>
    <n v="30"/>
    <n v="22999"/>
    <n v="0.1"/>
    <n v="15100"/>
    <n v="689969.9"/>
    <n v="453000"/>
    <n v="236969.90000000002"/>
    <n v="0.34344962004864271"/>
  </r>
  <r>
    <s v="ORD-114191"/>
    <x v="141"/>
    <x v="0"/>
    <s v="June"/>
    <x v="4"/>
    <s v="Chennai"/>
    <s v="Neha Deshpande"/>
    <x v="2"/>
    <x v="1"/>
    <s v="Tables"/>
    <s v="Study Table"/>
    <x v="0"/>
    <s v="Returned"/>
    <n v="20"/>
    <n v="6999"/>
    <n v="0.15"/>
    <n v="4320"/>
    <n v="139979.85"/>
    <n v="86400"/>
    <n v="53579.850000000006"/>
    <n v="0.38276830558112473"/>
  </r>
  <r>
    <s v="ORD-114104"/>
    <x v="142"/>
    <x v="0"/>
    <s v="June"/>
    <x v="4"/>
    <s v="Chennai"/>
    <s v="Anjali Mehta"/>
    <x v="2"/>
    <x v="1"/>
    <s v="Sofas"/>
    <s v="Single Seater Recliner"/>
    <x v="2"/>
    <s v="Cancelled"/>
    <n v="19"/>
    <n v="43500"/>
    <n v="0.18"/>
    <n v="29520"/>
    <n v="826499.82"/>
    <n v="560880"/>
    <n v="265619.81999999995"/>
    <n v="0.32137916255081578"/>
  </r>
  <r>
    <s v="ORD-114746"/>
    <x v="143"/>
    <x v="0"/>
    <s v="June"/>
    <x v="3"/>
    <s v="Jaipur"/>
    <s v="Neha Deshpande"/>
    <x v="2"/>
    <x v="3"/>
    <s v="Washing Machines"/>
    <s v="Ifb 7Kg Washing Machine"/>
    <x v="2"/>
    <s v="Delivered"/>
    <n v="3"/>
    <n v="31990"/>
    <n v="0.15"/>
    <n v="21800"/>
    <n v="95969.85"/>
    <n v="65400"/>
    <n v="30569.850000000006"/>
    <n v="0.31853597770549819"/>
  </r>
  <r>
    <s v="ORD-114261"/>
    <x v="144"/>
    <x v="0"/>
    <s v="June"/>
    <x v="3"/>
    <s v="Jaipur"/>
    <s v="Ritika Ghosh"/>
    <x v="0"/>
    <x v="0"/>
    <s v="Footwear"/>
    <s v="Nike Running Shoes"/>
    <x v="0"/>
    <s v="Delivered"/>
    <n v="23"/>
    <n v="6499"/>
    <n v="0.1"/>
    <n v="4210"/>
    <n v="149476.9"/>
    <n v="96830"/>
    <n v="52646.899999999994"/>
    <n v="0.352207598632297"/>
  </r>
  <r>
    <s v="ORD-114490"/>
    <x v="144"/>
    <x v="0"/>
    <s v="June"/>
    <x v="0"/>
    <s v="Ranchi"/>
    <s v="Simran Kaur"/>
    <x v="2"/>
    <x v="2"/>
    <s v="Laptops"/>
    <s v="Hp 15S"/>
    <x v="1"/>
    <s v="Delivered"/>
    <n v="32"/>
    <n v="48500"/>
    <n v="0.08"/>
    <n v="30200"/>
    <n v="1551999.92"/>
    <n v="966400"/>
    <n v="585599.91999999993"/>
    <n v="0.3773195555319358"/>
  </r>
  <r>
    <s v="ORD-114215"/>
    <x v="145"/>
    <x v="0"/>
    <s v="June"/>
    <x v="0"/>
    <s v="Kolkata"/>
    <s v="Sourav Das"/>
    <x v="0"/>
    <x v="2"/>
    <s v="Audio Devices"/>
    <s v="Boat Airdopes 131"/>
    <x v="0"/>
    <s v="Delivered"/>
    <n v="3"/>
    <n v="1930"/>
    <n v="0.12"/>
    <n v="1120"/>
    <n v="5789.88"/>
    <n v="3360"/>
    <n v="2429.88"/>
    <n v="0.41967709175319695"/>
  </r>
  <r>
    <s v="ORD-114260"/>
    <x v="145"/>
    <x v="0"/>
    <s v="June"/>
    <x v="2"/>
    <s v="Indore"/>
    <s v="Simran Kaur"/>
    <x v="0"/>
    <x v="0"/>
    <s v="Apparel"/>
    <s v="Denim Jeans"/>
    <x v="0"/>
    <s v="Returned"/>
    <n v="33"/>
    <n v="2499"/>
    <n v="0.08"/>
    <n v="1510"/>
    <n v="82466.92"/>
    <n v="49830"/>
    <n v="32636.92"/>
    <n v="0.39575771715495134"/>
  </r>
  <r>
    <s v="ORD-114585"/>
    <x v="145"/>
    <x v="0"/>
    <s v="June"/>
    <x v="1"/>
    <s v="Surat"/>
    <s v="Aditya Verma"/>
    <x v="1"/>
    <x v="1"/>
    <s v="Sofas"/>
    <s v="L-Shape Sofa"/>
    <x v="0"/>
    <s v="Delivered"/>
    <n v="28"/>
    <n v="52990"/>
    <n v="0.18"/>
    <n v="35100"/>
    <n v="1483719.82"/>
    <n v="982800"/>
    <n v="500919.82000000007"/>
    <n v="0.33761078961660029"/>
  </r>
  <r>
    <s v="ORD-114531"/>
    <x v="146"/>
    <x v="0"/>
    <s v="June"/>
    <x v="3"/>
    <s v="Delhi"/>
    <s v="Aditya Verma"/>
    <x v="2"/>
    <x v="1"/>
    <s v="Sofas"/>
    <s v="3-Seater Sofa"/>
    <x v="2"/>
    <s v="Returned"/>
    <n v="11"/>
    <n v="38990"/>
    <n v="0.05"/>
    <n v="25400"/>
    <n v="428889.95"/>
    <n v="279400"/>
    <n v="149489.95000000001"/>
    <n v="0.34855083454391972"/>
  </r>
  <r>
    <s v="ORD-114650"/>
    <x v="146"/>
    <x v="0"/>
    <s v="June"/>
    <x v="1"/>
    <s v="Pune"/>
    <s v="Aditya Verma"/>
    <x v="2"/>
    <x v="2"/>
    <s v="Mobiles"/>
    <s v="Samsung Galaxy M34"/>
    <x v="0"/>
    <s v="Pending"/>
    <n v="9"/>
    <n v="22999"/>
    <n v="0.12"/>
    <n v="15100"/>
    <n v="206990.88"/>
    <n v="135900"/>
    <n v="71090.880000000005"/>
    <n v="0.3434493345793786"/>
  </r>
  <r>
    <s v="ORD-114578"/>
    <x v="147"/>
    <x v="0"/>
    <s v="June"/>
    <x v="1"/>
    <s v="Surat"/>
    <s v="Pooja Chouhan"/>
    <x v="1"/>
    <x v="0"/>
    <s v="Footwear"/>
    <s v="Adidas Sports Shoes"/>
    <x v="2"/>
    <s v="Cancelled"/>
    <n v="11"/>
    <n v="5999"/>
    <n v="0.1"/>
    <n v="3890"/>
    <n v="65988.899999999994"/>
    <n v="42790"/>
    <n v="23198.899999999994"/>
    <n v="0.35155761044660538"/>
  </r>
  <r>
    <s v="ORD-114680"/>
    <x v="147"/>
    <x v="0"/>
    <s v="June"/>
    <x v="2"/>
    <s v="Indore"/>
    <s v="Anjali Mehta"/>
    <x v="2"/>
    <x v="1"/>
    <s v="Tables"/>
    <s v="6-Seater Dining Table"/>
    <x v="1"/>
    <s v="Returned"/>
    <n v="18"/>
    <n v="25110"/>
    <n v="0.15"/>
    <n v="16730"/>
    <n v="451979.85"/>
    <n v="301140"/>
    <n v="150839.84999999998"/>
    <n v="0.33373135992677544"/>
  </r>
  <r>
    <s v="ORD-114125"/>
    <x v="148"/>
    <x v="0"/>
    <s v="June"/>
    <x v="2"/>
    <s v="Ujjain"/>
    <s v="Imran Sheikh"/>
    <x v="2"/>
    <x v="1"/>
    <s v="Tables"/>
    <s v="6-Seater Dining Table"/>
    <x v="2"/>
    <s v="Returned"/>
    <n v="20"/>
    <n v="25110"/>
    <n v="0.1"/>
    <n v="16730"/>
    <n v="502199.9"/>
    <n v="334600"/>
    <n v="167599.90000000002"/>
    <n v="0.33373144837344654"/>
  </r>
  <r>
    <s v="ORD-114662"/>
    <x v="148"/>
    <x v="0"/>
    <s v="June"/>
    <x v="0"/>
    <s v="Patna"/>
    <s v="Anjali Mehta"/>
    <x v="2"/>
    <x v="0"/>
    <s v="Apparel"/>
    <s v="Women'S Kurti"/>
    <x v="2"/>
    <s v="Delivered"/>
    <n v="19"/>
    <n v="1599"/>
    <n v="0.1"/>
    <n v="920"/>
    <n v="30380.9"/>
    <n v="17480"/>
    <n v="12900.900000000001"/>
    <n v="0.42463850643002676"/>
  </r>
  <r>
    <s v="ORD-114460"/>
    <x v="149"/>
    <x v="0"/>
    <s v="June"/>
    <x v="1"/>
    <s v="Mumbai"/>
    <s v="Rahul Singh"/>
    <x v="1"/>
    <x v="0"/>
    <s v="Footwear"/>
    <s v="Puma Sneakers"/>
    <x v="0"/>
    <s v="Delivered"/>
    <n v="21"/>
    <n v="4499"/>
    <n v="0.12"/>
    <n v="2910"/>
    <n v="94478.88"/>
    <n v="61110"/>
    <n v="33368.880000000005"/>
    <n v="0.35318877615822714"/>
  </r>
  <r>
    <s v="ORD-114394"/>
    <x v="150"/>
    <x v="0"/>
    <s v="June"/>
    <x v="2"/>
    <s v="Raipur"/>
    <s v="Neha Deshpande"/>
    <x v="2"/>
    <x v="0"/>
    <s v="Footwear"/>
    <s v="Nike Running Shoes"/>
    <x v="0"/>
    <s v="Delivered"/>
    <n v="1"/>
    <n v="6499"/>
    <n v="0.1"/>
    <n v="4210"/>
    <n v="6498.9"/>
    <n v="4210"/>
    <n v="2288.8999999999996"/>
    <n v="0.35219806428780254"/>
  </r>
  <r>
    <s v="ORD-114100"/>
    <x v="151"/>
    <x v="0"/>
    <s v="July"/>
    <x v="1"/>
    <s v="Ahmedabad"/>
    <s v="Simran Kaur"/>
    <x v="0"/>
    <x v="3"/>
    <s v="Washing Machines"/>
    <s v="Lg 6.5Kg Washing Machine"/>
    <x v="1"/>
    <s v="Delivered"/>
    <n v="25"/>
    <n v="29010"/>
    <n v="0.15"/>
    <n v="19150"/>
    <n v="725249.85"/>
    <n v="478750"/>
    <n v="246499.84999999998"/>
    <n v="0.33988266250589366"/>
  </r>
  <r>
    <s v="ORD-114229"/>
    <x v="151"/>
    <x v="0"/>
    <s v="July"/>
    <x v="2"/>
    <s v="Indore"/>
    <s v="Sourav Das"/>
    <x v="1"/>
    <x v="4"/>
    <s v="Fitness Equipment"/>
    <s v="Dumbbell Set"/>
    <x v="2"/>
    <s v="Cancelled"/>
    <n v="35"/>
    <n v="3499"/>
    <n v="0.18"/>
    <n v="2190"/>
    <n v="122464.82"/>
    <n v="76650"/>
    <n v="45814.820000000007"/>
    <n v="0.37410596773832683"/>
  </r>
  <r>
    <s v="ORD-114744"/>
    <x v="151"/>
    <x v="0"/>
    <s v="July"/>
    <x v="0"/>
    <s v="Ranchi"/>
    <s v="Ritika Ghosh"/>
    <x v="0"/>
    <x v="0"/>
    <s v="Apparel"/>
    <s v="Denim Jeans"/>
    <x v="2"/>
    <s v="Returned"/>
    <n v="39"/>
    <n v="2499"/>
    <n v="0.08"/>
    <n v="1510"/>
    <n v="97460.92"/>
    <n v="58890"/>
    <n v="38570.92"/>
    <n v="0.39575780733446803"/>
  </r>
  <r>
    <s v="ORD-114158"/>
    <x v="152"/>
    <x v="0"/>
    <s v="July"/>
    <x v="0"/>
    <s v="Patna"/>
    <s v="Pooja Chouhan"/>
    <x v="2"/>
    <x v="1"/>
    <s v="Tables"/>
    <s v="Office Work Table"/>
    <x v="2"/>
    <s v="Delivered"/>
    <n v="6"/>
    <n v="12490"/>
    <n v="0.15"/>
    <n v="7900"/>
    <n v="74939.850000000006"/>
    <n v="47400"/>
    <n v="27539.850000000006"/>
    <n v="0.36749272916879344"/>
  </r>
  <r>
    <s v="ORD-114173"/>
    <x v="152"/>
    <x v="0"/>
    <s v="July"/>
    <x v="4"/>
    <s v="Chennai"/>
    <s v="Neha Deshpande"/>
    <x v="2"/>
    <x v="3"/>
    <s v="Kitchen Appliances"/>
    <s v="Prestige Mixer Grinder"/>
    <x v="1"/>
    <s v="Delivered"/>
    <n v="32"/>
    <n v="4680"/>
    <n v="0.05"/>
    <n v="3250"/>
    <n v="149759.95000000001"/>
    <n v="104000"/>
    <n v="45759.950000000012"/>
    <n v="0.30555532370303279"/>
  </r>
  <r>
    <s v="ORD-114494"/>
    <x v="152"/>
    <x v="0"/>
    <s v="July"/>
    <x v="0"/>
    <s v="Ranchi"/>
    <s v="Pooja Chouhan"/>
    <x v="2"/>
    <x v="4"/>
    <s v="Fitness Equipment"/>
    <s v="Dumbbell Set"/>
    <x v="2"/>
    <s v="Returned"/>
    <n v="20"/>
    <n v="3499"/>
    <n v="0.08"/>
    <n v="2190"/>
    <n v="69979.92"/>
    <n v="43800"/>
    <n v="26179.919999999998"/>
    <n v="0.37410617217053121"/>
  </r>
  <r>
    <s v="ORD-114684"/>
    <x v="152"/>
    <x v="0"/>
    <s v="July"/>
    <x v="4"/>
    <s v="Kochi"/>
    <s v="Ritika Ghosh"/>
    <x v="0"/>
    <x v="2"/>
    <s v="Mobiles"/>
    <s v="Oneplus Nord Ce 3"/>
    <x v="0"/>
    <s v="Delivered"/>
    <n v="32"/>
    <n v="25999"/>
    <n v="0.2"/>
    <n v="17800"/>
    <n v="831967.8"/>
    <n v="569600"/>
    <n v="262367.80000000005"/>
    <n v="0.31535811842717953"/>
  </r>
  <r>
    <s v="ORD-114734"/>
    <x v="152"/>
    <x v="0"/>
    <s v="July"/>
    <x v="2"/>
    <s v="Raipur"/>
    <s v="Anjali Mehta"/>
    <x v="0"/>
    <x v="2"/>
    <s v="Mobiles"/>
    <s v="Oneplus Nord Ce 3"/>
    <x v="1"/>
    <s v="Cancelled"/>
    <n v="18"/>
    <n v="25999"/>
    <n v="0.18"/>
    <n v="17800"/>
    <n v="467981.82"/>
    <n v="320400"/>
    <n v="147581.82"/>
    <n v="0.31535801967691823"/>
  </r>
  <r>
    <s v="ORD-114006"/>
    <x v="153"/>
    <x v="0"/>
    <s v="July"/>
    <x v="3"/>
    <s v="Delhi"/>
    <s v="Aditya Verma"/>
    <x v="0"/>
    <x v="2"/>
    <s v="Laptops"/>
    <s v="Hp 15S"/>
    <x v="2"/>
    <s v="Delivered"/>
    <n v="30"/>
    <n v="48500"/>
    <n v="0.18"/>
    <n v="30200"/>
    <n v="1454999.82"/>
    <n v="906000"/>
    <n v="548999.82000000007"/>
    <n v="0.37731951059622815"/>
  </r>
  <r>
    <s v="ORD-114501"/>
    <x v="153"/>
    <x v="0"/>
    <s v="July"/>
    <x v="2"/>
    <s v="Bhopal"/>
    <s v="Simran Kaur"/>
    <x v="1"/>
    <x v="4"/>
    <s v="Fitness Equipment"/>
    <s v="Resistance Bands"/>
    <x v="1"/>
    <s v="Delivered"/>
    <n v="40"/>
    <n v="999"/>
    <n v="0.2"/>
    <n v="540"/>
    <n v="39959.800000000003"/>
    <n v="21600"/>
    <n v="18359.800000000003"/>
    <n v="0.45945675403780806"/>
  </r>
  <r>
    <s v="ORD-114644"/>
    <x v="154"/>
    <x v="0"/>
    <s v="July"/>
    <x v="4"/>
    <s v="Bengaluru"/>
    <s v="Imran Sheikh"/>
    <x v="0"/>
    <x v="2"/>
    <s v="Audio Devices"/>
    <s v="Sony Wh-Ch520"/>
    <x v="2"/>
    <s v="Delivered"/>
    <n v="8"/>
    <n v="4490"/>
    <n v="0.12"/>
    <n v="2950"/>
    <n v="35919.879999999997"/>
    <n v="23600"/>
    <n v="12319.879999999997"/>
    <n v="0.34298221486263314"/>
  </r>
  <r>
    <s v="ORD-114280"/>
    <x v="155"/>
    <x v="0"/>
    <s v="July"/>
    <x v="0"/>
    <s v="Patna"/>
    <s v="Sourav Das"/>
    <x v="0"/>
    <x v="2"/>
    <s v="Audio Devices"/>
    <s v="Boat Airdopes 131"/>
    <x v="2"/>
    <s v="Pending"/>
    <n v="18"/>
    <n v="1930"/>
    <n v="0.18"/>
    <n v="1120"/>
    <n v="34739.82"/>
    <n v="20160"/>
    <n v="14579.82"/>
    <n v="0.41968611236327646"/>
  </r>
  <r>
    <s v="ORD-114506"/>
    <x v="155"/>
    <x v="0"/>
    <s v="July"/>
    <x v="3"/>
    <s v="Chandigarh"/>
    <s v="Simran Kaur"/>
    <x v="1"/>
    <x v="0"/>
    <s v="Footwear"/>
    <s v="Adidas Sports Shoes"/>
    <x v="0"/>
    <s v="Returned"/>
    <n v="27"/>
    <n v="5999"/>
    <n v="0.2"/>
    <n v="3890"/>
    <n v="161972.79999999999"/>
    <n v="105030"/>
    <n v="56942.799999999988"/>
    <n v="0.35155779241946794"/>
  </r>
  <r>
    <s v="ORD-114592"/>
    <x v="155"/>
    <x v="0"/>
    <s v="July"/>
    <x v="1"/>
    <s v="Pune"/>
    <s v="Kartik Raman"/>
    <x v="0"/>
    <x v="0"/>
    <s v="Apparel"/>
    <s v="Men'S Casual Shirt"/>
    <x v="1"/>
    <s v="Pending"/>
    <n v="31"/>
    <n v="1899"/>
    <n v="0.18"/>
    <n v="1080"/>
    <n v="58868.82"/>
    <n v="33480"/>
    <n v="25388.82"/>
    <n v="0.43127788190760408"/>
  </r>
  <r>
    <s v="ORD-114230"/>
    <x v="156"/>
    <x v="0"/>
    <s v="July"/>
    <x v="0"/>
    <s v="Bhubaneswar"/>
    <s v="Neha Deshpande"/>
    <x v="2"/>
    <x v="0"/>
    <s v="Apparel"/>
    <s v="Men'S Casual Shirt"/>
    <x v="0"/>
    <s v="Cancelled"/>
    <n v="21"/>
    <n v="1899"/>
    <n v="0.08"/>
    <n v="1080"/>
    <n v="39878.92"/>
    <n v="22680"/>
    <n v="17198.919999999998"/>
    <n v="0.43127847995883539"/>
  </r>
  <r>
    <s v="ORD-114449"/>
    <x v="156"/>
    <x v="0"/>
    <s v="July"/>
    <x v="1"/>
    <s v="Ahmedabad"/>
    <s v="Imran Sheikh"/>
    <x v="0"/>
    <x v="0"/>
    <s v="Footwear"/>
    <s v="Adidas Sports Shoes"/>
    <x v="0"/>
    <s v="Pending"/>
    <n v="31"/>
    <n v="5999"/>
    <n v="0.08"/>
    <n v="3890"/>
    <n v="185968.92"/>
    <n v="120590"/>
    <n v="65378.920000000013"/>
    <n v="0.35155831415270899"/>
  </r>
  <r>
    <s v="ORD-114642"/>
    <x v="156"/>
    <x v="0"/>
    <s v="July"/>
    <x v="4"/>
    <s v="Kochi"/>
    <s v="Imran Sheikh"/>
    <x v="2"/>
    <x v="4"/>
    <s v="Fitness Equipment"/>
    <s v="Dumbbell Set"/>
    <x v="2"/>
    <s v="Delivered"/>
    <n v="26"/>
    <n v="3499"/>
    <n v="0.08"/>
    <n v="2190"/>
    <n v="90973.92"/>
    <n v="56940"/>
    <n v="34033.919999999998"/>
    <n v="0.37410633728875264"/>
  </r>
  <r>
    <s v="ORD-114121"/>
    <x v="157"/>
    <x v="0"/>
    <s v="July"/>
    <x v="0"/>
    <s v="Bhubaneswar"/>
    <s v="Anjali Mehta"/>
    <x v="2"/>
    <x v="0"/>
    <s v="Footwear"/>
    <s v="Nike Running Shoes"/>
    <x v="1"/>
    <s v="Delivered"/>
    <n v="28"/>
    <n v="6499"/>
    <n v="0.05"/>
    <n v="4210"/>
    <n v="181971.95"/>
    <n v="117880"/>
    <n v="64091.950000000012"/>
    <n v="0.35220785401266519"/>
  </r>
  <r>
    <s v="ORD-114142"/>
    <x v="157"/>
    <x v="0"/>
    <s v="July"/>
    <x v="2"/>
    <s v="Indore"/>
    <s v="Pooja Chouhan"/>
    <x v="1"/>
    <x v="0"/>
    <s v="Apparel"/>
    <s v="Denim Jeans"/>
    <x v="0"/>
    <s v="Pending"/>
    <n v="11"/>
    <n v="2499"/>
    <n v="0.1"/>
    <n v="1510"/>
    <n v="27488.9"/>
    <n v="16610"/>
    <n v="10878.900000000001"/>
    <n v="0.39575610519155008"/>
  </r>
  <r>
    <s v="ORD-114304"/>
    <x v="157"/>
    <x v="0"/>
    <s v="July"/>
    <x v="2"/>
    <s v="Raipur"/>
    <s v="Aditya Verma"/>
    <x v="0"/>
    <x v="3"/>
    <s v="Washing Machines"/>
    <s v="Ifb 7Kg Washing Machine"/>
    <x v="2"/>
    <s v="Delivered"/>
    <n v="5"/>
    <n v="31990"/>
    <n v="0.15"/>
    <n v="21800"/>
    <n v="159949.85"/>
    <n v="109000"/>
    <n v="50949.850000000006"/>
    <n v="0.31853640375405168"/>
  </r>
  <r>
    <s v="ORD-114354"/>
    <x v="157"/>
    <x v="0"/>
    <s v="July"/>
    <x v="4"/>
    <s v="Hyderabad"/>
    <s v="Neha Deshpande"/>
    <x v="0"/>
    <x v="4"/>
    <s v="Fitness Equipment"/>
    <s v="Resistance Bands"/>
    <x v="1"/>
    <s v="Returned"/>
    <n v="2"/>
    <n v="999"/>
    <n v="0.08"/>
    <n v="540"/>
    <n v="1997.92"/>
    <n v="1080"/>
    <n v="917.92000000000007"/>
    <n v="0.45943781532794109"/>
  </r>
  <r>
    <s v="ORD-114096"/>
    <x v="158"/>
    <x v="0"/>
    <s v="July"/>
    <x v="3"/>
    <s v="Jaipur"/>
    <s v="Anjali Mehta"/>
    <x v="2"/>
    <x v="1"/>
    <s v="Tables"/>
    <s v="6-Seater Dining Table"/>
    <x v="2"/>
    <s v="Delivered"/>
    <n v="19"/>
    <n v="25110"/>
    <n v="0.1"/>
    <n v="16730"/>
    <n v="477089.9"/>
    <n v="317870"/>
    <n v="159219.90000000002"/>
    <n v="0.33373144139081545"/>
  </r>
  <r>
    <s v="ORD-114153"/>
    <x v="158"/>
    <x v="0"/>
    <s v="July"/>
    <x v="1"/>
    <s v="Ahmedabad"/>
    <s v="Pooja Chouhan"/>
    <x v="0"/>
    <x v="2"/>
    <s v="Mobiles"/>
    <s v="Iphone 13"/>
    <x v="2"/>
    <s v="Delivered"/>
    <n v="25"/>
    <n v="52990"/>
    <n v="0.05"/>
    <n v="39500"/>
    <n v="1324749.95"/>
    <n v="987500"/>
    <n v="337249.94999999995"/>
    <n v="0.25457630702307249"/>
  </r>
  <r>
    <s v="ORD-114370"/>
    <x v="158"/>
    <x v="0"/>
    <s v="July"/>
    <x v="1"/>
    <s v="Surat"/>
    <s v="Sourav Das"/>
    <x v="0"/>
    <x v="0"/>
    <s v="Apparel"/>
    <s v="Men'S Casual Shirt"/>
    <x v="1"/>
    <s v="Pending"/>
    <n v="13"/>
    <n v="1899"/>
    <n v="0.18"/>
    <n v="1080"/>
    <n v="24686.82"/>
    <n v="14040"/>
    <n v="10646.82"/>
    <n v="0.43127547411938838"/>
  </r>
  <r>
    <s v="ORD-114564"/>
    <x v="159"/>
    <x v="0"/>
    <s v="July"/>
    <x v="3"/>
    <s v="Chandigarh"/>
    <s v="Imran Sheikh"/>
    <x v="2"/>
    <x v="1"/>
    <s v="Sofas"/>
    <s v="Single Seater Recliner"/>
    <x v="1"/>
    <s v="Delivered"/>
    <n v="2"/>
    <n v="43500"/>
    <n v="0.1"/>
    <n v="29520"/>
    <n v="86999.9"/>
    <n v="59040"/>
    <n v="27959.899999999994"/>
    <n v="0.32137853032014974"/>
  </r>
  <r>
    <s v="ORD-114693"/>
    <x v="159"/>
    <x v="0"/>
    <s v="July"/>
    <x v="0"/>
    <s v="Bhubaneswar"/>
    <s v="Kartik Raman"/>
    <x v="2"/>
    <x v="2"/>
    <s v="Laptops"/>
    <s v="Dell Inspiron 3511"/>
    <x v="1"/>
    <s v="Cancelled"/>
    <n v="29"/>
    <n v="55230"/>
    <n v="0.1"/>
    <n v="33800"/>
    <n v="1601669.9"/>
    <n v="980200"/>
    <n v="621469.89999999991"/>
    <n v="0.3880137224280733"/>
  </r>
  <r>
    <s v="ORD-114696"/>
    <x v="160"/>
    <x v="0"/>
    <s v="July"/>
    <x v="2"/>
    <s v="Raipur"/>
    <s v="Simran Kaur"/>
    <x v="2"/>
    <x v="3"/>
    <s v="Refrigerators"/>
    <s v="Lg 260L Double Door"/>
    <x v="2"/>
    <s v="Delivered"/>
    <n v="32"/>
    <n v="29010"/>
    <n v="0.15"/>
    <n v="19100"/>
    <n v="928319.85"/>
    <n v="611200"/>
    <n v="317119.84999999998"/>
    <n v="0.34160623625574738"/>
  </r>
  <r>
    <s v="ORD-114064"/>
    <x v="161"/>
    <x v="0"/>
    <s v="July"/>
    <x v="0"/>
    <s v="Bhubaneswar"/>
    <s v="Aditya Verma"/>
    <x v="1"/>
    <x v="1"/>
    <s v="Sofas"/>
    <s v="Single Seater Recliner"/>
    <x v="2"/>
    <s v="Pending"/>
    <n v="40"/>
    <n v="43500"/>
    <n v="0.18"/>
    <n v="29520"/>
    <n v="1739999.82"/>
    <n v="1180800"/>
    <n v="559199.82000000007"/>
    <n v="0.32137924014268004"/>
  </r>
  <r>
    <s v="ORD-114385"/>
    <x v="161"/>
    <x v="0"/>
    <s v="July"/>
    <x v="3"/>
    <s v="Chandigarh"/>
    <s v="Ritika Ghosh"/>
    <x v="0"/>
    <x v="4"/>
    <s v="Fitness Equipment"/>
    <s v="Resistance Bands"/>
    <x v="0"/>
    <s v="Cancelled"/>
    <n v="12"/>
    <n v="999"/>
    <n v="0.15"/>
    <n v="540"/>
    <n v="11987.85"/>
    <n v="6480"/>
    <n v="5507.85"/>
    <n v="0.45945269585455273"/>
  </r>
  <r>
    <s v="ORD-114529"/>
    <x v="161"/>
    <x v="0"/>
    <s v="July"/>
    <x v="3"/>
    <s v="Delhi"/>
    <s v="Sourav Das"/>
    <x v="2"/>
    <x v="1"/>
    <s v="Sofas"/>
    <s v="Single Seater Recliner"/>
    <x v="1"/>
    <s v="Delivered"/>
    <n v="25"/>
    <n v="43500"/>
    <n v="0.08"/>
    <n v="29520"/>
    <n v="1087499.92"/>
    <n v="738000"/>
    <n v="349499.91999999993"/>
    <n v="0.32137926042330189"/>
  </r>
  <r>
    <s v="ORD-114554"/>
    <x v="161"/>
    <x v="0"/>
    <s v="July"/>
    <x v="2"/>
    <s v="Indore"/>
    <s v="Simran Kaur"/>
    <x v="2"/>
    <x v="4"/>
    <s v="Fitness Equipment"/>
    <s v="Yoga Mat"/>
    <x v="1"/>
    <s v="Delivered"/>
    <n v="21"/>
    <n v="1299"/>
    <n v="0.1"/>
    <n v="720"/>
    <n v="27278.9"/>
    <n v="15120"/>
    <n v="12158.900000000001"/>
    <n v="0.44572545080630088"/>
  </r>
  <r>
    <s v="ORD-114097"/>
    <x v="162"/>
    <x v="0"/>
    <s v="July"/>
    <x v="1"/>
    <s v="Pune"/>
    <s v="Aditya Verma"/>
    <x v="2"/>
    <x v="0"/>
    <s v="Footwear"/>
    <s v="Nike Running Shoes"/>
    <x v="1"/>
    <s v="Delivered"/>
    <n v="40"/>
    <n v="6499"/>
    <n v="0.2"/>
    <n v="4210"/>
    <n v="259959.8"/>
    <n v="168400"/>
    <n v="91559.799999999988"/>
    <n v="0.35220753362635299"/>
  </r>
  <r>
    <s v="ORD-114106"/>
    <x v="162"/>
    <x v="0"/>
    <s v="July"/>
    <x v="1"/>
    <s v="Mumbai"/>
    <s v="Rahul Singh"/>
    <x v="2"/>
    <x v="2"/>
    <s v="Mobiles"/>
    <s v="Samsung Galaxy M34"/>
    <x v="0"/>
    <s v="Returned"/>
    <n v="17"/>
    <n v="22999"/>
    <n v="0.15"/>
    <n v="15100"/>
    <n v="390982.85"/>
    <n v="256700"/>
    <n v="134282.84999999998"/>
    <n v="0.34344946332044995"/>
  </r>
  <r>
    <s v="ORD-114216"/>
    <x v="162"/>
    <x v="0"/>
    <s v="July"/>
    <x v="3"/>
    <s v="Delhi"/>
    <s v="Ritika Ghosh"/>
    <x v="0"/>
    <x v="2"/>
    <s v="Mobiles"/>
    <s v="Samsung Galaxy M34"/>
    <x v="1"/>
    <s v="Delivered"/>
    <n v="27"/>
    <n v="22999"/>
    <n v="0.1"/>
    <n v="15100"/>
    <n v="620972.9"/>
    <n v="407700"/>
    <n v="213272.90000000002"/>
    <n v="0.34344960947571146"/>
  </r>
  <r>
    <s v="ORD-114742"/>
    <x v="162"/>
    <x v="0"/>
    <s v="July"/>
    <x v="2"/>
    <s v="Indore"/>
    <s v="Aditya Verma"/>
    <x v="1"/>
    <x v="1"/>
    <s v="Sofas"/>
    <s v="Single Seater Recliner"/>
    <x v="0"/>
    <s v="Delivered"/>
    <n v="36"/>
    <n v="43500"/>
    <n v="0.15"/>
    <n v="29520"/>
    <n v="1565999.85"/>
    <n v="1062720"/>
    <n v="503279.85000000009"/>
    <n v="0.32137924534283963"/>
  </r>
  <r>
    <s v="ORD-114290"/>
    <x v="163"/>
    <x v="0"/>
    <s v="July"/>
    <x v="4"/>
    <s v="Kochi"/>
    <s v="Imran Sheikh"/>
    <x v="2"/>
    <x v="0"/>
    <s v="Footwear"/>
    <s v="Nike Running Shoes"/>
    <x v="1"/>
    <s v="Delivered"/>
    <n v="8"/>
    <n v="6499"/>
    <n v="0.15"/>
    <n v="4210"/>
    <n v="51991.85"/>
    <n v="33680"/>
    <n v="18311.849999999999"/>
    <n v="0.35220616308132907"/>
  </r>
  <r>
    <s v="ORD-114580"/>
    <x v="163"/>
    <x v="0"/>
    <s v="July"/>
    <x v="2"/>
    <s v="Raipur"/>
    <s v="Sourav Das"/>
    <x v="2"/>
    <x v="0"/>
    <s v="Footwear"/>
    <s v="Puma Sneakers"/>
    <x v="1"/>
    <s v="Pending"/>
    <n v="11"/>
    <n v="4499"/>
    <n v="0.12"/>
    <n v="2910"/>
    <n v="49488.88"/>
    <n v="32010"/>
    <n v="17478.879999999997"/>
    <n v="0.35318802931082699"/>
  </r>
  <r>
    <s v="ORD-114332"/>
    <x v="164"/>
    <x v="0"/>
    <s v="July"/>
    <x v="0"/>
    <s v="Ranchi"/>
    <s v="Aditya Verma"/>
    <x v="2"/>
    <x v="2"/>
    <s v="Mobiles"/>
    <s v="Samsung Galaxy M34"/>
    <x v="1"/>
    <s v="Returned"/>
    <n v="1"/>
    <n v="22999"/>
    <n v="0.05"/>
    <n v="15100"/>
    <n v="22998.95"/>
    <n v="15100"/>
    <n v="7898.9500000000007"/>
    <n v="0.34344828785661957"/>
  </r>
  <r>
    <s v="ORD-114442"/>
    <x v="164"/>
    <x v="0"/>
    <s v="July"/>
    <x v="2"/>
    <s v="Bhopal"/>
    <s v="Anjali Mehta"/>
    <x v="2"/>
    <x v="1"/>
    <s v="Sofas"/>
    <s v="L-Shape Sofa"/>
    <x v="0"/>
    <s v="Delivered"/>
    <n v="15"/>
    <n v="52990"/>
    <n v="0.12"/>
    <n v="35100"/>
    <n v="794849.88"/>
    <n v="526500"/>
    <n v="268349.88"/>
    <n v="0.33761076997331874"/>
  </r>
  <r>
    <s v="ORD-114269"/>
    <x v="165"/>
    <x v="0"/>
    <s v="July"/>
    <x v="4"/>
    <s v="Hyderabad"/>
    <s v="Ritika Ghosh"/>
    <x v="1"/>
    <x v="1"/>
    <s v="Tables"/>
    <s v="6-Seater Dining Table"/>
    <x v="2"/>
    <s v="Returned"/>
    <n v="10"/>
    <n v="25110"/>
    <n v="0.15"/>
    <n v="16730"/>
    <n v="251099.85"/>
    <n v="167300"/>
    <n v="83799.850000000006"/>
    <n v="0.33373118303336302"/>
  </r>
  <r>
    <s v="ORD-114405"/>
    <x v="165"/>
    <x v="0"/>
    <s v="July"/>
    <x v="2"/>
    <s v="Indore"/>
    <s v="Kartik Raman"/>
    <x v="0"/>
    <x v="3"/>
    <s v="Refrigerators"/>
    <s v="Whirlpool 265L Refrigerator"/>
    <x v="2"/>
    <s v="Returned"/>
    <n v="4"/>
    <n v="27890"/>
    <n v="0.12"/>
    <n v="18800"/>
    <n v="111559.88"/>
    <n v="75200"/>
    <n v="36359.880000000005"/>
    <n v="0.32592254491489236"/>
  </r>
  <r>
    <s v="ORD-114609"/>
    <x v="165"/>
    <x v="0"/>
    <s v="July"/>
    <x v="3"/>
    <s v="Jaipur"/>
    <s v="Rahul Singh"/>
    <x v="0"/>
    <x v="1"/>
    <s v="Sofas"/>
    <s v="Single Seater Recliner"/>
    <x v="1"/>
    <s v="Delivered"/>
    <n v="4"/>
    <n v="43500"/>
    <n v="0.12"/>
    <n v="29520"/>
    <n v="173999.88"/>
    <n v="118080"/>
    <n v="55919.880000000005"/>
    <n v="0.32137884233023611"/>
  </r>
  <r>
    <s v="ORD-114242"/>
    <x v="166"/>
    <x v="0"/>
    <s v="July"/>
    <x v="3"/>
    <s v="Chandigarh"/>
    <s v="Imran Sheikh"/>
    <x v="1"/>
    <x v="0"/>
    <s v="Footwear"/>
    <s v="Adidas Sports Shoes"/>
    <x v="1"/>
    <s v="Pending"/>
    <n v="16"/>
    <n v="5999"/>
    <n v="0.15"/>
    <n v="3890"/>
    <n v="95983.85"/>
    <n v="62240"/>
    <n v="33743.850000000006"/>
    <n v="0.35155757973867485"/>
  </r>
  <r>
    <s v="ORD-114246"/>
    <x v="166"/>
    <x v="0"/>
    <s v="July"/>
    <x v="0"/>
    <s v="Ranchi"/>
    <s v="Ritika Ghosh"/>
    <x v="1"/>
    <x v="1"/>
    <s v="Tables"/>
    <s v="Study Table"/>
    <x v="0"/>
    <s v="Returned"/>
    <n v="10"/>
    <n v="6999"/>
    <n v="0.18"/>
    <n v="4320"/>
    <n v="69989.820000000007"/>
    <n v="43200"/>
    <n v="26789.820000000007"/>
    <n v="0.38276737959891888"/>
  </r>
  <r>
    <s v="ORD-114713"/>
    <x v="166"/>
    <x v="0"/>
    <s v="July"/>
    <x v="2"/>
    <s v="Bhopal"/>
    <s v="Simran Kaur"/>
    <x v="1"/>
    <x v="3"/>
    <s v="Refrigerators"/>
    <s v="Lg 260L Double Door"/>
    <x v="2"/>
    <s v="Delivered"/>
    <n v="38"/>
    <n v="29010"/>
    <n v="0.18"/>
    <n v="19100"/>
    <n v="1102379.82"/>
    <n v="725800"/>
    <n v="376579.82000000007"/>
    <n v="0.3416062351359081"/>
  </r>
  <r>
    <s v="ORD-114292"/>
    <x v="167"/>
    <x v="0"/>
    <s v="July"/>
    <x v="2"/>
    <s v="Bhopal"/>
    <s v="Pooja Chouhan"/>
    <x v="2"/>
    <x v="1"/>
    <s v="Tables"/>
    <s v="Office Work Table"/>
    <x v="0"/>
    <s v="Pending"/>
    <n v="13"/>
    <n v="12490"/>
    <n v="0.18"/>
    <n v="7900"/>
    <n v="162369.82"/>
    <n v="102700"/>
    <n v="59669.820000000007"/>
    <n v="0.36749329401239716"/>
  </r>
  <r>
    <s v="ORD-114420"/>
    <x v="167"/>
    <x v="0"/>
    <s v="July"/>
    <x v="0"/>
    <s v="Patna"/>
    <s v="Sourav Das"/>
    <x v="0"/>
    <x v="2"/>
    <s v="Mobiles"/>
    <s v="Oneplus Nord Ce 3"/>
    <x v="0"/>
    <s v="Delivered"/>
    <n v="9"/>
    <n v="25999"/>
    <n v="0.18"/>
    <n v="17800"/>
    <n v="233990.82"/>
    <n v="160200"/>
    <n v="73790.820000000007"/>
    <n v="0.31535775634274887"/>
  </r>
  <r>
    <s v="ORD-114491"/>
    <x v="167"/>
    <x v="0"/>
    <s v="July"/>
    <x v="1"/>
    <s v="Ahmedabad"/>
    <s v="Simran Kaur"/>
    <x v="0"/>
    <x v="0"/>
    <s v="Footwear"/>
    <s v="Adidas Sports Shoes"/>
    <x v="1"/>
    <s v="Delivered"/>
    <n v="4"/>
    <n v="5999"/>
    <n v="0.1"/>
    <n v="3890"/>
    <n v="23995.9"/>
    <n v="15560"/>
    <n v="8435.9000000000015"/>
    <n v="0.35155589079801136"/>
  </r>
  <r>
    <s v="ORD-114217"/>
    <x v="168"/>
    <x v="0"/>
    <s v="July"/>
    <x v="1"/>
    <s v="Surat"/>
    <s v="Sourav Das"/>
    <x v="1"/>
    <x v="4"/>
    <s v="Fitness Equipment"/>
    <s v="Resistance Bands"/>
    <x v="2"/>
    <s v="Delivered"/>
    <n v="12"/>
    <n v="999"/>
    <n v="0.15"/>
    <n v="540"/>
    <n v="11987.85"/>
    <n v="6480"/>
    <n v="5507.85"/>
    <n v="0.45945269585455273"/>
  </r>
  <r>
    <s v="ORD-114198"/>
    <x v="169"/>
    <x v="0"/>
    <s v="July"/>
    <x v="4"/>
    <s v="Kochi"/>
    <s v="Neha Deshpande"/>
    <x v="0"/>
    <x v="1"/>
    <s v="Sofas"/>
    <s v="3-Seater Sofa"/>
    <x v="1"/>
    <s v="Pending"/>
    <n v="35"/>
    <n v="38990"/>
    <n v="0.12"/>
    <n v="25400"/>
    <n v="1364649.88"/>
    <n v="889000"/>
    <n v="475649.87999999989"/>
    <n v="0.34855085320492601"/>
  </r>
  <r>
    <s v="ORD-114495"/>
    <x v="169"/>
    <x v="0"/>
    <s v="July"/>
    <x v="3"/>
    <s v="Chandigarh"/>
    <s v="Ritika Ghosh"/>
    <x v="1"/>
    <x v="0"/>
    <s v="Apparel"/>
    <s v="Men'S Casual Shirt"/>
    <x v="1"/>
    <s v="Delivered"/>
    <n v="38"/>
    <n v="1899"/>
    <n v="0.05"/>
    <n v="1080"/>
    <n v="72161.95"/>
    <n v="41040"/>
    <n v="31121.949999999997"/>
    <n v="0.43127922679473046"/>
  </r>
  <r>
    <s v="ORD-114521"/>
    <x v="169"/>
    <x v="0"/>
    <s v="July"/>
    <x v="0"/>
    <s v="Kolkata"/>
    <s v="Sourav Das"/>
    <x v="2"/>
    <x v="0"/>
    <s v="Footwear"/>
    <s v="Nike Running Shoes"/>
    <x v="2"/>
    <s v="Pending"/>
    <n v="13"/>
    <n v="6499"/>
    <n v="0.12"/>
    <n v="4210"/>
    <n v="84486.88"/>
    <n v="54730"/>
    <n v="29756.880000000005"/>
    <n v="0.3522071119208095"/>
  </r>
  <r>
    <s v="ORD-114169"/>
    <x v="170"/>
    <x v="0"/>
    <s v="July"/>
    <x v="2"/>
    <s v="Indore"/>
    <s v="Simran Kaur"/>
    <x v="0"/>
    <x v="1"/>
    <s v="Sofas"/>
    <s v="Single Seater Recliner"/>
    <x v="0"/>
    <s v="Delivered"/>
    <n v="34"/>
    <n v="43500"/>
    <n v="0.1"/>
    <n v="29520"/>
    <n v="1478999.9"/>
    <n v="1003680"/>
    <n v="475319.89999999991"/>
    <n v="0.32137926446107262"/>
  </r>
  <r>
    <s v="ORD-114203"/>
    <x v="170"/>
    <x v="0"/>
    <s v="July"/>
    <x v="3"/>
    <s v="Delhi"/>
    <s v="Imran Sheikh"/>
    <x v="1"/>
    <x v="4"/>
    <s v="Fitness Equipment"/>
    <s v="Yoga Mat"/>
    <x v="2"/>
    <s v="Delivered"/>
    <n v="3"/>
    <n v="1299"/>
    <n v="0.2"/>
    <n v="720"/>
    <n v="3896.8"/>
    <n v="2160"/>
    <n v="1736.8000000000002"/>
    <n v="0.44569903510572778"/>
  </r>
  <r>
    <s v="ORD-114345"/>
    <x v="170"/>
    <x v="0"/>
    <s v="July"/>
    <x v="1"/>
    <s v="Pune"/>
    <s v="Anjali Mehta"/>
    <x v="2"/>
    <x v="1"/>
    <s v="Sofas"/>
    <s v="L-Shape Sofa"/>
    <x v="1"/>
    <s v="Delivered"/>
    <n v="25"/>
    <n v="52990"/>
    <n v="0.15"/>
    <n v="35100"/>
    <n v="1324749.8500000001"/>
    <n v="877500"/>
    <n v="447249.85000000009"/>
    <n v="0.33761079497385871"/>
  </r>
  <r>
    <s v="ORD-114430"/>
    <x v="170"/>
    <x v="0"/>
    <s v="July"/>
    <x v="4"/>
    <s v="Hyderabad"/>
    <s v="Sourav Das"/>
    <x v="1"/>
    <x v="4"/>
    <s v="Fitness Equipment"/>
    <s v="Yoga Mat"/>
    <x v="2"/>
    <s v="Pending"/>
    <n v="33"/>
    <n v="1299"/>
    <n v="0.05"/>
    <n v="720"/>
    <n v="42866.95"/>
    <n v="23760"/>
    <n v="19106.949999999997"/>
    <n v="0.44572683617565512"/>
  </r>
  <r>
    <s v="ORD-114520"/>
    <x v="171"/>
    <x v="0"/>
    <s v="July"/>
    <x v="0"/>
    <s v="Patna"/>
    <s v="Anjali Mehta"/>
    <x v="1"/>
    <x v="1"/>
    <s v="Tables"/>
    <s v="Study Table"/>
    <x v="0"/>
    <s v="Returned"/>
    <n v="4"/>
    <n v="6999"/>
    <n v="0.15"/>
    <n v="4320"/>
    <n v="27995.85"/>
    <n v="17280"/>
    <n v="10715.849999999999"/>
    <n v="0.38276565991030809"/>
  </r>
  <r>
    <s v="ORD-114316"/>
    <x v="172"/>
    <x v="0"/>
    <s v="July"/>
    <x v="4"/>
    <s v="Bengaluru"/>
    <s v="Simran Kaur"/>
    <x v="1"/>
    <x v="3"/>
    <s v="Kitchen Appliances"/>
    <s v="Prestige Mixer Grinder"/>
    <x v="1"/>
    <s v="Delivered"/>
    <n v="9"/>
    <n v="4680"/>
    <n v="0.08"/>
    <n v="3250"/>
    <n v="42119.92"/>
    <n v="29250"/>
    <n v="12869.919999999998"/>
    <n v="0.30555423657024988"/>
  </r>
  <r>
    <s v="ORD-114021"/>
    <x v="173"/>
    <x v="0"/>
    <s v="July"/>
    <x v="1"/>
    <s v="Ahmedabad"/>
    <s v="Sourav Das"/>
    <x v="0"/>
    <x v="0"/>
    <s v="Footwear"/>
    <s v="Puma Sneakers"/>
    <x v="0"/>
    <s v="Returned"/>
    <n v="7"/>
    <n v="4499"/>
    <n v="0.05"/>
    <n v="2910"/>
    <n v="31492.95"/>
    <n v="20370"/>
    <n v="11122.95"/>
    <n v="0.35318857077536403"/>
  </r>
  <r>
    <s v="ORD-114042"/>
    <x v="173"/>
    <x v="0"/>
    <s v="July"/>
    <x v="3"/>
    <s v="Lucknow"/>
    <s v="Imran Sheikh"/>
    <x v="0"/>
    <x v="2"/>
    <s v="Audio Devices"/>
    <s v="Jbl Tune 510Bt"/>
    <x v="0"/>
    <s v="Delivered"/>
    <n v="27"/>
    <n v="3299"/>
    <n v="0.1"/>
    <n v="2050"/>
    <n v="89072.9"/>
    <n v="55350"/>
    <n v="33722.899999999994"/>
    <n v="0.37859887799768499"/>
  </r>
  <r>
    <s v="ORD-114373"/>
    <x v="173"/>
    <x v="0"/>
    <s v="July"/>
    <x v="2"/>
    <s v="Bhopal"/>
    <s v="Sourav Das"/>
    <x v="2"/>
    <x v="3"/>
    <s v="Washing Machines"/>
    <s v="Lg 6.5Kg Washing Machine"/>
    <x v="2"/>
    <s v="Delivered"/>
    <n v="11"/>
    <n v="29010"/>
    <n v="0.2"/>
    <n v="19150"/>
    <n v="319109.8"/>
    <n v="210650"/>
    <n v="108459.79999999999"/>
    <n v="0.33988238531063603"/>
  </r>
  <r>
    <s v="ORD-114743"/>
    <x v="173"/>
    <x v="0"/>
    <s v="July"/>
    <x v="3"/>
    <s v="Jaipur"/>
    <s v="Rahul Singh"/>
    <x v="1"/>
    <x v="3"/>
    <s v="Washing Machines"/>
    <s v="Samsung 7Kg Washing Machine"/>
    <x v="1"/>
    <s v="Delivered"/>
    <n v="11"/>
    <n v="32800"/>
    <n v="0.12"/>
    <n v="23100"/>
    <n v="360799.88"/>
    <n v="254100"/>
    <n v="106699.88"/>
    <n v="0.29573147308142123"/>
  </r>
  <r>
    <s v="ORD-114133"/>
    <x v="174"/>
    <x v="0"/>
    <s v="July"/>
    <x v="3"/>
    <s v="Lucknow"/>
    <s v="Imran Sheikh"/>
    <x v="0"/>
    <x v="4"/>
    <s v="Fitness Equipment"/>
    <s v="Resistance Bands"/>
    <x v="0"/>
    <s v="Cancelled"/>
    <n v="19"/>
    <n v="999"/>
    <n v="0.05"/>
    <n v="540"/>
    <n v="18980.95"/>
    <n v="10260"/>
    <n v="8720.9500000000007"/>
    <n v="0.45945803555670295"/>
  </r>
  <r>
    <s v="ORD-114209"/>
    <x v="174"/>
    <x v="0"/>
    <s v="July"/>
    <x v="3"/>
    <s v="Lucknow"/>
    <s v="Neha Deshpande"/>
    <x v="2"/>
    <x v="3"/>
    <s v="Kitchen Appliances"/>
    <s v="Bajaj Otg"/>
    <x v="1"/>
    <s v="Cancelled"/>
    <n v="20"/>
    <n v="5890"/>
    <n v="0.08"/>
    <n v="3980"/>
    <n v="117799.92"/>
    <n v="79600"/>
    <n v="38199.919999999998"/>
    <n v="0.32427797913614881"/>
  </r>
  <r>
    <s v="ORD-114417"/>
    <x v="175"/>
    <x v="0"/>
    <s v="July"/>
    <x v="3"/>
    <s v="Delhi"/>
    <s v="Ritika Ghosh"/>
    <x v="1"/>
    <x v="3"/>
    <s v="Washing Machines"/>
    <s v="Ifb 7Kg Washing Machine"/>
    <x v="1"/>
    <s v="Pending"/>
    <n v="15"/>
    <n v="31990"/>
    <n v="0.1"/>
    <n v="21800"/>
    <n v="479849.9"/>
    <n v="327000"/>
    <n v="152849.90000000002"/>
    <n v="0.31853690081002417"/>
  </r>
  <r>
    <s v="ORD-114307"/>
    <x v="176"/>
    <x v="0"/>
    <s v="July"/>
    <x v="4"/>
    <s v="Kochi"/>
    <s v="Neha Deshpande"/>
    <x v="2"/>
    <x v="0"/>
    <s v="Footwear"/>
    <s v="Puma Sneakers"/>
    <x v="0"/>
    <s v="Delivered"/>
    <n v="10"/>
    <n v="4499"/>
    <n v="0.05"/>
    <n v="2910"/>
    <n v="44989.95"/>
    <n v="29100"/>
    <n v="15889.949999999997"/>
    <n v="0.3531888788496097"/>
  </r>
  <r>
    <s v="ORD-114336"/>
    <x v="176"/>
    <x v="0"/>
    <s v="July"/>
    <x v="3"/>
    <s v="Jaipur"/>
    <s v="Anjali Mehta"/>
    <x v="2"/>
    <x v="0"/>
    <s v="Footwear"/>
    <s v="Nike Running Shoes"/>
    <x v="1"/>
    <s v="Delivered"/>
    <n v="14"/>
    <n v="6499"/>
    <n v="0.08"/>
    <n v="4210"/>
    <n v="90985.919999999998"/>
    <n v="58940"/>
    <n v="32045.919999999998"/>
    <n v="0.35220746242935169"/>
  </r>
  <r>
    <s v="ORD-114367"/>
    <x v="176"/>
    <x v="0"/>
    <s v="July"/>
    <x v="2"/>
    <s v="Ujjain"/>
    <s v="Sourav Das"/>
    <x v="2"/>
    <x v="1"/>
    <s v="Sofas"/>
    <s v="Single Seater Recliner"/>
    <x v="1"/>
    <s v="Delivered"/>
    <n v="13"/>
    <n v="43500"/>
    <n v="0.1"/>
    <n v="29520"/>
    <n v="565499.9"/>
    <n v="383760"/>
    <n v="181739.90000000002"/>
    <n v="0.32137919034114776"/>
  </r>
  <r>
    <s v="ORD-114446"/>
    <x v="176"/>
    <x v="0"/>
    <s v="July"/>
    <x v="2"/>
    <s v="Ujjain"/>
    <s v="Sourav Das"/>
    <x v="1"/>
    <x v="1"/>
    <s v="Sofas"/>
    <s v="Single Seater Recliner"/>
    <x v="1"/>
    <s v="Delivered"/>
    <n v="39"/>
    <n v="43500"/>
    <n v="0.15"/>
    <n v="29520"/>
    <n v="1696499.85"/>
    <n v="1151280"/>
    <n v="545219.85000000009"/>
    <n v="0.32137925034299297"/>
  </r>
  <r>
    <s v="ORD-114091"/>
    <x v="177"/>
    <x v="0"/>
    <s v="July"/>
    <x v="2"/>
    <s v="Raipur"/>
    <s v="Simran Kaur"/>
    <x v="0"/>
    <x v="3"/>
    <s v="Refrigerators"/>
    <s v="Lg 260L Double Door"/>
    <x v="0"/>
    <s v="Cancelled"/>
    <n v="15"/>
    <n v="29010"/>
    <n v="0.2"/>
    <n v="19100"/>
    <n v="435149.8"/>
    <n v="286500"/>
    <n v="148649.79999999999"/>
    <n v="0.34160604003494888"/>
  </r>
  <r>
    <s v="ORD-114222"/>
    <x v="178"/>
    <x v="0"/>
    <s v="July"/>
    <x v="4"/>
    <s v="Hyderabad"/>
    <s v="Imran Sheikh"/>
    <x v="2"/>
    <x v="1"/>
    <s v="Tables"/>
    <s v="Study Table"/>
    <x v="1"/>
    <s v="Returned"/>
    <n v="34"/>
    <n v="6999"/>
    <n v="0.08"/>
    <n v="4320"/>
    <n v="237965.92"/>
    <n v="146880"/>
    <n v="91085.920000000013"/>
    <n v="0.38276875949295602"/>
  </r>
  <r>
    <s v="ORD-114422"/>
    <x v="178"/>
    <x v="0"/>
    <s v="July"/>
    <x v="2"/>
    <s v="Raipur"/>
    <s v="Kartik Raman"/>
    <x v="2"/>
    <x v="2"/>
    <s v="Mobiles"/>
    <s v="Oneplus Nord Ce 3"/>
    <x v="0"/>
    <s v="Returned"/>
    <n v="23"/>
    <n v="25999"/>
    <n v="0.08"/>
    <n v="17800"/>
    <n v="597976.92000000004"/>
    <n v="409400"/>
    <n v="188576.92000000004"/>
    <n v="0.3153581914164848"/>
  </r>
  <r>
    <s v="ORD-114103"/>
    <x v="179"/>
    <x v="0"/>
    <s v="July"/>
    <x v="3"/>
    <s v="Lucknow"/>
    <s v="Simran Kaur"/>
    <x v="1"/>
    <x v="4"/>
    <s v="Fitness Equipment"/>
    <s v="Resistance Bands"/>
    <x v="1"/>
    <s v="Delivered"/>
    <n v="19"/>
    <n v="999"/>
    <n v="0.1"/>
    <n v="540"/>
    <n v="18980.900000000001"/>
    <n v="10260"/>
    <n v="8720.9000000000015"/>
    <n v="0.45945661164644463"/>
  </r>
  <r>
    <s v="ORD-114396"/>
    <x v="179"/>
    <x v="0"/>
    <s v="July"/>
    <x v="2"/>
    <s v="Indore"/>
    <s v="Aditya Verma"/>
    <x v="1"/>
    <x v="0"/>
    <s v="Footwear"/>
    <s v="Adidas Sports Shoes"/>
    <x v="1"/>
    <s v="Returned"/>
    <n v="22"/>
    <n v="5999"/>
    <n v="0.05"/>
    <n v="3890"/>
    <n v="131977.95000000001"/>
    <n v="85580"/>
    <n v="46397.950000000012"/>
    <n v="0.35155834743606795"/>
  </r>
  <r>
    <s v="ORD-114410"/>
    <x v="179"/>
    <x v="0"/>
    <s v="July"/>
    <x v="2"/>
    <s v="Bhopal"/>
    <s v="Ritika Ghosh"/>
    <x v="2"/>
    <x v="1"/>
    <s v="Tables"/>
    <s v="6-Seater Dining Table"/>
    <x v="0"/>
    <s v="Delivered"/>
    <n v="33"/>
    <n v="25110"/>
    <n v="0.08"/>
    <n v="16730"/>
    <n v="828629.92"/>
    <n v="552090"/>
    <n v="276539.92000000004"/>
    <n v="0.33373151671858531"/>
  </r>
  <r>
    <s v="ORD-114150"/>
    <x v="180"/>
    <x v="0"/>
    <s v="August"/>
    <x v="4"/>
    <s v="Hyderabad"/>
    <s v="Simran Kaur"/>
    <x v="1"/>
    <x v="1"/>
    <s v="Sofas"/>
    <s v="3-Seater Sofa"/>
    <x v="2"/>
    <s v="Cancelled"/>
    <n v="33"/>
    <n v="38990"/>
    <n v="0.15"/>
    <n v="25400"/>
    <n v="1286669.8500000001"/>
    <n v="838200"/>
    <n v="448469.85000000009"/>
    <n v="0.34855083454391977"/>
  </r>
  <r>
    <s v="ORD-114320"/>
    <x v="180"/>
    <x v="0"/>
    <s v="August"/>
    <x v="2"/>
    <s v="Indore"/>
    <s v="Rahul Singh"/>
    <x v="0"/>
    <x v="0"/>
    <s v="Apparel"/>
    <s v="Men'S Casual Shirt"/>
    <x v="1"/>
    <s v="Delivered"/>
    <n v="25"/>
    <n v="1899"/>
    <n v="0.08"/>
    <n v="1080"/>
    <n v="47474.92"/>
    <n v="27000"/>
    <n v="20474.919999999998"/>
    <n v="0.43127866250222219"/>
  </r>
  <r>
    <s v="ORD-114346"/>
    <x v="180"/>
    <x v="0"/>
    <s v="August"/>
    <x v="2"/>
    <s v="Bhopal"/>
    <s v="Rahul Singh"/>
    <x v="2"/>
    <x v="0"/>
    <s v="Footwear"/>
    <s v="Puma Sneakers"/>
    <x v="0"/>
    <s v="Pending"/>
    <n v="34"/>
    <n v="4499"/>
    <n v="0.2"/>
    <n v="2910"/>
    <n v="152965.79999999999"/>
    <n v="98940"/>
    <n v="54025.799999999988"/>
    <n v="0.35318875199554406"/>
  </r>
  <r>
    <s v="ORD-114632"/>
    <x v="180"/>
    <x v="0"/>
    <s v="August"/>
    <x v="3"/>
    <s v="Jaipur"/>
    <s v="Kartik Raman"/>
    <x v="1"/>
    <x v="2"/>
    <s v="Laptops"/>
    <s v="Lenovo Ideapad 3"/>
    <x v="2"/>
    <s v="Pending"/>
    <n v="38"/>
    <n v="48990"/>
    <n v="0.1"/>
    <n v="30100"/>
    <n v="1861619.9"/>
    <n v="1143800"/>
    <n v="717819.89999999991"/>
    <n v="0.3855888626888872"/>
  </r>
  <r>
    <s v="ORD-114402"/>
    <x v="181"/>
    <x v="0"/>
    <s v="August"/>
    <x v="0"/>
    <s v="Kolkata"/>
    <s v="Neha Deshpande"/>
    <x v="2"/>
    <x v="0"/>
    <s v="Apparel"/>
    <s v="Denim Jeans"/>
    <x v="0"/>
    <s v="Pending"/>
    <n v="19"/>
    <n v="2499"/>
    <n v="0.2"/>
    <n v="1510"/>
    <n v="47480.800000000003"/>
    <n v="28690"/>
    <n v="18790.800000000003"/>
    <n v="0.39575575811696523"/>
  </r>
  <r>
    <s v="ORD-114719"/>
    <x v="181"/>
    <x v="0"/>
    <s v="August"/>
    <x v="0"/>
    <s v="Patna"/>
    <s v="Pooja Chouhan"/>
    <x v="0"/>
    <x v="2"/>
    <s v="Mobiles"/>
    <s v="Samsung Galaxy M34"/>
    <x v="0"/>
    <s v="Cancelled"/>
    <n v="22"/>
    <n v="22999"/>
    <n v="0.18"/>
    <n v="15100"/>
    <n v="505977.82"/>
    <n v="332200"/>
    <n v="173777.82"/>
    <n v="0.34344948163933353"/>
  </r>
  <r>
    <s v="ORD-114745"/>
    <x v="181"/>
    <x v="0"/>
    <s v="August"/>
    <x v="3"/>
    <s v="Lucknow"/>
    <s v="Kartik Raman"/>
    <x v="1"/>
    <x v="0"/>
    <s v="Apparel"/>
    <s v="Women'S Kurti"/>
    <x v="2"/>
    <s v="Delivered"/>
    <n v="37"/>
    <n v="1599"/>
    <n v="0.15"/>
    <n v="920"/>
    <n v="59162.85"/>
    <n v="34040"/>
    <n v="25122.85"/>
    <n v="0.42463894149791631"/>
  </r>
  <r>
    <s v="ORD-114688"/>
    <x v="182"/>
    <x v="0"/>
    <s v="August"/>
    <x v="3"/>
    <s v="Chandigarh"/>
    <s v="Ritika Ghosh"/>
    <x v="0"/>
    <x v="3"/>
    <s v="Washing Machines"/>
    <s v="Samsung 7Kg Washing Machine"/>
    <x v="0"/>
    <s v="Cancelled"/>
    <n v="8"/>
    <n v="32800"/>
    <n v="0.08"/>
    <n v="23100"/>
    <n v="262399.92"/>
    <n v="184800"/>
    <n v="77599.919999999984"/>
    <n v="0.29573149260106479"/>
  </r>
  <r>
    <s v="ORD-114124"/>
    <x v="183"/>
    <x v="0"/>
    <s v="August"/>
    <x v="1"/>
    <s v="Pune"/>
    <s v="Ritika Ghosh"/>
    <x v="0"/>
    <x v="4"/>
    <s v="Fitness Equipment"/>
    <s v="Yoga Mat"/>
    <x v="2"/>
    <s v="Pending"/>
    <n v="15"/>
    <n v="1299"/>
    <n v="0.2"/>
    <n v="720"/>
    <n v="19484.8"/>
    <n v="10800"/>
    <n v="8684.7999999999993"/>
    <n v="0.44572179339793067"/>
  </r>
  <r>
    <s v="ORD-114300"/>
    <x v="183"/>
    <x v="0"/>
    <s v="August"/>
    <x v="0"/>
    <s v="Bhubaneswar"/>
    <s v="Anjali Mehta"/>
    <x v="0"/>
    <x v="3"/>
    <s v="Refrigerators"/>
    <s v="Samsung 253L Refrigerator"/>
    <x v="0"/>
    <s v="Delivered"/>
    <n v="2"/>
    <n v="31490"/>
    <n v="0.1"/>
    <n v="21300"/>
    <n v="62979.9"/>
    <n v="42600"/>
    <n v="20379.900000000001"/>
    <n v="0.32359371799574149"/>
  </r>
  <r>
    <s v="ORD-114725"/>
    <x v="183"/>
    <x v="0"/>
    <s v="August"/>
    <x v="2"/>
    <s v="Indore"/>
    <s v="Ritika Ghosh"/>
    <x v="0"/>
    <x v="3"/>
    <s v="Washing Machines"/>
    <s v="Ifb 7Kg Washing Machine"/>
    <x v="1"/>
    <s v="Delivered"/>
    <n v="26"/>
    <n v="31990"/>
    <n v="0.15"/>
    <n v="21800"/>
    <n v="831739.85"/>
    <n v="566800"/>
    <n v="264939.84999999998"/>
    <n v="0.31853691992754701"/>
  </r>
  <r>
    <s v="ORD-114041"/>
    <x v="184"/>
    <x v="0"/>
    <s v="August"/>
    <x v="4"/>
    <s v="Hyderabad"/>
    <s v="Pooja Chouhan"/>
    <x v="2"/>
    <x v="0"/>
    <s v="Footwear"/>
    <s v="Puma Sneakers"/>
    <x v="0"/>
    <s v="Returned"/>
    <n v="13"/>
    <n v="4499"/>
    <n v="0.1"/>
    <n v="2910"/>
    <n v="58486.9"/>
    <n v="37830"/>
    <n v="20656.900000000001"/>
    <n v="0.35318849178192041"/>
  </r>
  <r>
    <s v="ORD-114164"/>
    <x v="184"/>
    <x v="0"/>
    <s v="August"/>
    <x v="1"/>
    <s v="Ahmedabad"/>
    <s v="Anjali Mehta"/>
    <x v="0"/>
    <x v="0"/>
    <s v="Apparel"/>
    <s v="Denim Jeans"/>
    <x v="2"/>
    <s v="Delivered"/>
    <n v="28"/>
    <n v="2499"/>
    <n v="0.05"/>
    <n v="1510"/>
    <n v="69971.95"/>
    <n v="42280"/>
    <n v="27691.949999999997"/>
    <n v="0.39575787154709852"/>
  </r>
  <r>
    <s v="ORD-114535"/>
    <x v="184"/>
    <x v="0"/>
    <s v="August"/>
    <x v="4"/>
    <s v="Chennai"/>
    <s v="Anjali Mehta"/>
    <x v="2"/>
    <x v="4"/>
    <s v="Fitness Equipment"/>
    <s v="Yoga Mat"/>
    <x v="2"/>
    <s v="Returned"/>
    <n v="34"/>
    <n v="1299"/>
    <n v="0.08"/>
    <n v="720"/>
    <n v="44165.919999999998"/>
    <n v="24480"/>
    <n v="19685.919999999998"/>
    <n v="0.44572647869669646"/>
  </r>
  <r>
    <s v="ORD-114694"/>
    <x v="184"/>
    <x v="0"/>
    <s v="August"/>
    <x v="1"/>
    <s v="Surat"/>
    <s v="Pooja Chouhan"/>
    <x v="1"/>
    <x v="3"/>
    <s v="Refrigerators"/>
    <s v="Whirlpool 265L Refrigerator"/>
    <x v="2"/>
    <s v="Returned"/>
    <n v="11"/>
    <n v="27890"/>
    <n v="0.12"/>
    <n v="18800"/>
    <n v="306789.88"/>
    <n v="206800"/>
    <n v="99989.88"/>
    <n v="0.32592300632602356"/>
  </r>
  <r>
    <s v="ORD-114397"/>
    <x v="185"/>
    <x v="0"/>
    <s v="August"/>
    <x v="3"/>
    <s v="Delhi"/>
    <s v="Simran Kaur"/>
    <x v="0"/>
    <x v="4"/>
    <s v="Fitness Equipment"/>
    <s v="Dumbbell Set"/>
    <x v="1"/>
    <s v="Pending"/>
    <n v="4"/>
    <n v="3499"/>
    <n v="0.15"/>
    <n v="2190"/>
    <n v="13995.85"/>
    <n v="8760"/>
    <n v="5235.8500000000004"/>
    <n v="0.37410017969612425"/>
  </r>
  <r>
    <s v="ORD-114519"/>
    <x v="185"/>
    <x v="0"/>
    <s v="August"/>
    <x v="4"/>
    <s v="Chennai"/>
    <s v="Pooja Chouhan"/>
    <x v="2"/>
    <x v="0"/>
    <s v="Apparel"/>
    <s v="Denim Jeans"/>
    <x v="0"/>
    <s v="Pending"/>
    <n v="6"/>
    <n v="2499"/>
    <n v="0.08"/>
    <n v="1510"/>
    <n v="14993.92"/>
    <n v="9060"/>
    <n v="5933.92"/>
    <n v="0.3957550793921803"/>
  </r>
  <r>
    <s v="ORD-114166"/>
    <x v="186"/>
    <x v="0"/>
    <s v="August"/>
    <x v="2"/>
    <s v="Raipur"/>
    <s v="Anjali Mehta"/>
    <x v="2"/>
    <x v="0"/>
    <s v="Apparel"/>
    <s v="Women'S Kurti"/>
    <x v="1"/>
    <s v="Returned"/>
    <n v="23"/>
    <n v="1599"/>
    <n v="0.15"/>
    <n v="920"/>
    <n v="36776.85"/>
    <n v="21160"/>
    <n v="15616.849999999999"/>
    <n v="0.42463805355814865"/>
  </r>
  <r>
    <s v="ORD-114638"/>
    <x v="186"/>
    <x v="0"/>
    <s v="August"/>
    <x v="2"/>
    <s v="Raipur"/>
    <s v="Simran Kaur"/>
    <x v="0"/>
    <x v="2"/>
    <s v="Audio Devices"/>
    <s v="Jbl Tune 510Bt"/>
    <x v="0"/>
    <s v="Delivered"/>
    <n v="16"/>
    <n v="3299"/>
    <n v="0.1"/>
    <n v="2050"/>
    <n v="52783.9"/>
    <n v="32800"/>
    <n v="19983.900000000001"/>
    <n v="0.37859839837526216"/>
  </r>
  <r>
    <s v="ORD-114030"/>
    <x v="187"/>
    <x v="0"/>
    <s v="August"/>
    <x v="2"/>
    <s v="Indore"/>
    <s v="Kartik Raman"/>
    <x v="0"/>
    <x v="3"/>
    <s v="Washing Machines"/>
    <s v="Samsung 7Kg Washing Machine"/>
    <x v="1"/>
    <s v="Delivered"/>
    <n v="19"/>
    <n v="32800"/>
    <n v="0.08"/>
    <n v="23100"/>
    <n v="623199.92000000004"/>
    <n v="438900"/>
    <n v="184299.92000000004"/>
    <n v="0.29573161691034883"/>
  </r>
  <r>
    <s v="ORD-114148"/>
    <x v="187"/>
    <x v="0"/>
    <s v="August"/>
    <x v="0"/>
    <s v="Ranchi"/>
    <s v="Imran Sheikh"/>
    <x v="0"/>
    <x v="3"/>
    <s v="Kitchen Appliances"/>
    <s v="Prestige Mixer Grinder"/>
    <x v="0"/>
    <s v="Pending"/>
    <n v="11"/>
    <n v="4680"/>
    <n v="0.18"/>
    <n v="3250"/>
    <n v="51479.82"/>
    <n v="35750"/>
    <n v="15729.82"/>
    <n v="0.30555312741963742"/>
  </r>
  <r>
    <s v="ORD-114072"/>
    <x v="188"/>
    <x v="0"/>
    <s v="August"/>
    <x v="3"/>
    <s v="Lucknow"/>
    <s v="Anjali Mehta"/>
    <x v="2"/>
    <x v="0"/>
    <s v="Footwear"/>
    <s v="Nike Running Shoes"/>
    <x v="0"/>
    <s v="Delivered"/>
    <n v="31"/>
    <n v="6499"/>
    <n v="0.12"/>
    <n v="4210"/>
    <n v="201468.88"/>
    <n v="130510"/>
    <n v="70958.880000000005"/>
    <n v="0.35220764616351669"/>
  </r>
  <r>
    <s v="ORD-114163"/>
    <x v="188"/>
    <x v="0"/>
    <s v="August"/>
    <x v="4"/>
    <s v="Hyderabad"/>
    <s v="Neha Deshpande"/>
    <x v="1"/>
    <x v="1"/>
    <s v="Sofas"/>
    <s v="Single Seater Recliner"/>
    <x v="2"/>
    <s v="Cancelled"/>
    <n v="26"/>
    <n v="43500"/>
    <n v="0.18"/>
    <n v="29520"/>
    <n v="1130999.82"/>
    <n v="767520"/>
    <n v="363479.82000000007"/>
    <n v="0.32137920234151768"/>
  </r>
  <r>
    <s v="ORD-114194"/>
    <x v="188"/>
    <x v="0"/>
    <s v="August"/>
    <x v="2"/>
    <s v="Raipur"/>
    <s v="Anjali Mehta"/>
    <x v="2"/>
    <x v="3"/>
    <s v="Kitchen Appliances"/>
    <s v="Bajaj Otg"/>
    <x v="0"/>
    <s v="Delivered"/>
    <n v="13"/>
    <n v="5890"/>
    <n v="0.05"/>
    <n v="3980"/>
    <n v="76569.95"/>
    <n v="51740"/>
    <n v="24829.949999999997"/>
    <n v="0.32427799678594538"/>
  </r>
  <r>
    <s v="ORD-114492"/>
    <x v="189"/>
    <x v="0"/>
    <s v="August"/>
    <x v="3"/>
    <s v="Jaipur"/>
    <s v="Anjali Mehta"/>
    <x v="1"/>
    <x v="1"/>
    <s v="Sofas"/>
    <s v="Single Seater Recliner"/>
    <x v="1"/>
    <s v="Returned"/>
    <n v="16"/>
    <n v="43500"/>
    <n v="0.12"/>
    <n v="29520"/>
    <n v="695999.88"/>
    <n v="472320"/>
    <n v="223679.88"/>
    <n v="0.32137919334124021"/>
  </r>
  <r>
    <s v="ORD-114717"/>
    <x v="189"/>
    <x v="0"/>
    <s v="August"/>
    <x v="4"/>
    <s v="Hyderabad"/>
    <s v="Kartik Raman"/>
    <x v="0"/>
    <x v="1"/>
    <s v="Sofas"/>
    <s v="L-Shape Sofa"/>
    <x v="1"/>
    <s v="Pending"/>
    <n v="16"/>
    <n v="52990"/>
    <n v="0.2"/>
    <n v="35100"/>
    <n v="847839.8"/>
    <n v="561600"/>
    <n v="286239.80000000005"/>
    <n v="0.33761071372209706"/>
  </r>
  <r>
    <s v="ORD-114582"/>
    <x v="190"/>
    <x v="0"/>
    <s v="August"/>
    <x v="4"/>
    <s v="Bengaluru"/>
    <s v="Imran Sheikh"/>
    <x v="0"/>
    <x v="2"/>
    <s v="Audio Devices"/>
    <s v="Sony Wh-Ch520"/>
    <x v="2"/>
    <s v="Delivered"/>
    <n v="36"/>
    <n v="4490"/>
    <n v="0.05"/>
    <n v="2950"/>
    <n v="161639.95000000001"/>
    <n v="106200"/>
    <n v="55439.950000000012"/>
    <n v="0.34298420656527057"/>
  </r>
  <r>
    <s v="ORD-114165"/>
    <x v="191"/>
    <x v="0"/>
    <s v="August"/>
    <x v="2"/>
    <s v="Indore"/>
    <s v="Kartik Raman"/>
    <x v="0"/>
    <x v="1"/>
    <s v="Tables"/>
    <s v="6-Seater Dining Table"/>
    <x v="2"/>
    <s v="Returned"/>
    <n v="19"/>
    <n v="25110"/>
    <n v="0.1"/>
    <n v="16730"/>
    <n v="477089.9"/>
    <n v="317870"/>
    <n v="159219.90000000002"/>
    <n v="0.33373144139081545"/>
  </r>
  <r>
    <s v="ORD-114598"/>
    <x v="191"/>
    <x v="0"/>
    <s v="August"/>
    <x v="0"/>
    <s v="Bhubaneswar"/>
    <s v="Rahul Singh"/>
    <x v="1"/>
    <x v="2"/>
    <s v="Audio Devices"/>
    <s v="Boat Airdopes 131"/>
    <x v="0"/>
    <s v="Returned"/>
    <n v="10"/>
    <n v="1930"/>
    <n v="0.18"/>
    <n v="1120"/>
    <n v="19299.82"/>
    <n v="11200"/>
    <n v="8099.82"/>
    <n v="0.41968370689467571"/>
  </r>
  <r>
    <s v="ORD-114440"/>
    <x v="192"/>
    <x v="0"/>
    <s v="August"/>
    <x v="2"/>
    <s v="Raipur"/>
    <s v="Imran Sheikh"/>
    <x v="2"/>
    <x v="2"/>
    <s v="Audio Devices"/>
    <s v="Sony Wh-Ch520"/>
    <x v="0"/>
    <s v="Delivered"/>
    <n v="6"/>
    <n v="4490"/>
    <n v="0.08"/>
    <n v="2950"/>
    <n v="26939.919999999998"/>
    <n v="17700"/>
    <n v="9239.9199999999983"/>
    <n v="0.34298245874523753"/>
  </r>
  <r>
    <s v="ORD-114602"/>
    <x v="192"/>
    <x v="0"/>
    <s v="August"/>
    <x v="4"/>
    <s v="Kochi"/>
    <s v="Sourav Das"/>
    <x v="0"/>
    <x v="1"/>
    <s v="Tables"/>
    <s v="Office Work Table"/>
    <x v="2"/>
    <s v="Delivered"/>
    <n v="19"/>
    <n v="12490"/>
    <n v="0.2"/>
    <n v="7900"/>
    <n v="237309.8"/>
    <n v="150100"/>
    <n v="87209.799999999988"/>
    <n v="0.36749346213262157"/>
  </r>
  <r>
    <s v="ORD-114244"/>
    <x v="193"/>
    <x v="0"/>
    <s v="August"/>
    <x v="1"/>
    <s v="Pune"/>
    <s v="Ritika Ghosh"/>
    <x v="0"/>
    <x v="4"/>
    <s v="Fitness Equipment"/>
    <s v="Dumbbell Set"/>
    <x v="1"/>
    <s v="Returned"/>
    <n v="18"/>
    <n v="3499"/>
    <n v="0.2"/>
    <n v="2190"/>
    <n v="62981.8"/>
    <n v="39420"/>
    <n v="23561.800000000003"/>
    <n v="0.37410490014575642"/>
  </r>
  <r>
    <s v="ORD-114477"/>
    <x v="193"/>
    <x v="0"/>
    <s v="August"/>
    <x v="0"/>
    <s v="Bhubaneswar"/>
    <s v="Rahul Singh"/>
    <x v="2"/>
    <x v="0"/>
    <s v="Apparel"/>
    <s v="Women'S Kurti"/>
    <x v="2"/>
    <s v="Returned"/>
    <n v="38"/>
    <n v="1599"/>
    <n v="0.15"/>
    <n v="920"/>
    <n v="60761.85"/>
    <n v="34960"/>
    <n v="25801.85"/>
    <n v="0.42463897988622795"/>
  </r>
  <r>
    <s v="ORD-114618"/>
    <x v="193"/>
    <x v="0"/>
    <s v="August"/>
    <x v="3"/>
    <s v="Chandigarh"/>
    <s v="Simran Kaur"/>
    <x v="0"/>
    <x v="2"/>
    <s v="Audio Devices"/>
    <s v="Sony Wh-Ch520"/>
    <x v="2"/>
    <s v="Cancelled"/>
    <n v="35"/>
    <n v="4490"/>
    <n v="0.2"/>
    <n v="2950"/>
    <n v="157149.79999999999"/>
    <n v="103250"/>
    <n v="53899.799999999988"/>
    <n v="0.34298357363483756"/>
  </r>
  <r>
    <s v="ORD-114119"/>
    <x v="194"/>
    <x v="0"/>
    <s v="August"/>
    <x v="2"/>
    <s v="Raipur"/>
    <s v="Ritika Ghosh"/>
    <x v="2"/>
    <x v="2"/>
    <s v="Audio Devices"/>
    <s v="Sony Wh-Ch520"/>
    <x v="0"/>
    <s v="Returned"/>
    <n v="14"/>
    <n v="4490"/>
    <n v="0.12"/>
    <n v="2950"/>
    <n v="62859.88"/>
    <n v="41300"/>
    <n v="21559.879999999997"/>
    <n v="0.34298315555168096"/>
  </r>
  <r>
    <s v="ORD-114511"/>
    <x v="194"/>
    <x v="0"/>
    <s v="August"/>
    <x v="1"/>
    <s v="Ahmedabad"/>
    <s v="Imran Sheikh"/>
    <x v="1"/>
    <x v="4"/>
    <s v="Fitness Equipment"/>
    <s v="Dumbbell Set"/>
    <x v="0"/>
    <s v="Returned"/>
    <n v="17"/>
    <n v="3499"/>
    <n v="0.1"/>
    <n v="2190"/>
    <n v="59482.9"/>
    <n v="37230"/>
    <n v="22252.9"/>
    <n v="0.37410583545859399"/>
  </r>
  <r>
    <s v="ORD-114111"/>
    <x v="195"/>
    <x v="0"/>
    <s v="August"/>
    <x v="0"/>
    <s v="Kolkata"/>
    <s v="Neha Deshpande"/>
    <x v="2"/>
    <x v="1"/>
    <s v="Tables"/>
    <s v="Study Table"/>
    <x v="2"/>
    <s v="Delivered"/>
    <n v="8"/>
    <n v="6999"/>
    <n v="0.2"/>
    <n v="4320"/>
    <n v="55991.8"/>
    <n v="34560"/>
    <n v="21431.800000000003"/>
    <n v="0.38276676227590473"/>
  </r>
  <r>
    <s v="ORD-114204"/>
    <x v="195"/>
    <x v="0"/>
    <s v="August"/>
    <x v="1"/>
    <s v="Pune"/>
    <s v="Rahul Singh"/>
    <x v="1"/>
    <x v="2"/>
    <s v="Mobiles"/>
    <s v="Iphone 13"/>
    <x v="0"/>
    <s v="Delivered"/>
    <n v="22"/>
    <n v="52990"/>
    <n v="0.1"/>
    <n v="39500"/>
    <n v="1165779.8999999999"/>
    <n v="869000"/>
    <n v="296779.89999999991"/>
    <n v="0.2545762712155184"/>
  </r>
  <r>
    <s v="ORD-114590"/>
    <x v="195"/>
    <x v="0"/>
    <s v="August"/>
    <x v="1"/>
    <s v="Pune"/>
    <s v="Ritika Ghosh"/>
    <x v="1"/>
    <x v="0"/>
    <s v="Apparel"/>
    <s v="Denim Jeans"/>
    <x v="0"/>
    <s v="Cancelled"/>
    <n v="40"/>
    <n v="2499"/>
    <n v="0.08"/>
    <n v="1510"/>
    <n v="99959.92"/>
    <n v="60400"/>
    <n v="39559.919999999998"/>
    <n v="0.39575781973414942"/>
  </r>
  <r>
    <s v="ORD-114634"/>
    <x v="195"/>
    <x v="0"/>
    <s v="August"/>
    <x v="1"/>
    <s v="Pune"/>
    <s v="Ritika Ghosh"/>
    <x v="0"/>
    <x v="4"/>
    <s v="Fitness Equipment"/>
    <s v="Yoga Mat"/>
    <x v="2"/>
    <s v="Delivered"/>
    <n v="14"/>
    <n v="1299"/>
    <n v="0.15"/>
    <n v="720"/>
    <n v="18185.849999999999"/>
    <n v="10080"/>
    <n v="8105.8499999999985"/>
    <n v="0.44572291094449801"/>
  </r>
  <r>
    <s v="ORD-114726"/>
    <x v="195"/>
    <x v="0"/>
    <s v="August"/>
    <x v="2"/>
    <s v="Bhopal"/>
    <s v="Anjali Mehta"/>
    <x v="1"/>
    <x v="1"/>
    <s v="Tables"/>
    <s v="Office Work Table"/>
    <x v="1"/>
    <s v="Delivered"/>
    <n v="34"/>
    <n v="12490"/>
    <n v="0.12"/>
    <n v="7900"/>
    <n v="424659.88"/>
    <n v="268600"/>
    <n v="156059.88"/>
    <n v="0.36749381646318935"/>
  </r>
  <r>
    <s v="ORD-114190"/>
    <x v="196"/>
    <x v="0"/>
    <s v="August"/>
    <x v="2"/>
    <s v="Raipur"/>
    <s v="Kartik Raman"/>
    <x v="1"/>
    <x v="2"/>
    <s v="Laptops"/>
    <s v="Hp 15S"/>
    <x v="0"/>
    <s v="Delivered"/>
    <n v="31"/>
    <n v="48500"/>
    <n v="0.15"/>
    <n v="30200"/>
    <n v="1503499.85"/>
    <n v="936200"/>
    <n v="567299.85000000009"/>
    <n v="0.37731952550577247"/>
  </r>
  <r>
    <s v="ORD-114372"/>
    <x v="196"/>
    <x v="0"/>
    <s v="August"/>
    <x v="0"/>
    <s v="Bhubaneswar"/>
    <s v="Anjali Mehta"/>
    <x v="1"/>
    <x v="0"/>
    <s v="Apparel"/>
    <s v="Men'S Casual Shirt"/>
    <x v="1"/>
    <s v="Delivered"/>
    <n v="20"/>
    <n v="1899"/>
    <n v="0.1"/>
    <n v="1080"/>
    <n v="37979.9"/>
    <n v="21600"/>
    <n v="16379.900000000001"/>
    <n v="0.43127812342844507"/>
  </r>
  <r>
    <s v="ORD-114205"/>
    <x v="197"/>
    <x v="0"/>
    <s v="August"/>
    <x v="2"/>
    <s v="Raipur"/>
    <s v="Anjali Mehta"/>
    <x v="2"/>
    <x v="0"/>
    <s v="Apparel"/>
    <s v="Men'S Casual Shirt"/>
    <x v="1"/>
    <s v="Delivered"/>
    <n v="11"/>
    <n v="1899"/>
    <n v="0.18"/>
    <n v="1080"/>
    <n v="20888.82"/>
    <n v="11880"/>
    <n v="9008.82"/>
    <n v="0.43127472016131119"/>
  </r>
  <r>
    <s v="ORD-114273"/>
    <x v="197"/>
    <x v="0"/>
    <s v="August"/>
    <x v="3"/>
    <s v="Delhi"/>
    <s v="Aditya Verma"/>
    <x v="0"/>
    <x v="2"/>
    <s v="Mobiles"/>
    <s v="Oneplus Nord Ce 3"/>
    <x v="0"/>
    <s v="Delivered"/>
    <n v="11"/>
    <n v="25999"/>
    <n v="0.2"/>
    <n v="17800"/>
    <n v="285988.8"/>
    <n v="195800"/>
    <n v="90188.799999999988"/>
    <n v="0.31535780422170379"/>
  </r>
  <r>
    <s v="ORD-114648"/>
    <x v="197"/>
    <x v="0"/>
    <s v="August"/>
    <x v="2"/>
    <s v="Ujjain"/>
    <s v="Simran Kaur"/>
    <x v="2"/>
    <x v="4"/>
    <s v="Fitness Equipment"/>
    <s v="Dumbbell Set"/>
    <x v="0"/>
    <s v="Delivered"/>
    <n v="5"/>
    <n v="3499"/>
    <n v="0.08"/>
    <n v="2190"/>
    <n v="17494.919999999998"/>
    <n v="10950"/>
    <n v="6544.9199999999983"/>
    <n v="0.37410402562572442"/>
  </r>
  <r>
    <s v="ORD-114132"/>
    <x v="198"/>
    <x v="0"/>
    <s v="August"/>
    <x v="1"/>
    <s v="Pune"/>
    <s v="Kartik Raman"/>
    <x v="2"/>
    <x v="1"/>
    <s v="Tables"/>
    <s v="Study Table"/>
    <x v="0"/>
    <s v="Delivered"/>
    <n v="28"/>
    <n v="6999"/>
    <n v="0.05"/>
    <n v="4320"/>
    <n v="195971.95"/>
    <n v="120960"/>
    <n v="75011.950000000012"/>
    <n v="0.38276880951585168"/>
  </r>
  <r>
    <s v="ORD-114022"/>
    <x v="199"/>
    <x v="0"/>
    <s v="August"/>
    <x v="0"/>
    <s v="Kolkata"/>
    <s v="Aditya Verma"/>
    <x v="1"/>
    <x v="3"/>
    <s v="Refrigerators"/>
    <s v="Samsung 253L Refrigerator"/>
    <x v="1"/>
    <s v="Cancelled"/>
    <n v="12"/>
    <n v="31490"/>
    <n v="0.1"/>
    <n v="21300"/>
    <n v="377879.9"/>
    <n v="255600"/>
    <n v="122279.90000000002"/>
    <n v="0.32359461299741005"/>
  </r>
  <r>
    <s v="ORD-114214"/>
    <x v="199"/>
    <x v="0"/>
    <s v="August"/>
    <x v="2"/>
    <s v="Raipur"/>
    <s v="Pooja Chouhan"/>
    <x v="0"/>
    <x v="3"/>
    <s v="Refrigerators"/>
    <s v="Samsung 253L Refrigerator"/>
    <x v="2"/>
    <s v="Pending"/>
    <n v="4"/>
    <n v="31490"/>
    <n v="0.15"/>
    <n v="21300"/>
    <n v="125959.85"/>
    <n v="85200"/>
    <n v="40759.850000000006"/>
    <n v="0.32359398649649079"/>
  </r>
  <r>
    <s v="ORD-114528"/>
    <x v="200"/>
    <x v="0"/>
    <s v="August"/>
    <x v="2"/>
    <s v="Ujjain"/>
    <s v="Rahul Singh"/>
    <x v="1"/>
    <x v="2"/>
    <s v="Mobiles"/>
    <s v="Oneplus Nord Ce 3"/>
    <x v="0"/>
    <s v="Pending"/>
    <n v="18"/>
    <n v="25999"/>
    <n v="0.05"/>
    <n v="17800"/>
    <n v="467981.95"/>
    <n v="320400"/>
    <n v="147581.95000000001"/>
    <n v="0.31535820986258123"/>
  </r>
  <r>
    <s v="ORD-114575"/>
    <x v="200"/>
    <x v="0"/>
    <s v="August"/>
    <x v="2"/>
    <s v="Raipur"/>
    <s v="Imran Sheikh"/>
    <x v="0"/>
    <x v="1"/>
    <s v="Sofas"/>
    <s v="Single Seater Recliner"/>
    <x v="0"/>
    <s v="Returned"/>
    <n v="35"/>
    <n v="43500"/>
    <n v="0.05"/>
    <n v="29520"/>
    <n v="1522499.95"/>
    <n v="1033200"/>
    <n v="489299.94999999995"/>
    <n v="0.32137928805843308"/>
  </r>
  <r>
    <s v="ORD-114569"/>
    <x v="201"/>
    <x v="0"/>
    <s v="August"/>
    <x v="1"/>
    <s v="Surat"/>
    <s v="Kartik Raman"/>
    <x v="1"/>
    <x v="2"/>
    <s v="Mobiles"/>
    <s v="Oneplus Nord Ce 3"/>
    <x v="0"/>
    <s v="Pending"/>
    <n v="6"/>
    <n v="25999"/>
    <n v="0.1"/>
    <n v="17800"/>
    <n v="155993.9"/>
    <n v="106800"/>
    <n v="49193.899999999994"/>
    <n v="0.31535784412082779"/>
  </r>
  <r>
    <s v="ORD-114608"/>
    <x v="201"/>
    <x v="0"/>
    <s v="August"/>
    <x v="3"/>
    <s v="Chandigarh"/>
    <s v="Sourav Das"/>
    <x v="2"/>
    <x v="4"/>
    <s v="Fitness Equipment"/>
    <s v="Yoga Mat"/>
    <x v="0"/>
    <s v="Delivered"/>
    <n v="17"/>
    <n v="1299"/>
    <n v="0.1"/>
    <n v="720"/>
    <n v="22082.9"/>
    <n v="12240"/>
    <n v="9842.9000000000015"/>
    <n v="0.44572497271644579"/>
  </r>
  <r>
    <s v="ORD-114082"/>
    <x v="202"/>
    <x v="0"/>
    <s v="August"/>
    <x v="4"/>
    <s v="Kochi"/>
    <s v="Kartik Raman"/>
    <x v="2"/>
    <x v="0"/>
    <s v="Apparel"/>
    <s v="Men'S Casual Shirt"/>
    <x v="0"/>
    <s v="Cancelled"/>
    <n v="32"/>
    <n v="1899"/>
    <n v="0.05"/>
    <n v="1080"/>
    <n v="60767.95"/>
    <n v="34560"/>
    <n v="26207.949999999997"/>
    <n v="0.43127915290872898"/>
  </r>
  <r>
    <s v="ORD-114294"/>
    <x v="203"/>
    <x v="0"/>
    <s v="August"/>
    <x v="3"/>
    <s v="Lucknow"/>
    <s v="Neha Deshpande"/>
    <x v="1"/>
    <x v="0"/>
    <s v="Apparel"/>
    <s v="Women'S Kurti"/>
    <x v="0"/>
    <s v="Returned"/>
    <n v="12"/>
    <n v="1599"/>
    <n v="0.2"/>
    <n v="920"/>
    <n v="19187.8"/>
    <n v="11040"/>
    <n v="8147.7999999999993"/>
    <n v="0.42463440311030964"/>
  </r>
  <r>
    <s v="ORD-114322"/>
    <x v="203"/>
    <x v="0"/>
    <s v="August"/>
    <x v="0"/>
    <s v="Patna"/>
    <s v="Rahul Singh"/>
    <x v="1"/>
    <x v="2"/>
    <s v="Mobiles"/>
    <s v="Iphone 13"/>
    <x v="1"/>
    <s v="Delivered"/>
    <n v="18"/>
    <n v="52990"/>
    <n v="0.05"/>
    <n v="39500"/>
    <n v="953819.95"/>
    <n v="711000"/>
    <n v="242819.94999999995"/>
    <n v="0.25457629608187582"/>
  </r>
  <r>
    <s v="ORD-114429"/>
    <x v="203"/>
    <x v="0"/>
    <s v="August"/>
    <x v="3"/>
    <s v="Delhi"/>
    <s v="Imran Sheikh"/>
    <x v="2"/>
    <x v="0"/>
    <s v="Footwear"/>
    <s v="Nike Running Shoes"/>
    <x v="0"/>
    <s v="Delivered"/>
    <n v="35"/>
    <n v="6499"/>
    <n v="0.15"/>
    <n v="4210"/>
    <n v="227464.85"/>
    <n v="147350"/>
    <n v="80114.850000000006"/>
    <n v="0.35220760482333868"/>
  </r>
  <r>
    <s v="ORD-114044"/>
    <x v="204"/>
    <x v="0"/>
    <s v="August"/>
    <x v="0"/>
    <s v="Bhubaneswar"/>
    <s v="Aditya Verma"/>
    <x v="0"/>
    <x v="4"/>
    <s v="Fitness Equipment"/>
    <s v="Dumbbell Set"/>
    <x v="2"/>
    <s v="Cancelled"/>
    <n v="14"/>
    <n v="3499"/>
    <n v="0.15"/>
    <n v="2190"/>
    <n v="48985.85"/>
    <n v="30660"/>
    <n v="18325.849999999999"/>
    <n v="0.37410497112941798"/>
  </r>
  <r>
    <s v="ORD-114342"/>
    <x v="205"/>
    <x v="0"/>
    <s v="August"/>
    <x v="0"/>
    <s v="Patna"/>
    <s v="Imran Sheikh"/>
    <x v="1"/>
    <x v="4"/>
    <s v="Fitness Equipment"/>
    <s v="Dumbbell Set"/>
    <x v="0"/>
    <s v="Cancelled"/>
    <n v="35"/>
    <n v="3499"/>
    <n v="0.18"/>
    <n v="2190"/>
    <n v="122464.82"/>
    <n v="76650"/>
    <n v="45814.820000000007"/>
    <n v="0.37410596773832683"/>
  </r>
  <r>
    <s v="ORD-114747"/>
    <x v="206"/>
    <x v="0"/>
    <s v="September"/>
    <x v="1"/>
    <s v="Pune"/>
    <s v="Anjali Mehta"/>
    <x v="0"/>
    <x v="4"/>
    <s v="Fitness Equipment"/>
    <s v="Dumbbell Set"/>
    <x v="2"/>
    <s v="Cancelled"/>
    <n v="6"/>
    <n v="3499"/>
    <n v="0.2"/>
    <n v="2190"/>
    <n v="20993.8"/>
    <n v="13140"/>
    <n v="7853.7999999999993"/>
    <n v="0.3741009250350103"/>
  </r>
  <r>
    <s v="ORD-114174"/>
    <x v="207"/>
    <x v="0"/>
    <s v="September"/>
    <x v="2"/>
    <s v="Bhopal"/>
    <s v="Simran Kaur"/>
    <x v="2"/>
    <x v="3"/>
    <s v="Refrigerators"/>
    <s v="Lg 260L Double Door"/>
    <x v="1"/>
    <s v="Delivered"/>
    <n v="26"/>
    <n v="29010"/>
    <n v="0.18"/>
    <n v="19100"/>
    <n v="754259.82"/>
    <n v="496600"/>
    <n v="257659.81999999995"/>
    <n v="0.3416061855184066"/>
  </r>
  <r>
    <s v="ORD-114199"/>
    <x v="207"/>
    <x v="0"/>
    <s v="September"/>
    <x v="0"/>
    <s v="Ranchi"/>
    <s v="Rahul Singh"/>
    <x v="1"/>
    <x v="1"/>
    <s v="Tables"/>
    <s v="Study Table"/>
    <x v="2"/>
    <s v="Returned"/>
    <n v="17"/>
    <n v="6999"/>
    <n v="0.18"/>
    <n v="4320"/>
    <n v="118982.82"/>
    <n v="73440"/>
    <n v="45542.820000000007"/>
    <n v="0.38276803323370556"/>
  </r>
  <r>
    <s v="ORD-114227"/>
    <x v="207"/>
    <x v="0"/>
    <s v="September"/>
    <x v="4"/>
    <s v="Bengaluru"/>
    <s v="Rahul Singh"/>
    <x v="0"/>
    <x v="4"/>
    <s v="Fitness Equipment"/>
    <s v="Yoga Mat"/>
    <x v="1"/>
    <s v="Pending"/>
    <n v="36"/>
    <n v="1299"/>
    <n v="0.08"/>
    <n v="720"/>
    <n v="46763.92"/>
    <n v="25920"/>
    <n v="20843.919999999998"/>
    <n v="0.44572653447358562"/>
  </r>
  <r>
    <s v="ORD-114333"/>
    <x v="207"/>
    <x v="0"/>
    <s v="September"/>
    <x v="1"/>
    <s v="Surat"/>
    <s v="Anjali Mehta"/>
    <x v="0"/>
    <x v="0"/>
    <s v="Apparel"/>
    <s v="Women'S Kurti"/>
    <x v="0"/>
    <s v="Cancelled"/>
    <n v="7"/>
    <n v="1599"/>
    <n v="0.2"/>
    <n v="920"/>
    <n v="11192.8"/>
    <n v="6440"/>
    <n v="4752.7999999999993"/>
    <n v="0.42463011936244727"/>
  </r>
  <r>
    <s v="ORD-114658"/>
    <x v="207"/>
    <x v="0"/>
    <s v="September"/>
    <x v="0"/>
    <s v="Patna"/>
    <s v="Rahul Singh"/>
    <x v="2"/>
    <x v="3"/>
    <s v="Refrigerators"/>
    <s v="Whirlpool 265L Refrigerator"/>
    <x v="2"/>
    <s v="Delivered"/>
    <n v="8"/>
    <n v="27890"/>
    <n v="0.18"/>
    <n v="18800"/>
    <n v="223119.82"/>
    <n v="150400"/>
    <n v="72719.820000000007"/>
    <n v="0.32592272618362639"/>
  </r>
  <r>
    <s v="ORD-114181"/>
    <x v="208"/>
    <x v="0"/>
    <s v="September"/>
    <x v="1"/>
    <s v="Pune"/>
    <s v="Sourav Das"/>
    <x v="0"/>
    <x v="0"/>
    <s v="Footwear"/>
    <s v="Puma Sneakers"/>
    <x v="1"/>
    <s v="Delivered"/>
    <n v="29"/>
    <n v="4499"/>
    <n v="0.12"/>
    <n v="2910"/>
    <n v="130470.88"/>
    <n v="84390"/>
    <n v="46080.880000000005"/>
    <n v="0.35318900278744192"/>
  </r>
  <r>
    <s v="ORD-114515"/>
    <x v="208"/>
    <x v="0"/>
    <s v="September"/>
    <x v="0"/>
    <s v="Bhubaneswar"/>
    <s v="Ritika Ghosh"/>
    <x v="2"/>
    <x v="0"/>
    <s v="Footwear"/>
    <s v="Puma Sneakers"/>
    <x v="1"/>
    <s v="Returned"/>
    <n v="21"/>
    <n v="4499"/>
    <n v="0.2"/>
    <n v="2910"/>
    <n v="94478.8"/>
    <n v="61110"/>
    <n v="33368.800000000003"/>
    <n v="0.35318822847030235"/>
  </r>
  <r>
    <s v="ORD-114556"/>
    <x v="208"/>
    <x v="0"/>
    <s v="September"/>
    <x v="1"/>
    <s v="Pune"/>
    <s v="Aditya Verma"/>
    <x v="2"/>
    <x v="2"/>
    <s v="Laptops"/>
    <s v="Lenovo Ideapad 3"/>
    <x v="0"/>
    <s v="Returned"/>
    <n v="34"/>
    <n v="48990"/>
    <n v="0.05"/>
    <n v="30100"/>
    <n v="1665659.95"/>
    <n v="1023400"/>
    <n v="642259.94999999995"/>
    <n v="0.38558887724952501"/>
  </r>
  <r>
    <s v="ORD-114146"/>
    <x v="209"/>
    <x v="0"/>
    <s v="September"/>
    <x v="2"/>
    <s v="Ujjain"/>
    <s v="Sourav Das"/>
    <x v="2"/>
    <x v="1"/>
    <s v="Tables"/>
    <s v="Study Table"/>
    <x v="2"/>
    <s v="Delivered"/>
    <n v="14"/>
    <n v="6999"/>
    <n v="0.1"/>
    <n v="4320"/>
    <n v="97985.9"/>
    <n v="60480"/>
    <n v="37505.899999999994"/>
    <n v="0.3827683370770692"/>
  </r>
  <r>
    <s v="ORD-114647"/>
    <x v="209"/>
    <x v="0"/>
    <s v="September"/>
    <x v="0"/>
    <s v="Bhubaneswar"/>
    <s v="Rahul Singh"/>
    <x v="2"/>
    <x v="0"/>
    <s v="Apparel"/>
    <s v="Men'S Casual Shirt"/>
    <x v="1"/>
    <s v="Delivered"/>
    <n v="23"/>
    <n v="1899"/>
    <n v="0.12"/>
    <n v="1080"/>
    <n v="43676.88"/>
    <n v="24840"/>
    <n v="18836.879999999997"/>
    <n v="0.43127805832284721"/>
  </r>
  <r>
    <s v="ORD-114673"/>
    <x v="209"/>
    <x v="0"/>
    <s v="September"/>
    <x v="0"/>
    <s v="Kolkata"/>
    <s v="Kartik Raman"/>
    <x v="2"/>
    <x v="1"/>
    <s v="Tables"/>
    <s v="6-Seater Dining Table"/>
    <x v="1"/>
    <s v="Pending"/>
    <n v="19"/>
    <n v="25110"/>
    <n v="0.1"/>
    <n v="16730"/>
    <n v="477089.9"/>
    <n v="317870"/>
    <n v="159219.90000000002"/>
    <n v="0.33373144139081545"/>
  </r>
  <r>
    <s v="ORD-114689"/>
    <x v="209"/>
    <x v="0"/>
    <s v="September"/>
    <x v="1"/>
    <s v="Ahmedabad"/>
    <s v="Imran Sheikh"/>
    <x v="2"/>
    <x v="1"/>
    <s v="Sofas"/>
    <s v="3-Seater Sofa"/>
    <x v="2"/>
    <s v="Returned"/>
    <n v="39"/>
    <n v="38990"/>
    <n v="0.12"/>
    <n v="25400"/>
    <n v="1520609.88"/>
    <n v="990600"/>
    <n v="530009.87999999989"/>
    <n v="0.34855085908030531"/>
  </r>
  <r>
    <s v="ORD-114709"/>
    <x v="209"/>
    <x v="0"/>
    <s v="September"/>
    <x v="0"/>
    <s v="Ranchi"/>
    <s v="Sourav Das"/>
    <x v="1"/>
    <x v="2"/>
    <s v="Laptops"/>
    <s v="Hp 15S"/>
    <x v="1"/>
    <s v="Delivered"/>
    <n v="20"/>
    <n v="48500"/>
    <n v="0.12"/>
    <n v="30200"/>
    <n v="969999.88"/>
    <n v="604000"/>
    <n v="365999.88"/>
    <n v="0.37731951059622809"/>
  </r>
  <r>
    <s v="ORD-114471"/>
    <x v="210"/>
    <x v="0"/>
    <s v="September"/>
    <x v="1"/>
    <s v="Mumbai"/>
    <s v="Anjali Mehta"/>
    <x v="0"/>
    <x v="0"/>
    <s v="Footwear"/>
    <s v="Puma Sneakers"/>
    <x v="0"/>
    <s v="Pending"/>
    <n v="21"/>
    <n v="4499"/>
    <n v="0.2"/>
    <n v="2910"/>
    <n v="94478.8"/>
    <n v="61110"/>
    <n v="33368.800000000003"/>
    <n v="0.35318822847030235"/>
  </r>
  <r>
    <s v="ORD-114589"/>
    <x v="210"/>
    <x v="0"/>
    <s v="September"/>
    <x v="1"/>
    <s v="Ahmedabad"/>
    <s v="Sourav Das"/>
    <x v="1"/>
    <x v="1"/>
    <s v="Tables"/>
    <s v="6-Seater Dining Table"/>
    <x v="1"/>
    <s v="Delivered"/>
    <n v="2"/>
    <n v="25110"/>
    <n v="0.08"/>
    <n v="16730"/>
    <n v="50219.92"/>
    <n v="33460"/>
    <n v="16759.919999999998"/>
    <n v="0.33373051968222966"/>
  </r>
  <r>
    <s v="ORD-114339"/>
    <x v="211"/>
    <x v="0"/>
    <s v="September"/>
    <x v="3"/>
    <s v="Delhi"/>
    <s v="Aditya Verma"/>
    <x v="1"/>
    <x v="1"/>
    <s v="Tables"/>
    <s v="Study Table"/>
    <x v="1"/>
    <s v="Delivered"/>
    <n v="26"/>
    <n v="6999"/>
    <n v="0.12"/>
    <n v="4320"/>
    <n v="181973.88"/>
    <n v="112320"/>
    <n v="69653.88"/>
    <n v="0.38276855997135417"/>
  </r>
  <r>
    <s v="ORD-114337"/>
    <x v="212"/>
    <x v="0"/>
    <s v="September"/>
    <x v="2"/>
    <s v="Bhopal"/>
    <s v="Rahul Singh"/>
    <x v="0"/>
    <x v="3"/>
    <s v="Kitchen Appliances"/>
    <s v="Prestige Mixer Grinder"/>
    <x v="2"/>
    <s v="Pending"/>
    <n v="36"/>
    <n v="4680"/>
    <n v="0.2"/>
    <n v="3250"/>
    <n v="168479.8"/>
    <n v="117000"/>
    <n v="51479.799999999988"/>
    <n v="0.30555473119032661"/>
  </r>
  <r>
    <s v="ORD-114389"/>
    <x v="212"/>
    <x v="0"/>
    <s v="September"/>
    <x v="2"/>
    <s v="Ujjain"/>
    <s v="Pooja Chouhan"/>
    <x v="2"/>
    <x v="3"/>
    <s v="Refrigerators"/>
    <s v="Samsung 253L Refrigerator"/>
    <x v="2"/>
    <s v="Delivered"/>
    <n v="5"/>
    <n v="31490"/>
    <n v="0.2"/>
    <n v="21300"/>
    <n v="157449.79999999999"/>
    <n v="106500"/>
    <n v="50949.799999999988"/>
    <n v="0.3235939327963579"/>
  </r>
  <r>
    <s v="ORD-114464"/>
    <x v="213"/>
    <x v="0"/>
    <s v="September"/>
    <x v="3"/>
    <s v="Delhi"/>
    <s v="Simran Kaur"/>
    <x v="2"/>
    <x v="2"/>
    <s v="Audio Devices"/>
    <s v="Boat Airdopes 131"/>
    <x v="2"/>
    <s v="Delivered"/>
    <n v="40"/>
    <n v="1930"/>
    <n v="0.1"/>
    <n v="1120"/>
    <n v="77199.899999999994"/>
    <n v="44800"/>
    <n v="32399.899999999994"/>
    <n v="0.41968836747197857"/>
  </r>
  <r>
    <s v="ORD-114737"/>
    <x v="213"/>
    <x v="0"/>
    <s v="September"/>
    <x v="1"/>
    <s v="Surat"/>
    <s v="Ritika Ghosh"/>
    <x v="0"/>
    <x v="2"/>
    <s v="Mobiles"/>
    <s v="Samsung Galaxy M34"/>
    <x v="0"/>
    <s v="Pending"/>
    <n v="32"/>
    <n v="22999"/>
    <n v="0.12"/>
    <n v="15100"/>
    <n v="735967.88"/>
    <n v="483200"/>
    <n v="252767.88"/>
    <n v="0.34344960815409498"/>
  </r>
  <r>
    <s v="ORD-114101"/>
    <x v="214"/>
    <x v="0"/>
    <s v="September"/>
    <x v="2"/>
    <s v="Bhopal"/>
    <s v="Rahul Singh"/>
    <x v="1"/>
    <x v="0"/>
    <s v="Apparel"/>
    <s v="Men'S Casual Shirt"/>
    <x v="0"/>
    <s v="Returned"/>
    <n v="4"/>
    <n v="1899"/>
    <n v="0.15"/>
    <n v="1080"/>
    <n v="7595.85"/>
    <n v="4320"/>
    <n v="3275.8500000000004"/>
    <n v="0.43126838997610539"/>
  </r>
  <r>
    <s v="ORD-114299"/>
    <x v="214"/>
    <x v="0"/>
    <s v="September"/>
    <x v="2"/>
    <s v="Ujjain"/>
    <s v="Rahul Singh"/>
    <x v="2"/>
    <x v="3"/>
    <s v="Kitchen Appliances"/>
    <s v="Prestige Mixer Grinder"/>
    <x v="0"/>
    <s v="Delivered"/>
    <n v="1"/>
    <n v="4680"/>
    <n v="0.08"/>
    <n v="3250"/>
    <n v="4679.92"/>
    <n v="3250"/>
    <n v="1429.92"/>
    <n v="0.30554368450742747"/>
  </r>
  <r>
    <s v="ORD-114330"/>
    <x v="214"/>
    <x v="0"/>
    <s v="September"/>
    <x v="3"/>
    <s v="Jaipur"/>
    <s v="Imran Sheikh"/>
    <x v="1"/>
    <x v="3"/>
    <s v="Refrigerators"/>
    <s v="Samsung 253L Refrigerator"/>
    <x v="0"/>
    <s v="Delivered"/>
    <n v="37"/>
    <n v="31490"/>
    <n v="0.05"/>
    <n v="21300"/>
    <n v="1165129.95"/>
    <n v="788100"/>
    <n v="377029.94999999995"/>
    <n v="0.32359476297043088"/>
  </r>
  <r>
    <s v="ORD-114502"/>
    <x v="214"/>
    <x v="0"/>
    <s v="September"/>
    <x v="2"/>
    <s v="Indore"/>
    <s v="Neha Deshpande"/>
    <x v="2"/>
    <x v="2"/>
    <s v="Audio Devices"/>
    <s v="Sony Wh-Ch520"/>
    <x v="2"/>
    <s v="Delivered"/>
    <n v="34"/>
    <n v="4490"/>
    <n v="0.18"/>
    <n v="2950"/>
    <n v="152659.82"/>
    <n v="100300"/>
    <n v="52359.820000000007"/>
    <n v="0.34298363511760988"/>
  </r>
  <r>
    <s v="ORD-114701"/>
    <x v="214"/>
    <x v="0"/>
    <s v="September"/>
    <x v="0"/>
    <s v="Patna"/>
    <s v="Imran Sheikh"/>
    <x v="0"/>
    <x v="1"/>
    <s v="Tables"/>
    <s v="Study Table"/>
    <x v="1"/>
    <s v="Returned"/>
    <n v="14"/>
    <n v="6999"/>
    <n v="0.1"/>
    <n v="4320"/>
    <n v="97985.9"/>
    <n v="60480"/>
    <n v="37505.899999999994"/>
    <n v="0.3827683370770692"/>
  </r>
  <r>
    <s v="ORD-114301"/>
    <x v="215"/>
    <x v="0"/>
    <s v="September"/>
    <x v="0"/>
    <s v="Kolkata"/>
    <s v="Rahul Singh"/>
    <x v="2"/>
    <x v="4"/>
    <s v="Fitness Equipment"/>
    <s v="Dumbbell Set"/>
    <x v="2"/>
    <s v="Pending"/>
    <n v="24"/>
    <n v="3499"/>
    <n v="0.05"/>
    <n v="2190"/>
    <n v="83975.95"/>
    <n v="52560"/>
    <n v="31415.949999999997"/>
    <n v="0.37410651502007419"/>
  </r>
  <r>
    <s v="ORD-114627"/>
    <x v="215"/>
    <x v="0"/>
    <s v="September"/>
    <x v="2"/>
    <s v="Raipur"/>
    <s v="Sourav Das"/>
    <x v="1"/>
    <x v="3"/>
    <s v="Refrigerators"/>
    <s v="Whirlpool 265L Refrigerator"/>
    <x v="1"/>
    <s v="Pending"/>
    <n v="12"/>
    <n v="27890"/>
    <n v="0.18"/>
    <n v="18800"/>
    <n v="334679.82"/>
    <n v="225600"/>
    <n v="109079.82"/>
    <n v="0.32592290745226288"/>
  </r>
  <r>
    <s v="ORD-114321"/>
    <x v="216"/>
    <x v="0"/>
    <s v="September"/>
    <x v="4"/>
    <s v="Chennai"/>
    <s v="Kartik Raman"/>
    <x v="1"/>
    <x v="0"/>
    <s v="Apparel"/>
    <s v="Women'S Kurti"/>
    <x v="0"/>
    <s v="Cancelled"/>
    <n v="23"/>
    <n v="1599"/>
    <n v="0.15"/>
    <n v="920"/>
    <n v="36776.85"/>
    <n v="21160"/>
    <n v="15616.849999999999"/>
    <n v="0.42463805355814865"/>
  </r>
  <r>
    <s v="ORD-114118"/>
    <x v="217"/>
    <x v="0"/>
    <s v="September"/>
    <x v="2"/>
    <s v="Indore"/>
    <s v="Ritika Ghosh"/>
    <x v="1"/>
    <x v="1"/>
    <s v="Sofas"/>
    <s v="3-Seater Sofa"/>
    <x v="0"/>
    <s v="Pending"/>
    <n v="19"/>
    <n v="38990"/>
    <n v="0.12"/>
    <n v="25400"/>
    <n v="740809.88"/>
    <n v="482600"/>
    <n v="258209.88"/>
    <n v="0.34855080496496621"/>
  </r>
  <r>
    <s v="ORD-114509"/>
    <x v="217"/>
    <x v="0"/>
    <s v="September"/>
    <x v="1"/>
    <s v="Mumbai"/>
    <s v="Imran Sheikh"/>
    <x v="0"/>
    <x v="0"/>
    <s v="Apparel"/>
    <s v="Men'S Casual Shirt"/>
    <x v="1"/>
    <s v="Delivered"/>
    <n v="36"/>
    <n v="1899"/>
    <n v="0.12"/>
    <n v="1080"/>
    <n v="68363.88"/>
    <n v="38880"/>
    <n v="29483.880000000005"/>
    <n v="0.43127862257086641"/>
  </r>
  <r>
    <s v="ORD-114639"/>
    <x v="217"/>
    <x v="0"/>
    <s v="September"/>
    <x v="2"/>
    <s v="Indore"/>
    <s v="Imran Sheikh"/>
    <x v="1"/>
    <x v="4"/>
    <s v="Fitness Equipment"/>
    <s v="Dumbbell Set"/>
    <x v="1"/>
    <s v="Delivered"/>
    <n v="31"/>
    <n v="3499"/>
    <n v="0.18"/>
    <n v="2190"/>
    <n v="108468.82"/>
    <n v="67890"/>
    <n v="40578.820000000007"/>
    <n v="0.37410584903569527"/>
  </r>
  <r>
    <s v="ORD-114692"/>
    <x v="217"/>
    <x v="0"/>
    <s v="September"/>
    <x v="2"/>
    <s v="Ujjain"/>
    <s v="Ritika Ghosh"/>
    <x v="2"/>
    <x v="4"/>
    <s v="Fitness Equipment"/>
    <s v="Dumbbell Set"/>
    <x v="1"/>
    <s v="Delivered"/>
    <n v="32"/>
    <n v="3499"/>
    <n v="0.12"/>
    <n v="2190"/>
    <n v="111967.88"/>
    <n v="70080"/>
    <n v="41887.880000000005"/>
    <n v="0.37410621689005813"/>
  </r>
  <r>
    <s v="ORD-114560"/>
    <x v="218"/>
    <x v="0"/>
    <s v="September"/>
    <x v="0"/>
    <s v="Ranchi"/>
    <s v="Pooja Chouhan"/>
    <x v="2"/>
    <x v="3"/>
    <s v="Refrigerators"/>
    <s v="Samsung 253L Refrigerator"/>
    <x v="2"/>
    <s v="Delivered"/>
    <n v="20"/>
    <n v="31490"/>
    <n v="0.1"/>
    <n v="21300"/>
    <n v="629799.9"/>
    <n v="426000"/>
    <n v="203799.90000000002"/>
    <n v="0.32359468459744123"/>
  </r>
  <r>
    <s v="ORD-114026"/>
    <x v="219"/>
    <x v="0"/>
    <s v="September"/>
    <x v="2"/>
    <s v="Ujjain"/>
    <s v="Neha Deshpande"/>
    <x v="1"/>
    <x v="2"/>
    <s v="Audio Devices"/>
    <s v="Jbl Tune 510Bt"/>
    <x v="0"/>
    <s v="Pending"/>
    <n v="11"/>
    <n v="3299"/>
    <n v="0.05"/>
    <n v="2050"/>
    <n v="36288.949999999997"/>
    <n v="22550"/>
    <n v="13738.949999999997"/>
    <n v="0.37859871944489987"/>
  </r>
  <r>
    <s v="ORD-114302"/>
    <x v="219"/>
    <x v="0"/>
    <s v="September"/>
    <x v="2"/>
    <s v="Indore"/>
    <s v="Neha Deshpande"/>
    <x v="1"/>
    <x v="1"/>
    <s v="Tables"/>
    <s v="Office Work Table"/>
    <x v="0"/>
    <s v="Returned"/>
    <n v="8"/>
    <n v="12490"/>
    <n v="0.08"/>
    <n v="7900"/>
    <n v="99919.92"/>
    <n v="63200"/>
    <n v="36719.919999999998"/>
    <n v="0.36749348878581967"/>
  </r>
  <r>
    <s v="ORD-114547"/>
    <x v="220"/>
    <x v="0"/>
    <s v="September"/>
    <x v="4"/>
    <s v="Bengaluru"/>
    <s v="Ritika Ghosh"/>
    <x v="1"/>
    <x v="0"/>
    <s v="Apparel"/>
    <s v="Men'S Casual Shirt"/>
    <x v="0"/>
    <s v="Returned"/>
    <n v="25"/>
    <n v="1899"/>
    <n v="0.18"/>
    <n v="1080"/>
    <n v="47474.82"/>
    <n v="27000"/>
    <n v="20474.82"/>
    <n v="0.43127746455910732"/>
  </r>
  <r>
    <s v="ORD-114458"/>
    <x v="221"/>
    <x v="0"/>
    <s v="September"/>
    <x v="4"/>
    <s v="Kochi"/>
    <s v="Kartik Raman"/>
    <x v="1"/>
    <x v="4"/>
    <s v="Fitness Equipment"/>
    <s v="Resistance Bands"/>
    <x v="2"/>
    <s v="Delivered"/>
    <n v="8"/>
    <n v="999"/>
    <n v="0.2"/>
    <n v="540"/>
    <n v="7991.8"/>
    <n v="4320"/>
    <n v="3671.8"/>
    <n v="0.45944593208038242"/>
  </r>
  <r>
    <s v="ORD-114407"/>
    <x v="222"/>
    <x v="0"/>
    <s v="September"/>
    <x v="0"/>
    <s v="Ranchi"/>
    <s v="Aditya Verma"/>
    <x v="0"/>
    <x v="0"/>
    <s v="Footwear"/>
    <s v="Puma Sneakers"/>
    <x v="1"/>
    <s v="Delivered"/>
    <n v="12"/>
    <n v="4499"/>
    <n v="0.18"/>
    <n v="2910"/>
    <n v="53987.82"/>
    <n v="34920"/>
    <n v="19067.82"/>
    <n v="0.35318744116728551"/>
  </r>
  <r>
    <s v="ORD-114414"/>
    <x v="222"/>
    <x v="0"/>
    <s v="September"/>
    <x v="3"/>
    <s v="Lucknow"/>
    <s v="Kartik Raman"/>
    <x v="2"/>
    <x v="0"/>
    <s v="Apparel"/>
    <s v="Men'S Casual Shirt"/>
    <x v="2"/>
    <s v="Returned"/>
    <n v="13"/>
    <n v="1899"/>
    <n v="0.1"/>
    <n v="1080"/>
    <n v="24686.9"/>
    <n v="14040"/>
    <n v="10646.900000000001"/>
    <n v="0.43127731711960599"/>
  </r>
  <r>
    <s v="ORD-114683"/>
    <x v="222"/>
    <x v="0"/>
    <s v="September"/>
    <x v="1"/>
    <s v="Ahmedabad"/>
    <s v="Imran Sheikh"/>
    <x v="1"/>
    <x v="0"/>
    <s v="Footwear"/>
    <s v="Nike Running Shoes"/>
    <x v="2"/>
    <s v="Cancelled"/>
    <n v="28"/>
    <n v="6499"/>
    <n v="0.08"/>
    <n v="4210"/>
    <n v="181971.92"/>
    <n v="117880"/>
    <n v="64091.920000000013"/>
    <n v="0.352207747217263"/>
  </r>
  <r>
    <s v="ORD-114705"/>
    <x v="222"/>
    <x v="0"/>
    <s v="September"/>
    <x v="2"/>
    <s v="Bhopal"/>
    <s v="Sourav Das"/>
    <x v="2"/>
    <x v="4"/>
    <s v="Fitness Equipment"/>
    <s v="Yoga Mat"/>
    <x v="2"/>
    <s v="Cancelled"/>
    <n v="17"/>
    <n v="1299"/>
    <n v="0.15"/>
    <n v="720"/>
    <n v="22082.85"/>
    <n v="12240"/>
    <n v="9842.8499999999985"/>
    <n v="0.44572371772665209"/>
  </r>
  <r>
    <s v="ORD-114017"/>
    <x v="223"/>
    <x v="0"/>
    <s v="September"/>
    <x v="2"/>
    <s v="Raipur"/>
    <s v="Aditya Verma"/>
    <x v="2"/>
    <x v="3"/>
    <s v="Refrigerators"/>
    <s v="Samsung 253L Refrigerator"/>
    <x v="2"/>
    <s v="Returned"/>
    <n v="24"/>
    <n v="31490"/>
    <n v="0.12"/>
    <n v="21300"/>
    <n v="755759.88"/>
    <n v="511200"/>
    <n v="244559.88"/>
    <n v="0.32359468459744117"/>
  </r>
  <r>
    <s v="ORD-114351"/>
    <x v="223"/>
    <x v="0"/>
    <s v="September"/>
    <x v="0"/>
    <s v="Patna"/>
    <s v="Imran Sheikh"/>
    <x v="2"/>
    <x v="2"/>
    <s v="Laptops"/>
    <s v="Dell Inspiron 3511"/>
    <x v="1"/>
    <s v="Cancelled"/>
    <n v="32"/>
    <n v="55230"/>
    <n v="0.2"/>
    <n v="33800"/>
    <n v="1767359.8"/>
    <n v="1081600"/>
    <n v="685759.8"/>
    <n v="0.38801369138304492"/>
  </r>
  <r>
    <s v="ORD-114309"/>
    <x v="224"/>
    <x v="0"/>
    <s v="September"/>
    <x v="2"/>
    <s v="Indore"/>
    <s v="Sourav Das"/>
    <x v="0"/>
    <x v="2"/>
    <s v="Laptops"/>
    <s v="Lenovo Ideapad 3"/>
    <x v="2"/>
    <s v="Delivered"/>
    <n v="3"/>
    <n v="48990"/>
    <n v="0.08"/>
    <n v="30100"/>
    <n v="146969.92000000001"/>
    <n v="90300"/>
    <n v="56669.920000000013"/>
    <n v="0.38558856125117308"/>
  </r>
  <r>
    <s v="ORD-114358"/>
    <x v="224"/>
    <x v="0"/>
    <s v="September"/>
    <x v="0"/>
    <s v="Bhubaneswar"/>
    <s v="Sourav Das"/>
    <x v="0"/>
    <x v="1"/>
    <s v="Sofas"/>
    <s v="3-Seater Sofa"/>
    <x v="1"/>
    <s v="Cancelled"/>
    <n v="20"/>
    <n v="38990"/>
    <n v="0.18"/>
    <n v="25400"/>
    <n v="779799.82"/>
    <n v="508000"/>
    <n v="271799.81999999995"/>
    <n v="0.34855076011687203"/>
  </r>
  <r>
    <s v="ORD-114433"/>
    <x v="224"/>
    <x v="0"/>
    <s v="September"/>
    <x v="4"/>
    <s v="Hyderabad"/>
    <s v="Sourav Das"/>
    <x v="0"/>
    <x v="0"/>
    <s v="Footwear"/>
    <s v="Nike Running Shoes"/>
    <x v="0"/>
    <s v="Delivered"/>
    <n v="7"/>
    <n v="6499"/>
    <n v="0.18"/>
    <n v="4210"/>
    <n v="45492.82"/>
    <n v="29470"/>
    <n v="16022.82"/>
    <n v="0.35220546890696158"/>
  </r>
  <r>
    <s v="ORD-114453"/>
    <x v="224"/>
    <x v="0"/>
    <s v="September"/>
    <x v="0"/>
    <s v="Ranchi"/>
    <s v="Neha Deshpande"/>
    <x v="1"/>
    <x v="4"/>
    <s v="Fitness Equipment"/>
    <s v="Resistance Bands"/>
    <x v="2"/>
    <s v="Cancelled"/>
    <n v="40"/>
    <n v="999"/>
    <n v="0.18"/>
    <n v="540"/>
    <n v="39959.82"/>
    <n v="21600"/>
    <n v="18359.82"/>
    <n v="0.45945702458119181"/>
  </r>
  <r>
    <s v="ORD-114712"/>
    <x v="225"/>
    <x v="0"/>
    <s v="September"/>
    <x v="1"/>
    <s v="Ahmedabad"/>
    <s v="Ritika Ghosh"/>
    <x v="0"/>
    <x v="3"/>
    <s v="Kitchen Appliances"/>
    <s v="Prestige Mixer Grinder"/>
    <x v="0"/>
    <s v="Returned"/>
    <n v="33"/>
    <n v="4680"/>
    <n v="0.05"/>
    <n v="3250"/>
    <n v="154439.95000000001"/>
    <n v="107250"/>
    <n v="47189.950000000012"/>
    <n v="0.30555533072886909"/>
  </r>
  <r>
    <s v="ORD-114193"/>
    <x v="226"/>
    <x v="0"/>
    <s v="September"/>
    <x v="0"/>
    <s v="Kolkata"/>
    <s v="Imran Sheikh"/>
    <x v="0"/>
    <x v="1"/>
    <s v="Tables"/>
    <s v="Office Work Table"/>
    <x v="1"/>
    <s v="Pending"/>
    <n v="31"/>
    <n v="12490"/>
    <n v="0.08"/>
    <n v="7900"/>
    <n v="387189.92"/>
    <n v="244900"/>
    <n v="142289.91999999998"/>
    <n v="0.3674938645096959"/>
  </r>
  <r>
    <s v="ORD-114352"/>
    <x v="226"/>
    <x v="0"/>
    <s v="September"/>
    <x v="0"/>
    <s v="Kolkata"/>
    <s v="Kartik Raman"/>
    <x v="1"/>
    <x v="2"/>
    <s v="Mobiles"/>
    <s v="Iphone 13"/>
    <x v="0"/>
    <s v="Cancelled"/>
    <n v="9"/>
    <n v="52990"/>
    <n v="0.2"/>
    <n v="39500"/>
    <n v="476909.8"/>
    <n v="355500"/>
    <n v="121409.79999999999"/>
    <n v="0.25457602255185358"/>
  </r>
  <r>
    <s v="ORD-114482"/>
    <x v="226"/>
    <x v="0"/>
    <s v="September"/>
    <x v="0"/>
    <s v="Patna"/>
    <s v="Anjali Mehta"/>
    <x v="2"/>
    <x v="4"/>
    <s v="Fitness Equipment"/>
    <s v="Resistance Bands"/>
    <x v="0"/>
    <s v="Cancelled"/>
    <n v="37"/>
    <n v="999"/>
    <n v="0.12"/>
    <n v="540"/>
    <n v="36962.879999999997"/>
    <n v="19980"/>
    <n v="16982.879999999997"/>
    <n v="0.45945770459444712"/>
  </r>
  <r>
    <s v="ORD-114664"/>
    <x v="226"/>
    <x v="0"/>
    <s v="September"/>
    <x v="1"/>
    <s v="Surat"/>
    <s v="Anjali Mehta"/>
    <x v="2"/>
    <x v="4"/>
    <s v="Fitness Equipment"/>
    <s v="Yoga Mat"/>
    <x v="1"/>
    <s v="Delivered"/>
    <n v="31"/>
    <n v="1299"/>
    <n v="0.2"/>
    <n v="720"/>
    <n v="40268.800000000003"/>
    <n v="22320"/>
    <n v="17948.800000000003"/>
    <n v="0.44572472981563893"/>
  </r>
  <r>
    <s v="ORD-114465"/>
    <x v="227"/>
    <x v="0"/>
    <s v="September"/>
    <x v="2"/>
    <s v="Bhopal"/>
    <s v="Simran Kaur"/>
    <x v="1"/>
    <x v="4"/>
    <s v="Fitness Equipment"/>
    <s v="Dumbbell Set"/>
    <x v="1"/>
    <s v="Pending"/>
    <n v="9"/>
    <n v="3499"/>
    <n v="0.05"/>
    <n v="2190"/>
    <n v="31490.95"/>
    <n v="19710"/>
    <n v="11780.95"/>
    <n v="0.37410589391555354"/>
  </r>
  <r>
    <s v="ORD-114555"/>
    <x v="227"/>
    <x v="0"/>
    <s v="September"/>
    <x v="3"/>
    <s v="Jaipur"/>
    <s v="Kartik Raman"/>
    <x v="1"/>
    <x v="1"/>
    <s v="Sofas"/>
    <s v="Single Seater Recliner"/>
    <x v="1"/>
    <s v="Returned"/>
    <n v="18"/>
    <n v="43500"/>
    <n v="0.1"/>
    <n v="29520"/>
    <n v="782999.9"/>
    <n v="531360"/>
    <n v="251639.90000000002"/>
    <n v="0.32137922367550753"/>
  </r>
  <r>
    <s v="ORD-114016"/>
    <x v="228"/>
    <x v="0"/>
    <s v="September"/>
    <x v="3"/>
    <s v="Jaipur"/>
    <s v="Ritika Ghosh"/>
    <x v="2"/>
    <x v="3"/>
    <s v="Kitchen Appliances"/>
    <s v="Bajaj Otg"/>
    <x v="2"/>
    <s v="Pending"/>
    <n v="11"/>
    <n v="5890"/>
    <n v="0.1"/>
    <n v="3980"/>
    <n v="64789.9"/>
    <n v="43780"/>
    <n v="21009.9"/>
    <n v="0.32427739508781461"/>
  </r>
  <r>
    <s v="ORD-114293"/>
    <x v="228"/>
    <x v="0"/>
    <s v="September"/>
    <x v="0"/>
    <s v="Kolkata"/>
    <s v="Aditya Verma"/>
    <x v="0"/>
    <x v="0"/>
    <s v="Footwear"/>
    <s v="Nike Running Shoes"/>
    <x v="2"/>
    <s v="Returned"/>
    <n v="39"/>
    <n v="6499"/>
    <n v="0.05"/>
    <n v="4210"/>
    <n v="253460.95"/>
    <n v="164190"/>
    <n v="89270.950000000012"/>
    <n v="0.35220790421561982"/>
  </r>
  <r>
    <s v="ORD-114014"/>
    <x v="229"/>
    <x v="0"/>
    <s v="September"/>
    <x v="2"/>
    <s v="Ujjain"/>
    <s v="Rahul Singh"/>
    <x v="2"/>
    <x v="4"/>
    <s v="Fitness Equipment"/>
    <s v="Yoga Mat"/>
    <x v="2"/>
    <s v="Delivered"/>
    <n v="35"/>
    <n v="1299"/>
    <n v="0.2"/>
    <n v="720"/>
    <n v="45464.800000000003"/>
    <n v="25200"/>
    <n v="20264.800000000003"/>
    <n v="0.44572504442997662"/>
  </r>
  <r>
    <s v="ORD-114126"/>
    <x v="229"/>
    <x v="0"/>
    <s v="September"/>
    <x v="3"/>
    <s v="Chandigarh"/>
    <s v="Anjali Mehta"/>
    <x v="2"/>
    <x v="0"/>
    <s v="Footwear"/>
    <s v="Nike Running Shoes"/>
    <x v="0"/>
    <s v="Returned"/>
    <n v="2"/>
    <n v="6499"/>
    <n v="0.05"/>
    <n v="4210"/>
    <n v="12997.95"/>
    <n v="8420"/>
    <n v="4577.9500000000007"/>
    <n v="0.35220554010440114"/>
  </r>
  <r>
    <s v="ORD-114225"/>
    <x v="229"/>
    <x v="0"/>
    <s v="September"/>
    <x v="1"/>
    <s v="Pune"/>
    <s v="Aditya Verma"/>
    <x v="0"/>
    <x v="3"/>
    <s v="Washing Machines"/>
    <s v="Samsung 7Kg Washing Machine"/>
    <x v="0"/>
    <s v="Cancelled"/>
    <n v="27"/>
    <n v="32800"/>
    <n v="0.15"/>
    <n v="23100"/>
    <n v="885599.85"/>
    <n v="623700"/>
    <n v="261899.84999999998"/>
    <n v="0.29573158803041799"/>
  </r>
  <r>
    <s v="ORD-114218"/>
    <x v="230"/>
    <x v="0"/>
    <s v="September"/>
    <x v="2"/>
    <s v="Indore"/>
    <s v="Aditya Verma"/>
    <x v="1"/>
    <x v="2"/>
    <s v="Mobiles"/>
    <s v="Samsung Galaxy M34"/>
    <x v="0"/>
    <s v="Returned"/>
    <n v="35"/>
    <n v="22999"/>
    <n v="0.12"/>
    <n v="15100"/>
    <n v="804964.88"/>
    <n v="528500"/>
    <n v="276464.88"/>
    <n v="0.34344961732988899"/>
  </r>
  <r>
    <s v="ORD-114601"/>
    <x v="230"/>
    <x v="0"/>
    <s v="September"/>
    <x v="0"/>
    <s v="Kolkata"/>
    <s v="Rahul Singh"/>
    <x v="1"/>
    <x v="2"/>
    <s v="Laptops"/>
    <s v="Dell Inspiron 3511"/>
    <x v="2"/>
    <s v="Cancelled"/>
    <n v="20"/>
    <n v="55230"/>
    <n v="0.12"/>
    <n v="33800"/>
    <n v="1104599.8799999999"/>
    <n v="676000"/>
    <n v="428599.87999999989"/>
    <n v="0.38801369415321674"/>
  </r>
  <r>
    <s v="ORD-114149"/>
    <x v="231"/>
    <x v="0"/>
    <s v="September"/>
    <x v="3"/>
    <s v="Jaipur"/>
    <s v="Neha Deshpande"/>
    <x v="2"/>
    <x v="3"/>
    <s v="Washing Machines"/>
    <s v="Ifb 7Kg Washing Machine"/>
    <x v="2"/>
    <s v="Returned"/>
    <n v="29"/>
    <n v="31990"/>
    <n v="0.08"/>
    <n v="21800"/>
    <n v="927709.92"/>
    <n v="632200"/>
    <n v="295509.92000000004"/>
    <n v="0.3185369840607073"/>
  </r>
  <r>
    <s v="ORD-114615"/>
    <x v="231"/>
    <x v="0"/>
    <s v="September"/>
    <x v="2"/>
    <s v="Bhopal"/>
    <s v="Neha Deshpande"/>
    <x v="2"/>
    <x v="1"/>
    <s v="Sofas"/>
    <s v="Single Seater Recliner"/>
    <x v="0"/>
    <s v="Returned"/>
    <n v="6"/>
    <n v="43500"/>
    <n v="0.1"/>
    <n v="29520"/>
    <n v="260999.9"/>
    <n v="177120"/>
    <n v="83879.899999999994"/>
    <n v="0.32137905033680086"/>
  </r>
  <r>
    <s v="ORD-114069"/>
    <x v="232"/>
    <x v="0"/>
    <s v="October"/>
    <x v="1"/>
    <s v="Ahmedabad"/>
    <s v="Rahul Singh"/>
    <x v="0"/>
    <x v="3"/>
    <s v="Kitchen Appliances"/>
    <s v="Bajaj Otg"/>
    <x v="1"/>
    <s v="Delivered"/>
    <n v="8"/>
    <n v="5890"/>
    <n v="0.18"/>
    <n v="3980"/>
    <n v="47119.82"/>
    <n v="31840"/>
    <n v="15279.82"/>
    <n v="0.3242758567413882"/>
  </r>
  <r>
    <s v="ORD-114186"/>
    <x v="232"/>
    <x v="0"/>
    <s v="October"/>
    <x v="2"/>
    <s v="Bhopal"/>
    <s v="Pooja Chouhan"/>
    <x v="1"/>
    <x v="1"/>
    <s v="Sofas"/>
    <s v="L-Shape Sofa"/>
    <x v="0"/>
    <s v="Returned"/>
    <n v="31"/>
    <n v="52990"/>
    <n v="0.1"/>
    <n v="35100"/>
    <n v="1642689.9"/>
    <n v="1088100"/>
    <n v="554589.89999999991"/>
    <n v="0.33761082965202377"/>
  </r>
  <r>
    <s v="ORD-114226"/>
    <x v="232"/>
    <x v="0"/>
    <s v="October"/>
    <x v="4"/>
    <s v="Kochi"/>
    <s v="Aditya Verma"/>
    <x v="0"/>
    <x v="3"/>
    <s v="Washing Machines"/>
    <s v="Ifb 7Kg Washing Machine"/>
    <x v="1"/>
    <s v="Cancelled"/>
    <n v="24"/>
    <n v="31990"/>
    <n v="0.05"/>
    <n v="21800"/>
    <n v="767759.95"/>
    <n v="523200"/>
    <n v="244559.94999999995"/>
    <n v="0.31853699844593347"/>
  </r>
  <r>
    <s v="ORD-114347"/>
    <x v="232"/>
    <x v="0"/>
    <s v="October"/>
    <x v="3"/>
    <s v="Jaipur"/>
    <s v="Anjali Mehta"/>
    <x v="1"/>
    <x v="4"/>
    <s v="Fitness Equipment"/>
    <s v="Yoga Mat"/>
    <x v="0"/>
    <s v="Delivered"/>
    <n v="19"/>
    <n v="1299"/>
    <n v="0.2"/>
    <n v="720"/>
    <n v="24680.799999999999"/>
    <n v="13680"/>
    <n v="11000.8"/>
    <n v="0.44572299115101616"/>
  </r>
  <r>
    <s v="ORD-114448"/>
    <x v="232"/>
    <x v="0"/>
    <s v="October"/>
    <x v="4"/>
    <s v="Hyderabad"/>
    <s v="Sourav Das"/>
    <x v="0"/>
    <x v="2"/>
    <s v="Laptops"/>
    <s v="Dell Inspiron 3511"/>
    <x v="0"/>
    <s v="Pending"/>
    <n v="17"/>
    <n v="55230"/>
    <n v="0.1"/>
    <n v="33800"/>
    <n v="938909.9"/>
    <n v="574600"/>
    <n v="364309.9"/>
    <n v="0.38801369545682712"/>
  </r>
  <r>
    <s v="ORD-114563"/>
    <x v="232"/>
    <x v="0"/>
    <s v="October"/>
    <x v="1"/>
    <s v="Ahmedabad"/>
    <s v="Simran Kaur"/>
    <x v="0"/>
    <x v="2"/>
    <s v="Audio Devices"/>
    <s v="Jbl Tune 510Bt"/>
    <x v="0"/>
    <s v="Returned"/>
    <n v="21"/>
    <n v="3299"/>
    <n v="0.15"/>
    <n v="2050"/>
    <n v="69278.850000000006"/>
    <n v="43050"/>
    <n v="26228.850000000006"/>
    <n v="0.37859823019579575"/>
  </r>
  <r>
    <s v="ORD-114702"/>
    <x v="232"/>
    <x v="0"/>
    <s v="October"/>
    <x v="2"/>
    <s v="Bhopal"/>
    <s v="Anjali Mehta"/>
    <x v="2"/>
    <x v="1"/>
    <s v="Sofas"/>
    <s v="3-Seater Sofa"/>
    <x v="1"/>
    <s v="Cancelled"/>
    <n v="5"/>
    <n v="38990"/>
    <n v="0.2"/>
    <n v="25400"/>
    <n v="194949.8"/>
    <n v="127000"/>
    <n v="67949.799999999988"/>
    <n v="0.34855024216490599"/>
  </r>
  <r>
    <s v="ORD-114224"/>
    <x v="233"/>
    <x v="0"/>
    <s v="October"/>
    <x v="0"/>
    <s v="Patna"/>
    <s v="Kartik Raman"/>
    <x v="0"/>
    <x v="0"/>
    <s v="Apparel"/>
    <s v="Men'S Casual Shirt"/>
    <x v="2"/>
    <s v="Cancelled"/>
    <n v="12"/>
    <n v="1899"/>
    <n v="0.2"/>
    <n v="1080"/>
    <n v="22787.8"/>
    <n v="12960"/>
    <n v="9827.7999999999993"/>
    <n v="0.43127462940696337"/>
  </r>
  <r>
    <s v="ORD-114481"/>
    <x v="234"/>
    <x v="0"/>
    <s v="October"/>
    <x v="4"/>
    <s v="Chennai"/>
    <s v="Kartik Raman"/>
    <x v="1"/>
    <x v="2"/>
    <s v="Laptops"/>
    <s v="Lenovo Ideapad 3"/>
    <x v="2"/>
    <s v="Delivered"/>
    <n v="31"/>
    <n v="48990"/>
    <n v="0.12"/>
    <n v="30100"/>
    <n v="1518689.88"/>
    <n v="933100"/>
    <n v="585589.87999999989"/>
    <n v="0.38558884714501418"/>
  </r>
  <r>
    <s v="ORD-114695"/>
    <x v="234"/>
    <x v="0"/>
    <s v="October"/>
    <x v="4"/>
    <s v="Hyderabad"/>
    <s v="Sourav Das"/>
    <x v="0"/>
    <x v="2"/>
    <s v="Audio Devices"/>
    <s v="Sony Wh-Ch520"/>
    <x v="2"/>
    <s v="Returned"/>
    <n v="36"/>
    <n v="4490"/>
    <n v="0.18"/>
    <n v="2950"/>
    <n v="161639.82"/>
    <n v="106200"/>
    <n v="55439.820000000007"/>
    <n v="0.34298367815554365"/>
  </r>
  <r>
    <s v="ORD-114401"/>
    <x v="235"/>
    <x v="0"/>
    <s v="October"/>
    <x v="4"/>
    <s v="Chennai"/>
    <s v="Imran Sheikh"/>
    <x v="2"/>
    <x v="1"/>
    <s v="Sofas"/>
    <s v="L-Shape Sofa"/>
    <x v="1"/>
    <s v="Returned"/>
    <n v="12"/>
    <n v="52990"/>
    <n v="0.15"/>
    <n v="35100"/>
    <n v="635879.85"/>
    <n v="421200"/>
    <n v="214679.84999999998"/>
    <n v="0.337610713722097"/>
  </r>
  <r>
    <s v="ORD-114534"/>
    <x v="235"/>
    <x v="0"/>
    <s v="October"/>
    <x v="2"/>
    <s v="Indore"/>
    <s v="Sourav Das"/>
    <x v="1"/>
    <x v="4"/>
    <s v="Fitness Equipment"/>
    <s v="Dumbbell Set"/>
    <x v="2"/>
    <s v="Pending"/>
    <n v="22"/>
    <n v="3499"/>
    <n v="0.12"/>
    <n v="2190"/>
    <n v="76977.88"/>
    <n v="48180"/>
    <n v="28797.880000000005"/>
    <n v="0.37410591198406612"/>
  </r>
  <r>
    <s v="ORD-114196"/>
    <x v="236"/>
    <x v="0"/>
    <s v="October"/>
    <x v="2"/>
    <s v="Indore"/>
    <s v="Kartik Raman"/>
    <x v="0"/>
    <x v="0"/>
    <s v="Apparel"/>
    <s v="Women'S Kurti"/>
    <x v="1"/>
    <s v="Cancelled"/>
    <n v="35"/>
    <n v="1599"/>
    <n v="0.1"/>
    <n v="920"/>
    <n v="55964.9"/>
    <n v="32200"/>
    <n v="23764.9"/>
    <n v="0.42463937217791869"/>
  </r>
  <r>
    <s v="ORD-114233"/>
    <x v="236"/>
    <x v="0"/>
    <s v="October"/>
    <x v="0"/>
    <s v="Bhubaneswar"/>
    <s v="Simran Kaur"/>
    <x v="2"/>
    <x v="0"/>
    <s v="Apparel"/>
    <s v="Men'S Casual Shirt"/>
    <x v="0"/>
    <s v="Delivered"/>
    <n v="11"/>
    <n v="1899"/>
    <n v="0.08"/>
    <n v="1080"/>
    <n v="20888.919999999998"/>
    <n v="11880"/>
    <n v="9008.9199999999983"/>
    <n v="0.43127744277827668"/>
  </r>
  <r>
    <s v="ORD-114315"/>
    <x v="237"/>
    <x v="0"/>
    <s v="October"/>
    <x v="0"/>
    <s v="Patna"/>
    <s v="Kartik Raman"/>
    <x v="1"/>
    <x v="1"/>
    <s v="Sofas"/>
    <s v="Single Seater Recliner"/>
    <x v="1"/>
    <s v="Cancelled"/>
    <n v="29"/>
    <n v="43500"/>
    <n v="0.15"/>
    <n v="29520"/>
    <n v="1261499.8500000001"/>
    <n v="856080"/>
    <n v="405419.85000000009"/>
    <n v="0.32137922965270277"/>
  </r>
  <r>
    <s v="ORD-114451"/>
    <x v="237"/>
    <x v="0"/>
    <s v="October"/>
    <x v="3"/>
    <s v="Chandigarh"/>
    <s v="Simran Kaur"/>
    <x v="2"/>
    <x v="3"/>
    <s v="Kitchen Appliances"/>
    <s v="Prestige Mixer Grinder"/>
    <x v="0"/>
    <s v="Cancelled"/>
    <n v="22"/>
    <n v="4680"/>
    <n v="0.2"/>
    <n v="3250"/>
    <n v="102959.8"/>
    <n v="71500"/>
    <n v="31459.800000000003"/>
    <n v="0.30555420659325294"/>
  </r>
  <r>
    <s v="ORD-114456"/>
    <x v="237"/>
    <x v="0"/>
    <s v="October"/>
    <x v="1"/>
    <s v="Ahmedabad"/>
    <s v="Sourav Das"/>
    <x v="0"/>
    <x v="4"/>
    <s v="Fitness Equipment"/>
    <s v="Resistance Bands"/>
    <x v="1"/>
    <s v="Returned"/>
    <n v="5"/>
    <n v="999"/>
    <n v="0.05"/>
    <n v="540"/>
    <n v="4994.95"/>
    <n v="2700"/>
    <n v="2294.9499999999998"/>
    <n v="0.45945404858907496"/>
  </r>
  <r>
    <s v="ORD-114076"/>
    <x v="238"/>
    <x v="0"/>
    <s v="October"/>
    <x v="3"/>
    <s v="Delhi"/>
    <s v="Aditya Verma"/>
    <x v="2"/>
    <x v="3"/>
    <s v="Washing Machines"/>
    <s v="Ifb 7Kg Washing Machine"/>
    <x v="1"/>
    <s v="Delivered"/>
    <n v="16"/>
    <n v="31990"/>
    <n v="0.08"/>
    <n v="21800"/>
    <n v="511839.92"/>
    <n v="348800"/>
    <n v="163039.91999999998"/>
    <n v="0.31853693631399438"/>
  </r>
  <r>
    <s v="ORD-114090"/>
    <x v="238"/>
    <x v="0"/>
    <s v="October"/>
    <x v="0"/>
    <s v="Bhubaneswar"/>
    <s v="Imran Sheikh"/>
    <x v="2"/>
    <x v="0"/>
    <s v="Footwear"/>
    <s v="Adidas Sports Shoes"/>
    <x v="0"/>
    <s v="Cancelled"/>
    <n v="23"/>
    <n v="5999"/>
    <n v="0.1"/>
    <n v="3890"/>
    <n v="137976.9"/>
    <n v="89470"/>
    <n v="48506.899999999994"/>
    <n v="0.35155812313510448"/>
  </r>
  <r>
    <s v="ORD-114427"/>
    <x v="238"/>
    <x v="0"/>
    <s v="October"/>
    <x v="1"/>
    <s v="Ahmedabad"/>
    <s v="Neha Deshpande"/>
    <x v="1"/>
    <x v="1"/>
    <s v="Sofas"/>
    <s v="3-Seater Sofa"/>
    <x v="2"/>
    <s v="Delivered"/>
    <n v="20"/>
    <n v="38990"/>
    <n v="0.12"/>
    <n v="25400"/>
    <n v="779799.88"/>
    <n v="508000"/>
    <n v="271799.88"/>
    <n v="0.34855081024121215"/>
  </r>
  <r>
    <s v="ORD-114748"/>
    <x v="238"/>
    <x v="0"/>
    <s v="October"/>
    <x v="0"/>
    <s v="Ranchi"/>
    <s v="Anjali Mehta"/>
    <x v="2"/>
    <x v="1"/>
    <s v="Tables"/>
    <s v="Office Work Table"/>
    <x v="2"/>
    <s v="Delivered"/>
    <n v="37"/>
    <n v="12490"/>
    <n v="0.05"/>
    <n v="7900"/>
    <n v="462129.95"/>
    <n v="292300"/>
    <n v="169829.95"/>
    <n v="0.36749392676237497"/>
  </r>
  <r>
    <s v="ORD-114112"/>
    <x v="239"/>
    <x v="0"/>
    <s v="October"/>
    <x v="3"/>
    <s v="Chandigarh"/>
    <s v="Imran Sheikh"/>
    <x v="1"/>
    <x v="2"/>
    <s v="Mobiles"/>
    <s v="Oneplus Nord Ce 3"/>
    <x v="1"/>
    <s v="Pending"/>
    <n v="14"/>
    <n v="25999"/>
    <n v="0.05"/>
    <n v="17800"/>
    <n v="363985.95"/>
    <n v="249200"/>
    <n v="114785.95000000001"/>
    <n v="0.315358188963063"/>
  </r>
  <r>
    <s v="ORD-114461"/>
    <x v="239"/>
    <x v="0"/>
    <s v="October"/>
    <x v="2"/>
    <s v="Ujjain"/>
    <s v="Rahul Singh"/>
    <x v="1"/>
    <x v="1"/>
    <s v="Tables"/>
    <s v="Study Table"/>
    <x v="0"/>
    <s v="Returned"/>
    <n v="22"/>
    <n v="6999"/>
    <n v="0.05"/>
    <n v="4320"/>
    <n v="153977.95000000001"/>
    <n v="95040"/>
    <n v="58937.950000000012"/>
    <n v="0.38276876656690134"/>
  </r>
  <r>
    <s v="ORD-114588"/>
    <x v="240"/>
    <x v="0"/>
    <s v="October"/>
    <x v="1"/>
    <s v="Surat"/>
    <s v="Sourav Das"/>
    <x v="0"/>
    <x v="4"/>
    <s v="Fitness Equipment"/>
    <s v="Resistance Bands"/>
    <x v="1"/>
    <s v="Cancelled"/>
    <n v="9"/>
    <n v="999"/>
    <n v="0.08"/>
    <n v="540"/>
    <n v="8990.92"/>
    <n v="4860"/>
    <n v="4130.92"/>
    <n v="0.45945464980224493"/>
  </r>
  <r>
    <s v="ORD-114665"/>
    <x v="240"/>
    <x v="0"/>
    <s v="October"/>
    <x v="0"/>
    <s v="Kolkata"/>
    <s v="Imran Sheikh"/>
    <x v="0"/>
    <x v="2"/>
    <s v="Laptops"/>
    <s v="Dell Inspiron 3511"/>
    <x v="0"/>
    <s v="Delivered"/>
    <n v="27"/>
    <n v="55230"/>
    <n v="0.08"/>
    <n v="33800"/>
    <n v="1491209.92"/>
    <n v="912600"/>
    <n v="578609.91999999993"/>
    <n v="0.38801372780567339"/>
  </r>
  <r>
    <s v="ORD-114388"/>
    <x v="241"/>
    <x v="0"/>
    <s v="October"/>
    <x v="2"/>
    <s v="Ujjain"/>
    <s v="Sourav Das"/>
    <x v="2"/>
    <x v="3"/>
    <s v="Washing Machines"/>
    <s v="Lg 6.5Kg Washing Machine"/>
    <x v="0"/>
    <s v="Returned"/>
    <n v="25"/>
    <n v="29010"/>
    <n v="0.08"/>
    <n v="19150"/>
    <n v="725249.92"/>
    <n v="478750"/>
    <n v="246499.92000000004"/>
    <n v="0.33988272621939764"/>
  </r>
  <r>
    <s v="ORD-114508"/>
    <x v="241"/>
    <x v="0"/>
    <s v="October"/>
    <x v="2"/>
    <s v="Raipur"/>
    <s v="Aditya Verma"/>
    <x v="1"/>
    <x v="4"/>
    <s v="Fitness Equipment"/>
    <s v="Resistance Bands"/>
    <x v="0"/>
    <s v="Delivered"/>
    <n v="36"/>
    <n v="999"/>
    <n v="0.18"/>
    <n v="540"/>
    <n v="35963.82"/>
    <n v="19440"/>
    <n v="16523.82"/>
    <n v="0.459456754037808"/>
  </r>
  <r>
    <s v="ORD-114724"/>
    <x v="241"/>
    <x v="0"/>
    <s v="October"/>
    <x v="4"/>
    <s v="Bengaluru"/>
    <s v="Sourav Das"/>
    <x v="0"/>
    <x v="3"/>
    <s v="Washing Machines"/>
    <s v="Lg 6.5Kg Washing Machine"/>
    <x v="0"/>
    <s v="Delivered"/>
    <n v="2"/>
    <n v="29010"/>
    <n v="0.05"/>
    <n v="19150"/>
    <n v="58019.95"/>
    <n v="38300"/>
    <n v="19719.949999999997"/>
    <n v="0.33988223016393498"/>
  </r>
  <r>
    <s v="ORD-114732"/>
    <x v="242"/>
    <x v="0"/>
    <s v="October"/>
    <x v="2"/>
    <s v="Ujjain"/>
    <s v="Pooja Chouhan"/>
    <x v="0"/>
    <x v="4"/>
    <s v="Fitness Equipment"/>
    <s v="Dumbbell Set"/>
    <x v="2"/>
    <s v="Returned"/>
    <n v="24"/>
    <n v="3499"/>
    <n v="0.08"/>
    <n v="2190"/>
    <n v="83975.92"/>
    <n v="52560"/>
    <n v="31415.919999999998"/>
    <n v="0.37410629142258872"/>
  </r>
  <r>
    <s v="ORD-114431"/>
    <x v="243"/>
    <x v="0"/>
    <s v="October"/>
    <x v="0"/>
    <s v="Kolkata"/>
    <s v="Aditya Verma"/>
    <x v="2"/>
    <x v="3"/>
    <s v="Refrigerators"/>
    <s v="Lg 260L Double Door"/>
    <x v="2"/>
    <s v="Delivered"/>
    <n v="12"/>
    <n v="29010"/>
    <n v="0.15"/>
    <n v="19100"/>
    <n v="348119.85"/>
    <n v="229200"/>
    <n v="118919.84999999998"/>
    <n v="0.34160605894780199"/>
  </r>
  <r>
    <s v="ORD-114127"/>
    <x v="244"/>
    <x v="0"/>
    <s v="October"/>
    <x v="4"/>
    <s v="Kochi"/>
    <s v="Sourav Das"/>
    <x v="0"/>
    <x v="1"/>
    <s v="Tables"/>
    <s v="Study Table"/>
    <x v="2"/>
    <s v="Returned"/>
    <n v="21"/>
    <n v="6999"/>
    <n v="0.2"/>
    <n v="4320"/>
    <n v="146978.79999999999"/>
    <n v="90720"/>
    <n v="56258.799999999988"/>
    <n v="0.3827681271040449"/>
  </r>
  <r>
    <s v="ORD-114423"/>
    <x v="244"/>
    <x v="0"/>
    <s v="October"/>
    <x v="2"/>
    <s v="Indore"/>
    <s v="Anjali Mehta"/>
    <x v="1"/>
    <x v="3"/>
    <s v="Refrigerators"/>
    <s v="Samsung 253L Refrigerator"/>
    <x v="1"/>
    <s v="Delivered"/>
    <n v="12"/>
    <n v="31490"/>
    <n v="0.18"/>
    <n v="21300"/>
    <n v="377879.82"/>
    <n v="255600"/>
    <n v="122279.82"/>
    <n v="0.32359446979730222"/>
  </r>
  <r>
    <s v="ORD-114614"/>
    <x v="244"/>
    <x v="0"/>
    <s v="October"/>
    <x v="1"/>
    <s v="Surat"/>
    <s v="Sourav Das"/>
    <x v="0"/>
    <x v="2"/>
    <s v="Audio Devices"/>
    <s v="Boat Airdopes 131"/>
    <x v="1"/>
    <s v="Cancelled"/>
    <n v="31"/>
    <n v="1930"/>
    <n v="0.05"/>
    <n v="1120"/>
    <n v="59829.95"/>
    <n v="34720"/>
    <n v="25109.949999999997"/>
    <n v="0.41968863420410679"/>
  </r>
  <r>
    <s v="ORD-114187"/>
    <x v="245"/>
    <x v="0"/>
    <s v="October"/>
    <x v="3"/>
    <s v="Delhi"/>
    <s v="Sourav Das"/>
    <x v="1"/>
    <x v="1"/>
    <s v="Sofas"/>
    <s v="3-Seater Sofa"/>
    <x v="2"/>
    <s v="Delivered"/>
    <n v="26"/>
    <n v="38990"/>
    <n v="0.05"/>
    <n v="25400"/>
    <n v="1013739.95"/>
    <n v="660400"/>
    <n v="353339.94999999995"/>
    <n v="0.3485508783588927"/>
  </r>
  <r>
    <s v="ORD-114140"/>
    <x v="246"/>
    <x v="0"/>
    <s v="October"/>
    <x v="3"/>
    <s v="Delhi"/>
    <s v="Imran Sheikh"/>
    <x v="2"/>
    <x v="4"/>
    <s v="Fitness Equipment"/>
    <s v="Dumbbell Set"/>
    <x v="0"/>
    <s v="Pending"/>
    <n v="3"/>
    <n v="3499"/>
    <n v="0.12"/>
    <n v="2190"/>
    <n v="10496.88"/>
    <n v="6570"/>
    <n v="3926.8799999999992"/>
    <n v="0.3740997324919404"/>
  </r>
  <r>
    <s v="ORD-114249"/>
    <x v="246"/>
    <x v="0"/>
    <s v="October"/>
    <x v="2"/>
    <s v="Bhopal"/>
    <s v="Sourav Das"/>
    <x v="1"/>
    <x v="1"/>
    <s v="Sofas"/>
    <s v="3-Seater Sofa"/>
    <x v="1"/>
    <s v="Returned"/>
    <n v="36"/>
    <n v="38990"/>
    <n v="0.08"/>
    <n v="25400"/>
    <n v="1403639.92"/>
    <n v="914400"/>
    <n v="489239.91999999993"/>
    <n v="0.34855087336074053"/>
  </r>
  <r>
    <s v="ORD-114343"/>
    <x v="246"/>
    <x v="0"/>
    <s v="October"/>
    <x v="2"/>
    <s v="Indore"/>
    <s v="Simran Kaur"/>
    <x v="0"/>
    <x v="2"/>
    <s v="Mobiles"/>
    <s v="Iphone 13"/>
    <x v="1"/>
    <s v="Pending"/>
    <n v="37"/>
    <n v="52990"/>
    <n v="0.15"/>
    <n v="39500"/>
    <n v="1960629.85"/>
    <n v="1461500"/>
    <n v="499129.85000000009"/>
    <n v="0.25457627812817402"/>
  </r>
  <r>
    <s v="ORD-114362"/>
    <x v="246"/>
    <x v="0"/>
    <s v="October"/>
    <x v="3"/>
    <s v="Jaipur"/>
    <s v="Rahul Singh"/>
    <x v="0"/>
    <x v="0"/>
    <s v="Apparel"/>
    <s v="Women'S Kurti"/>
    <x v="0"/>
    <s v="Delivered"/>
    <n v="38"/>
    <n v="1599"/>
    <n v="0.18"/>
    <n v="920"/>
    <n v="60761.82"/>
    <n v="34960"/>
    <n v="25801.82"/>
    <n v="0.42463869581260072"/>
  </r>
  <r>
    <s v="ORD-114504"/>
    <x v="246"/>
    <x v="0"/>
    <s v="October"/>
    <x v="3"/>
    <s v="Delhi"/>
    <s v="Anjali Mehta"/>
    <x v="1"/>
    <x v="2"/>
    <s v="Laptops"/>
    <s v="Hp 15S"/>
    <x v="2"/>
    <s v="Delivered"/>
    <n v="7"/>
    <n v="48500"/>
    <n v="0.05"/>
    <n v="30200"/>
    <n v="339499.95"/>
    <n v="211400"/>
    <n v="128099.95000000001"/>
    <n v="0.37731949592334257"/>
  </r>
  <r>
    <s v="ORD-114513"/>
    <x v="246"/>
    <x v="0"/>
    <s v="October"/>
    <x v="0"/>
    <s v="Ranchi"/>
    <s v="Aditya Verma"/>
    <x v="0"/>
    <x v="2"/>
    <s v="Audio Devices"/>
    <s v="Jbl Tune 510Bt"/>
    <x v="0"/>
    <s v="Pending"/>
    <n v="36"/>
    <n v="3299"/>
    <n v="0.15"/>
    <n v="2050"/>
    <n v="118763.85"/>
    <n v="73800"/>
    <n v="44963.850000000006"/>
    <n v="0.37859879079366326"/>
  </r>
  <r>
    <s v="ORD-114208"/>
    <x v="247"/>
    <x v="0"/>
    <s v="October"/>
    <x v="4"/>
    <s v="Bengaluru"/>
    <s v="Rahul Singh"/>
    <x v="0"/>
    <x v="3"/>
    <s v="Washing Machines"/>
    <s v="Lg 6.5Kg Washing Machine"/>
    <x v="2"/>
    <s v="Delivered"/>
    <n v="38"/>
    <n v="29010"/>
    <n v="0.18"/>
    <n v="19150"/>
    <n v="1102379.82"/>
    <n v="727700"/>
    <n v="374679.82000000007"/>
    <n v="0.33988269124882931"/>
  </r>
  <r>
    <s v="ORD-114409"/>
    <x v="247"/>
    <x v="0"/>
    <s v="October"/>
    <x v="1"/>
    <s v="Pune"/>
    <s v="Pooja Chouhan"/>
    <x v="1"/>
    <x v="1"/>
    <s v="Tables"/>
    <s v="Office Work Table"/>
    <x v="0"/>
    <s v="Returned"/>
    <n v="20"/>
    <n v="12490"/>
    <n v="0.12"/>
    <n v="7900"/>
    <n v="249799.88"/>
    <n v="158000"/>
    <n v="91799.88"/>
    <n v="0.36749369135005189"/>
  </r>
  <r>
    <s v="ORD-114438"/>
    <x v="247"/>
    <x v="0"/>
    <s v="October"/>
    <x v="1"/>
    <s v="Surat"/>
    <s v="Aditya Verma"/>
    <x v="2"/>
    <x v="3"/>
    <s v="Refrigerators"/>
    <s v="Samsung 253L Refrigerator"/>
    <x v="1"/>
    <s v="Delivered"/>
    <n v="3"/>
    <n v="31490"/>
    <n v="0.08"/>
    <n v="21300"/>
    <n v="94469.92"/>
    <n v="63900"/>
    <n v="30569.919999999998"/>
    <n v="0.32359421919696768"/>
  </r>
  <r>
    <s v="ORD-114643"/>
    <x v="248"/>
    <x v="0"/>
    <s v="October"/>
    <x v="1"/>
    <s v="Mumbai"/>
    <s v="Ritika Ghosh"/>
    <x v="0"/>
    <x v="1"/>
    <s v="Tables"/>
    <s v="Study Table"/>
    <x v="2"/>
    <s v="Delivered"/>
    <n v="40"/>
    <n v="6999"/>
    <n v="0.15"/>
    <n v="4320"/>
    <n v="279959.84999999998"/>
    <n v="172800"/>
    <n v="107159.84999999998"/>
    <n v="0.38276863628838204"/>
  </r>
  <r>
    <s v="ORD-114040"/>
    <x v="249"/>
    <x v="0"/>
    <s v="October"/>
    <x v="3"/>
    <s v="Delhi"/>
    <s v="Imran Sheikh"/>
    <x v="0"/>
    <x v="1"/>
    <s v="Sofas"/>
    <s v="3-Seater Sofa"/>
    <x v="0"/>
    <s v="Pending"/>
    <n v="8"/>
    <n v="38990"/>
    <n v="0.12"/>
    <n v="25400"/>
    <n v="311919.88"/>
    <n v="203200"/>
    <n v="108719.88"/>
    <n v="0.34855065986816874"/>
  </r>
  <r>
    <s v="ORD-114282"/>
    <x v="249"/>
    <x v="0"/>
    <s v="October"/>
    <x v="2"/>
    <s v="Raipur"/>
    <s v="Aditya Verma"/>
    <x v="0"/>
    <x v="3"/>
    <s v="Washing Machines"/>
    <s v="Lg 6.5Kg Washing Machine"/>
    <x v="2"/>
    <s v="Delivered"/>
    <n v="22"/>
    <n v="29010"/>
    <n v="0.15"/>
    <n v="19150"/>
    <n v="638219.85"/>
    <n v="421300"/>
    <n v="216919.84999999998"/>
    <n v="0.33988264388830902"/>
  </r>
  <r>
    <s v="ORD-114591"/>
    <x v="249"/>
    <x v="0"/>
    <s v="October"/>
    <x v="2"/>
    <s v="Raipur"/>
    <s v="Kartik Raman"/>
    <x v="0"/>
    <x v="0"/>
    <s v="Apparel"/>
    <s v="Men'S Casual Shirt"/>
    <x v="1"/>
    <s v="Cancelled"/>
    <n v="39"/>
    <n v="1899"/>
    <n v="0.05"/>
    <n v="1080"/>
    <n v="74060.95"/>
    <n v="42120"/>
    <n v="31940.949999999997"/>
    <n v="0.43127923689879755"/>
  </r>
  <r>
    <s v="ORD-114600"/>
    <x v="249"/>
    <x v="0"/>
    <s v="October"/>
    <x v="2"/>
    <s v="Indore"/>
    <s v="Simran Kaur"/>
    <x v="0"/>
    <x v="0"/>
    <s v="Footwear"/>
    <s v="Puma Sneakers"/>
    <x v="2"/>
    <s v="Returned"/>
    <n v="11"/>
    <n v="4499"/>
    <n v="0.08"/>
    <n v="2910"/>
    <n v="49488.92"/>
    <n v="32010"/>
    <n v="17478.919999999998"/>
    <n v="0.35318855210418815"/>
  </r>
  <r>
    <s v="ORD-114025"/>
    <x v="250"/>
    <x v="0"/>
    <s v="October"/>
    <x v="1"/>
    <s v="Ahmedabad"/>
    <s v="Sourav Das"/>
    <x v="2"/>
    <x v="4"/>
    <s v="Fitness Equipment"/>
    <s v="Yoga Mat"/>
    <x v="1"/>
    <s v="Delivered"/>
    <n v="14"/>
    <n v="1299"/>
    <n v="0.05"/>
    <n v="720"/>
    <n v="18185.95"/>
    <n v="10080"/>
    <n v="8105.9500000000007"/>
    <n v="0.44572595877586818"/>
  </r>
  <r>
    <s v="ORD-114027"/>
    <x v="250"/>
    <x v="0"/>
    <s v="October"/>
    <x v="3"/>
    <s v="Chandigarh"/>
    <s v="Ritika Ghosh"/>
    <x v="2"/>
    <x v="2"/>
    <s v="Audio Devices"/>
    <s v="Boat Airdopes 131"/>
    <x v="2"/>
    <s v="Delivered"/>
    <n v="37"/>
    <n v="1930"/>
    <n v="0.08"/>
    <n v="1120"/>
    <n v="71409.919999999998"/>
    <n v="41440"/>
    <n v="29969.919999999998"/>
    <n v="0.41968846905303914"/>
  </r>
  <r>
    <s v="ORD-114231"/>
    <x v="250"/>
    <x v="0"/>
    <s v="October"/>
    <x v="0"/>
    <s v="Patna"/>
    <s v="Pooja Chouhan"/>
    <x v="2"/>
    <x v="3"/>
    <s v="Refrigerators"/>
    <s v="Lg 260L Double Door"/>
    <x v="1"/>
    <s v="Delivered"/>
    <n v="36"/>
    <n v="29010"/>
    <n v="0.15"/>
    <n v="19100"/>
    <n v="1044359.85"/>
    <n v="687600"/>
    <n v="356759.85"/>
    <n v="0.34160624807627371"/>
  </r>
  <r>
    <s v="ORD-114651"/>
    <x v="250"/>
    <x v="0"/>
    <s v="October"/>
    <x v="1"/>
    <s v="Surat"/>
    <s v="Pooja Chouhan"/>
    <x v="0"/>
    <x v="3"/>
    <s v="Kitchen Appliances"/>
    <s v="Prestige Mixer Grinder"/>
    <x v="1"/>
    <s v="Pending"/>
    <n v="22"/>
    <n v="4680"/>
    <n v="0.12"/>
    <n v="3250"/>
    <n v="102959.88"/>
    <n v="71500"/>
    <n v="31459.880000000005"/>
    <n v="0.30555474617880291"/>
  </r>
  <r>
    <s v="ORD-114681"/>
    <x v="250"/>
    <x v="0"/>
    <s v="October"/>
    <x v="0"/>
    <s v="Ranchi"/>
    <s v="Kartik Raman"/>
    <x v="2"/>
    <x v="4"/>
    <s v="Fitness Equipment"/>
    <s v="Resistance Bands"/>
    <x v="0"/>
    <s v="Delivered"/>
    <n v="7"/>
    <n v="999"/>
    <n v="0.2"/>
    <n v="540"/>
    <n v="6992.8"/>
    <n v="3780"/>
    <n v="3212.8"/>
    <n v="0.45944399954238646"/>
  </r>
  <r>
    <s v="ORD-114703"/>
    <x v="250"/>
    <x v="0"/>
    <s v="October"/>
    <x v="4"/>
    <s v="Hyderabad"/>
    <s v="Rahul Singh"/>
    <x v="1"/>
    <x v="1"/>
    <s v="Sofas"/>
    <s v="Single Seater Recliner"/>
    <x v="0"/>
    <s v="Returned"/>
    <n v="6"/>
    <n v="43500"/>
    <n v="0.18"/>
    <n v="29520"/>
    <n v="260999.82"/>
    <n v="177120"/>
    <n v="83879.820000000007"/>
    <n v="0.32137884233023611"/>
  </r>
  <r>
    <s v="ORD-114010"/>
    <x v="251"/>
    <x v="0"/>
    <s v="October"/>
    <x v="1"/>
    <s v="Pune"/>
    <s v="Rahul Singh"/>
    <x v="1"/>
    <x v="3"/>
    <s v="Refrigerators"/>
    <s v="Whirlpool 265L Refrigerator"/>
    <x v="0"/>
    <s v="Delivered"/>
    <n v="38"/>
    <n v="27890"/>
    <n v="0.12"/>
    <n v="18800"/>
    <n v="1059819.8799999999"/>
    <n v="714400"/>
    <n v="345419.87999999989"/>
    <n v="0.32592319366570094"/>
  </r>
  <r>
    <s v="ORD-114192"/>
    <x v="251"/>
    <x v="0"/>
    <s v="October"/>
    <x v="2"/>
    <s v="Raipur"/>
    <s v="Imran Sheikh"/>
    <x v="0"/>
    <x v="0"/>
    <s v="Footwear"/>
    <s v="Adidas Sports Shoes"/>
    <x v="2"/>
    <s v="Returned"/>
    <n v="8"/>
    <n v="5999"/>
    <n v="0.12"/>
    <n v="3890"/>
    <n v="47991.88"/>
    <n v="31120"/>
    <n v="16871.879999999997"/>
    <n v="0.35155697172104944"/>
  </r>
  <r>
    <s v="ORD-114527"/>
    <x v="251"/>
    <x v="0"/>
    <s v="October"/>
    <x v="2"/>
    <s v="Bhopal"/>
    <s v="Kartik Raman"/>
    <x v="0"/>
    <x v="4"/>
    <s v="Fitness Equipment"/>
    <s v="Resistance Bands"/>
    <x v="0"/>
    <s v="Returned"/>
    <n v="2"/>
    <n v="999"/>
    <n v="0.12"/>
    <n v="540"/>
    <n v="1997.88"/>
    <n v="1080"/>
    <n v="917.88000000000011"/>
    <n v="0.45942699261216891"/>
  </r>
  <r>
    <s v="ORD-114697"/>
    <x v="251"/>
    <x v="0"/>
    <s v="October"/>
    <x v="2"/>
    <s v="Bhopal"/>
    <s v="Rahul Singh"/>
    <x v="0"/>
    <x v="2"/>
    <s v="Laptops"/>
    <s v="Lenovo Ideapad 3"/>
    <x v="1"/>
    <s v="Delivered"/>
    <n v="24"/>
    <n v="48990"/>
    <n v="0.1"/>
    <n v="30100"/>
    <n v="1175759.8999999999"/>
    <n v="722400"/>
    <n v="453359.89999999991"/>
    <n v="0.38558884343648731"/>
  </r>
  <r>
    <s v="ORD-114052"/>
    <x v="252"/>
    <x v="0"/>
    <s v="October"/>
    <x v="3"/>
    <s v="Jaipur"/>
    <s v="Sourav Das"/>
    <x v="0"/>
    <x v="4"/>
    <s v="Fitness Equipment"/>
    <s v="Dumbbell Set"/>
    <x v="1"/>
    <s v="Delivered"/>
    <n v="27"/>
    <n v="3499"/>
    <n v="0.12"/>
    <n v="2190"/>
    <n v="94472.88"/>
    <n v="59130"/>
    <n v="35342.880000000005"/>
    <n v="0.3741060926691343"/>
  </r>
  <r>
    <s v="ORD-114365"/>
    <x v="252"/>
    <x v="0"/>
    <s v="October"/>
    <x v="0"/>
    <s v="Kolkata"/>
    <s v="Aditya Verma"/>
    <x v="0"/>
    <x v="3"/>
    <s v="Refrigerators"/>
    <s v="Samsung 253L Refrigerator"/>
    <x v="2"/>
    <s v="Delivered"/>
    <n v="24"/>
    <n v="31490"/>
    <n v="0.1"/>
    <n v="21300"/>
    <n v="755759.9"/>
    <n v="511200"/>
    <n v="244559.90000000002"/>
    <n v="0.32359470249744665"/>
  </r>
  <r>
    <s v="ORD-114666"/>
    <x v="252"/>
    <x v="0"/>
    <s v="October"/>
    <x v="1"/>
    <s v="Pune"/>
    <s v="Aditya Verma"/>
    <x v="1"/>
    <x v="0"/>
    <s v="Apparel"/>
    <s v="Denim Jeans"/>
    <x v="2"/>
    <s v="Delivered"/>
    <n v="20"/>
    <n v="2499"/>
    <n v="0.2"/>
    <n v="1510"/>
    <n v="49979.8"/>
    <n v="30200"/>
    <n v="19779.800000000003"/>
    <n v="0.39575588537769263"/>
  </r>
  <r>
    <s v="ORD-114134"/>
    <x v="253"/>
    <x v="0"/>
    <s v="October"/>
    <x v="3"/>
    <s v="Lucknow"/>
    <s v="Anjali Mehta"/>
    <x v="2"/>
    <x v="0"/>
    <s v="Apparel"/>
    <s v="Men'S Casual Shirt"/>
    <x v="2"/>
    <s v="Delivered"/>
    <n v="16"/>
    <n v="1899"/>
    <n v="0.12"/>
    <n v="1080"/>
    <n v="30383.88"/>
    <n v="17280"/>
    <n v="13103.880000000001"/>
    <n v="0.43127737471317029"/>
  </r>
  <r>
    <s v="ORD-114714"/>
    <x v="253"/>
    <x v="0"/>
    <s v="October"/>
    <x v="4"/>
    <s v="Kochi"/>
    <s v="Aditya Verma"/>
    <x v="1"/>
    <x v="2"/>
    <s v="Laptops"/>
    <s v="Hp 15S"/>
    <x v="2"/>
    <s v="Cancelled"/>
    <n v="27"/>
    <n v="48500"/>
    <n v="0.1"/>
    <n v="30200"/>
    <n v="1309499.8999999999"/>
    <n v="815400"/>
    <n v="494099.89999999991"/>
    <n v="0.37731954007785717"/>
  </r>
  <r>
    <s v="ORD-114001"/>
    <x v="254"/>
    <x v="0"/>
    <s v="October"/>
    <x v="3"/>
    <s v="Delhi"/>
    <s v="Rahul Singh"/>
    <x v="1"/>
    <x v="3"/>
    <s v="Kitchen Appliances"/>
    <s v="Bajaj Otg"/>
    <x v="1"/>
    <s v="Returned"/>
    <n v="35"/>
    <n v="5890"/>
    <n v="0.05"/>
    <n v="3980"/>
    <n v="206149.95"/>
    <n v="139300"/>
    <n v="66849.950000000012"/>
    <n v="0.32427827413977062"/>
  </r>
  <r>
    <s v="ORD-114687"/>
    <x v="254"/>
    <x v="0"/>
    <s v="October"/>
    <x v="1"/>
    <s v="Mumbai"/>
    <s v="Sourav Das"/>
    <x v="0"/>
    <x v="4"/>
    <s v="Fitness Equipment"/>
    <s v="Yoga Mat"/>
    <x v="1"/>
    <s v="Cancelled"/>
    <n v="26"/>
    <n v="1299"/>
    <n v="0.18"/>
    <n v="720"/>
    <n v="33773.82"/>
    <n v="18720"/>
    <n v="15053.82"/>
    <n v="0.44572452864378387"/>
  </r>
  <r>
    <s v="ORD-114063"/>
    <x v="255"/>
    <x v="0"/>
    <s v="October"/>
    <x v="1"/>
    <s v="Pune"/>
    <s v="Sourav Das"/>
    <x v="1"/>
    <x v="4"/>
    <s v="Fitness Equipment"/>
    <s v="Resistance Bands"/>
    <x v="0"/>
    <s v="Cancelled"/>
    <n v="30"/>
    <n v="999"/>
    <n v="0.12"/>
    <n v="540"/>
    <n v="29969.88"/>
    <n v="16200"/>
    <n v="13769.880000000001"/>
    <n v="0.45945729512430483"/>
  </r>
  <r>
    <s v="ORD-114115"/>
    <x v="255"/>
    <x v="0"/>
    <s v="October"/>
    <x v="3"/>
    <s v="Chandigarh"/>
    <s v="Sourav Das"/>
    <x v="2"/>
    <x v="2"/>
    <s v="Audio Devices"/>
    <s v="Boat Airdopes 131"/>
    <x v="2"/>
    <s v="Cancelled"/>
    <n v="24"/>
    <n v="1930"/>
    <n v="0.15"/>
    <n v="1120"/>
    <n v="46319.85"/>
    <n v="26880"/>
    <n v="19439.849999999999"/>
    <n v="0.41968723991981838"/>
  </r>
  <r>
    <s v="ORD-114310"/>
    <x v="255"/>
    <x v="0"/>
    <s v="October"/>
    <x v="1"/>
    <s v="Ahmedabad"/>
    <s v="Simran Kaur"/>
    <x v="2"/>
    <x v="2"/>
    <s v="Audio Devices"/>
    <s v="Boat Airdopes 131"/>
    <x v="0"/>
    <s v="Delivered"/>
    <n v="26"/>
    <n v="1930"/>
    <n v="0.05"/>
    <n v="1120"/>
    <n v="50179.95"/>
    <n v="29120"/>
    <n v="21059.949999999997"/>
    <n v="0.41968854094115277"/>
  </r>
  <r>
    <s v="ORD-114048"/>
    <x v="256"/>
    <x v="0"/>
    <s v="October"/>
    <x v="2"/>
    <s v="Raipur"/>
    <s v="Pooja Chouhan"/>
    <x v="2"/>
    <x v="3"/>
    <s v="Kitchen Appliances"/>
    <s v="Philips Air Fryer"/>
    <x v="1"/>
    <s v="Cancelled"/>
    <n v="34"/>
    <n v="7299"/>
    <n v="0.15"/>
    <n v="5010"/>
    <n v="248165.85"/>
    <n v="170340"/>
    <n v="77825.850000000006"/>
    <n v="0.31360418848927041"/>
  </r>
  <r>
    <s v="ORD-114523"/>
    <x v="256"/>
    <x v="0"/>
    <s v="October"/>
    <x v="2"/>
    <s v="Ujjain"/>
    <s v="Ritika Ghosh"/>
    <x v="2"/>
    <x v="0"/>
    <s v="Apparel"/>
    <s v="Women'S Kurti"/>
    <x v="2"/>
    <s v="Delivered"/>
    <n v="21"/>
    <n v="1599"/>
    <n v="0.1"/>
    <n v="920"/>
    <n v="33578.9"/>
    <n v="19320"/>
    <n v="14258.900000000001"/>
    <n v="0.42463868679438577"/>
  </r>
  <r>
    <s v="ORD-114722"/>
    <x v="256"/>
    <x v="0"/>
    <s v="October"/>
    <x v="0"/>
    <s v="Bhubaneswar"/>
    <s v="Imran Sheikh"/>
    <x v="1"/>
    <x v="2"/>
    <s v="Laptops"/>
    <s v="Hp 15S"/>
    <x v="0"/>
    <s v="Returned"/>
    <n v="9"/>
    <n v="48500"/>
    <n v="0.2"/>
    <n v="30200"/>
    <n v="436499.8"/>
    <n v="271800"/>
    <n v="164699.79999999999"/>
    <n v="0.37731930232270439"/>
  </r>
  <r>
    <s v="ORD-114065"/>
    <x v="257"/>
    <x v="0"/>
    <s v="November"/>
    <x v="0"/>
    <s v="Kolkata"/>
    <s v="Simran Kaur"/>
    <x v="0"/>
    <x v="3"/>
    <s v="Washing Machines"/>
    <s v="Samsung 7Kg Washing Machine"/>
    <x v="2"/>
    <s v="Delivered"/>
    <n v="22"/>
    <n v="32800"/>
    <n v="0.1"/>
    <n v="23100"/>
    <n v="721599.9"/>
    <n v="508200"/>
    <n v="213399.90000000002"/>
    <n v="0.29573160971890383"/>
  </r>
  <r>
    <s v="ORD-114074"/>
    <x v="257"/>
    <x v="0"/>
    <s v="November"/>
    <x v="3"/>
    <s v="Chandigarh"/>
    <s v="Anjali Mehta"/>
    <x v="2"/>
    <x v="1"/>
    <s v="Tables"/>
    <s v="6-Seater Dining Table"/>
    <x v="1"/>
    <s v="Pending"/>
    <n v="27"/>
    <n v="25110"/>
    <n v="0.15"/>
    <n v="16730"/>
    <n v="677969.85"/>
    <n v="451710"/>
    <n v="226259.84999999998"/>
    <n v="0.33373143363233626"/>
  </r>
  <r>
    <s v="ORD-114211"/>
    <x v="257"/>
    <x v="0"/>
    <s v="November"/>
    <x v="1"/>
    <s v="Ahmedabad"/>
    <s v="Sourav Das"/>
    <x v="2"/>
    <x v="4"/>
    <s v="Fitness Equipment"/>
    <s v="Resistance Bands"/>
    <x v="0"/>
    <s v="Delivered"/>
    <n v="16"/>
    <n v="999"/>
    <n v="0.18"/>
    <n v="540"/>
    <n v="15983.82"/>
    <n v="8640"/>
    <n v="7343.82"/>
    <n v="0.45945337222266014"/>
  </r>
  <r>
    <s v="ORD-114730"/>
    <x v="257"/>
    <x v="0"/>
    <s v="November"/>
    <x v="1"/>
    <s v="Pune"/>
    <s v="Neha Deshpande"/>
    <x v="2"/>
    <x v="0"/>
    <s v="Footwear"/>
    <s v="Puma Sneakers"/>
    <x v="2"/>
    <s v="Returned"/>
    <n v="28"/>
    <n v="4499"/>
    <n v="0.18"/>
    <n v="2910"/>
    <n v="125971.82"/>
    <n v="81480"/>
    <n v="44491.820000000007"/>
    <n v="0.35318867346681188"/>
  </r>
  <r>
    <s v="ORD-114291"/>
    <x v="258"/>
    <x v="0"/>
    <s v="November"/>
    <x v="0"/>
    <s v="Patna"/>
    <s v="Neha Deshpande"/>
    <x v="1"/>
    <x v="3"/>
    <s v="Washing Machines"/>
    <s v="Ifb 7Kg Washing Machine"/>
    <x v="1"/>
    <s v="Delivered"/>
    <n v="36"/>
    <n v="31990"/>
    <n v="0.15"/>
    <n v="21800"/>
    <n v="1151639.8500000001"/>
    <n v="784800"/>
    <n v="366839.85000000009"/>
    <n v="0.31853695406597826"/>
  </r>
  <r>
    <s v="ORD-114398"/>
    <x v="258"/>
    <x v="0"/>
    <s v="November"/>
    <x v="2"/>
    <s v="Raipur"/>
    <s v="Kartik Raman"/>
    <x v="1"/>
    <x v="4"/>
    <s v="Fitness Equipment"/>
    <s v="Resistance Bands"/>
    <x v="1"/>
    <s v="Delivered"/>
    <n v="25"/>
    <n v="999"/>
    <n v="0.18"/>
    <n v="540"/>
    <n v="24974.82"/>
    <n v="13500"/>
    <n v="11474.82"/>
    <n v="0.45945556364370194"/>
  </r>
  <r>
    <s v="ORD-114053"/>
    <x v="259"/>
    <x v="0"/>
    <s v="November"/>
    <x v="3"/>
    <s v="Jaipur"/>
    <s v="Simran Kaur"/>
    <x v="1"/>
    <x v="1"/>
    <s v="Sofas"/>
    <s v="3-Seater Sofa"/>
    <x v="2"/>
    <s v="Pending"/>
    <n v="35"/>
    <n v="38990"/>
    <n v="0.2"/>
    <n v="25400"/>
    <n v="1364649.8"/>
    <n v="889000"/>
    <n v="475649.80000000005"/>
    <n v="0.34855081501495844"/>
  </r>
  <r>
    <s v="ORD-114136"/>
    <x v="259"/>
    <x v="0"/>
    <s v="November"/>
    <x v="2"/>
    <s v="Indore"/>
    <s v="Neha Deshpande"/>
    <x v="0"/>
    <x v="3"/>
    <s v="Kitchen Appliances"/>
    <s v="Prestige Mixer Grinder"/>
    <x v="1"/>
    <s v="Delivered"/>
    <n v="13"/>
    <n v="4680"/>
    <n v="0.08"/>
    <n v="3250"/>
    <n v="60839.92"/>
    <n v="42250"/>
    <n v="18589.919999999998"/>
    <n v="0.30555464241241603"/>
  </r>
  <r>
    <s v="ORD-114189"/>
    <x v="259"/>
    <x v="0"/>
    <s v="November"/>
    <x v="2"/>
    <s v="Ujjain"/>
    <s v="Anjali Mehta"/>
    <x v="1"/>
    <x v="0"/>
    <s v="Apparel"/>
    <s v="Women'S Kurti"/>
    <x v="0"/>
    <s v="Delivered"/>
    <n v="10"/>
    <n v="1599"/>
    <n v="0.08"/>
    <n v="920"/>
    <n v="15989.92"/>
    <n v="9200"/>
    <n v="6789.92"/>
    <n v="0.42463752163863233"/>
  </r>
  <r>
    <s v="ORD-114086"/>
    <x v="260"/>
    <x v="0"/>
    <s v="November"/>
    <x v="4"/>
    <s v="Hyderabad"/>
    <s v="Kartik Raman"/>
    <x v="1"/>
    <x v="1"/>
    <s v="Sofas"/>
    <s v="L-Shape Sofa"/>
    <x v="2"/>
    <s v="Delivered"/>
    <n v="2"/>
    <n v="52990"/>
    <n v="0.18"/>
    <n v="35100"/>
    <n v="105979.82"/>
    <n v="70200"/>
    <n v="35779.820000000007"/>
    <n v="0.33760974494955742"/>
  </r>
  <r>
    <s v="ORD-114155"/>
    <x v="260"/>
    <x v="0"/>
    <s v="November"/>
    <x v="1"/>
    <s v="Surat"/>
    <s v="Imran Sheikh"/>
    <x v="1"/>
    <x v="2"/>
    <s v="Laptops"/>
    <s v="Dell Inspiron 3511"/>
    <x v="1"/>
    <s v="Delivered"/>
    <n v="36"/>
    <n v="55230"/>
    <n v="0.18"/>
    <n v="33800"/>
    <n v="1988279.82"/>
    <n v="1216800"/>
    <n v="771479.82000000007"/>
    <n v="0.38801370523390416"/>
  </r>
  <r>
    <s v="ORD-114357"/>
    <x v="260"/>
    <x v="0"/>
    <s v="November"/>
    <x v="1"/>
    <s v="Mumbai"/>
    <s v="Pooja Chouhan"/>
    <x v="0"/>
    <x v="3"/>
    <s v="Refrigerators"/>
    <s v="Lg 260L Double Door"/>
    <x v="0"/>
    <s v="Delivered"/>
    <n v="15"/>
    <n v="29010"/>
    <n v="0.1"/>
    <n v="19100"/>
    <n v="435149.9"/>
    <n v="286500"/>
    <n v="148649.90000000002"/>
    <n v="0.34160619133774367"/>
  </r>
  <r>
    <s v="ORD-114378"/>
    <x v="260"/>
    <x v="0"/>
    <s v="November"/>
    <x v="1"/>
    <s v="Mumbai"/>
    <s v="Kartik Raman"/>
    <x v="2"/>
    <x v="4"/>
    <s v="Fitness Equipment"/>
    <s v="Dumbbell Set"/>
    <x v="1"/>
    <s v="Delivered"/>
    <n v="32"/>
    <n v="3499"/>
    <n v="0.08"/>
    <n v="2190"/>
    <n v="111967.92"/>
    <n v="70080"/>
    <n v="41887.919999999998"/>
    <n v="0.37410644048759678"/>
  </r>
  <r>
    <s v="ORD-114298"/>
    <x v="261"/>
    <x v="0"/>
    <s v="November"/>
    <x v="3"/>
    <s v="Lucknow"/>
    <s v="Sourav Das"/>
    <x v="2"/>
    <x v="3"/>
    <s v="Kitchen Appliances"/>
    <s v="Prestige Mixer Grinder"/>
    <x v="1"/>
    <s v="Cancelled"/>
    <n v="8"/>
    <n v="4680"/>
    <n v="0.12"/>
    <n v="3250"/>
    <n v="37439.879999999997"/>
    <n v="26000"/>
    <n v="11439.879999999997"/>
    <n v="0.30555332976494576"/>
  </r>
  <r>
    <s v="ORD-114537"/>
    <x v="261"/>
    <x v="0"/>
    <s v="November"/>
    <x v="1"/>
    <s v="Surat"/>
    <s v="Rahul Singh"/>
    <x v="0"/>
    <x v="1"/>
    <s v="Tables"/>
    <s v="6-Seater Dining Table"/>
    <x v="1"/>
    <s v="Delivered"/>
    <n v="12"/>
    <n v="25110"/>
    <n v="0.05"/>
    <n v="16730"/>
    <n v="301319.95"/>
    <n v="200760"/>
    <n v="100559.95000000001"/>
    <n v="0.33373147048511059"/>
  </r>
  <r>
    <s v="ORD-114319"/>
    <x v="262"/>
    <x v="0"/>
    <s v="November"/>
    <x v="1"/>
    <s v="Surat"/>
    <s v="Anjali Mehta"/>
    <x v="0"/>
    <x v="3"/>
    <s v="Kitchen Appliances"/>
    <s v="Philips Air Fryer"/>
    <x v="2"/>
    <s v="Cancelled"/>
    <n v="10"/>
    <n v="7299"/>
    <n v="0.05"/>
    <n v="5010"/>
    <n v="72989.95"/>
    <n v="50100"/>
    <n v="22889.949999999997"/>
    <n v="0.31360413317175856"/>
  </r>
  <r>
    <s v="ORD-114369"/>
    <x v="262"/>
    <x v="0"/>
    <s v="November"/>
    <x v="3"/>
    <s v="Delhi"/>
    <s v="Simran Kaur"/>
    <x v="0"/>
    <x v="3"/>
    <s v="Kitchen Appliances"/>
    <s v="Bajaj Otg"/>
    <x v="1"/>
    <s v="Cancelled"/>
    <n v="6"/>
    <n v="5890"/>
    <n v="0.08"/>
    <n v="3980"/>
    <n v="35339.919999999998"/>
    <n v="23880"/>
    <n v="11459.919999999998"/>
    <n v="0.32427690838009815"/>
  </r>
  <r>
    <s v="ORD-114412"/>
    <x v="262"/>
    <x v="0"/>
    <s v="November"/>
    <x v="2"/>
    <s v="Raipur"/>
    <s v="Kartik Raman"/>
    <x v="2"/>
    <x v="2"/>
    <s v="Laptops"/>
    <s v="Lenovo Ideapad 3"/>
    <x v="2"/>
    <s v="Cancelled"/>
    <n v="16"/>
    <n v="48990"/>
    <n v="0.18"/>
    <n v="30100"/>
    <n v="783839.82"/>
    <n v="481600"/>
    <n v="302239.81999999995"/>
    <n v="0.38558875460039777"/>
  </r>
  <r>
    <s v="ORD-114443"/>
    <x v="262"/>
    <x v="0"/>
    <s v="November"/>
    <x v="4"/>
    <s v="Bengaluru"/>
    <s v="Pooja Chouhan"/>
    <x v="1"/>
    <x v="4"/>
    <s v="Fitness Equipment"/>
    <s v="Yoga Mat"/>
    <x v="0"/>
    <s v="Delivered"/>
    <n v="12"/>
    <n v="1299"/>
    <n v="0.12"/>
    <n v="720"/>
    <n v="15587.88"/>
    <n v="8640"/>
    <n v="6947.8799999999992"/>
    <n v="0.44572321572914336"/>
  </r>
  <r>
    <s v="ORD-114557"/>
    <x v="262"/>
    <x v="0"/>
    <s v="November"/>
    <x v="2"/>
    <s v="Bhopal"/>
    <s v="Sourav Das"/>
    <x v="2"/>
    <x v="1"/>
    <s v="Sofas"/>
    <s v="L-Shape Sofa"/>
    <x v="0"/>
    <s v="Pending"/>
    <n v="23"/>
    <n v="52990"/>
    <n v="0.08"/>
    <n v="35100"/>
    <n v="1218769.9199999999"/>
    <n v="807300"/>
    <n v="411469.91999999993"/>
    <n v="0.33761082649627583"/>
  </r>
  <r>
    <s v="ORD-114251"/>
    <x v="263"/>
    <x v="0"/>
    <s v="November"/>
    <x v="1"/>
    <s v="Ahmedabad"/>
    <s v="Sourav Das"/>
    <x v="0"/>
    <x v="0"/>
    <s v="Footwear"/>
    <s v="Adidas Sports Shoes"/>
    <x v="2"/>
    <s v="Delivered"/>
    <n v="32"/>
    <n v="5999"/>
    <n v="0.15"/>
    <n v="3890"/>
    <n v="191967.85"/>
    <n v="124480"/>
    <n v="67487.850000000006"/>
    <n v="0.3515580864191582"/>
  </r>
  <r>
    <s v="ORD-114276"/>
    <x v="263"/>
    <x v="0"/>
    <s v="November"/>
    <x v="1"/>
    <s v="Mumbai"/>
    <s v="Aditya Verma"/>
    <x v="1"/>
    <x v="4"/>
    <s v="Fitness Equipment"/>
    <s v="Resistance Bands"/>
    <x v="0"/>
    <s v="Returned"/>
    <n v="28"/>
    <n v="999"/>
    <n v="0.08"/>
    <n v="540"/>
    <n v="27971.919999999998"/>
    <n v="15120"/>
    <n v="12851.919999999998"/>
    <n v="0.45945791350754611"/>
  </r>
  <r>
    <s v="ORD-114404"/>
    <x v="263"/>
    <x v="0"/>
    <s v="November"/>
    <x v="0"/>
    <s v="Bhubaneswar"/>
    <s v="Anjali Mehta"/>
    <x v="1"/>
    <x v="1"/>
    <s v="Tables"/>
    <s v="Office Work Table"/>
    <x v="1"/>
    <s v="Delivered"/>
    <n v="29"/>
    <n v="12490"/>
    <n v="0.05"/>
    <n v="7900"/>
    <n v="362209.95"/>
    <n v="229100"/>
    <n v="133109.95000000001"/>
    <n v="0.3674939078840877"/>
  </r>
  <r>
    <s v="ORD-114425"/>
    <x v="263"/>
    <x v="0"/>
    <s v="November"/>
    <x v="0"/>
    <s v="Ranchi"/>
    <s v="Aditya Verma"/>
    <x v="1"/>
    <x v="1"/>
    <s v="Tables"/>
    <s v="6-Seater Dining Table"/>
    <x v="2"/>
    <s v="Cancelled"/>
    <n v="29"/>
    <n v="25110"/>
    <n v="0.1"/>
    <n v="16730"/>
    <n v="728189.9"/>
    <n v="485170"/>
    <n v="243019.90000000002"/>
    <n v="0.3337314895468888"/>
  </r>
  <r>
    <s v="ORD-114597"/>
    <x v="263"/>
    <x v="0"/>
    <s v="November"/>
    <x v="0"/>
    <s v="Kolkata"/>
    <s v="Rahul Singh"/>
    <x v="0"/>
    <x v="2"/>
    <s v="Laptops"/>
    <s v="Lenovo Ideapad 3"/>
    <x v="1"/>
    <s v="Delivered"/>
    <n v="17"/>
    <n v="48990"/>
    <n v="0.08"/>
    <n v="30100"/>
    <n v="832829.92"/>
    <n v="511700"/>
    <n v="321129.92000000004"/>
    <n v="0.38558883667387939"/>
  </r>
  <r>
    <s v="ORD-114235"/>
    <x v="264"/>
    <x v="0"/>
    <s v="November"/>
    <x v="1"/>
    <s v="Pune"/>
    <s v="Aditya Verma"/>
    <x v="1"/>
    <x v="3"/>
    <s v="Kitchen Appliances"/>
    <s v="Prestige Mixer Grinder"/>
    <x v="0"/>
    <s v="Cancelled"/>
    <n v="24"/>
    <n v="4680"/>
    <n v="0.05"/>
    <n v="3250"/>
    <n v="112319.95"/>
    <n v="78000"/>
    <n v="34319.949999999997"/>
    <n v="0.30555524641882409"/>
  </r>
  <r>
    <s v="ORD-114245"/>
    <x v="264"/>
    <x v="0"/>
    <s v="November"/>
    <x v="1"/>
    <s v="Pune"/>
    <s v="Neha Deshpande"/>
    <x v="2"/>
    <x v="0"/>
    <s v="Apparel"/>
    <s v="Men'S Casual Shirt"/>
    <x v="0"/>
    <s v="Pending"/>
    <n v="25"/>
    <n v="1899"/>
    <n v="0.05"/>
    <n v="1080"/>
    <n v="47474.95"/>
    <n v="27000"/>
    <n v="20474.949999999997"/>
    <n v="0.43127902188417255"/>
  </r>
  <r>
    <s v="ORD-114348"/>
    <x v="264"/>
    <x v="0"/>
    <s v="November"/>
    <x v="0"/>
    <s v="Patna"/>
    <s v="Rahul Singh"/>
    <x v="0"/>
    <x v="0"/>
    <s v="Apparel"/>
    <s v="Men'S Casual Shirt"/>
    <x v="1"/>
    <s v="Delivered"/>
    <n v="26"/>
    <n v="1899"/>
    <n v="0.08"/>
    <n v="1080"/>
    <n v="49373.919999999998"/>
    <n v="28080"/>
    <n v="21293.919999999998"/>
    <n v="0.43127869936193031"/>
  </r>
  <r>
    <s v="ORD-114620"/>
    <x v="264"/>
    <x v="0"/>
    <s v="November"/>
    <x v="2"/>
    <s v="Indore"/>
    <s v="Imran Sheikh"/>
    <x v="1"/>
    <x v="2"/>
    <s v="Laptops"/>
    <s v="Lenovo Ideapad 3"/>
    <x v="1"/>
    <s v="Cancelled"/>
    <n v="2"/>
    <n v="48990"/>
    <n v="0.12"/>
    <n v="30100"/>
    <n v="97979.88"/>
    <n v="60200"/>
    <n v="37779.880000000005"/>
    <n v="0.38558814319837914"/>
  </r>
  <r>
    <s v="ORD-114075"/>
    <x v="265"/>
    <x v="0"/>
    <s v="November"/>
    <x v="2"/>
    <s v="Indore"/>
    <s v="Kartik Raman"/>
    <x v="0"/>
    <x v="0"/>
    <s v="Apparel"/>
    <s v="Women'S Kurti"/>
    <x v="0"/>
    <s v="Cancelled"/>
    <n v="20"/>
    <n v="1599"/>
    <n v="0.15"/>
    <n v="920"/>
    <n v="31979.85"/>
    <n v="18400"/>
    <n v="13579.849999999999"/>
    <n v="0.42463770155269642"/>
  </r>
  <r>
    <s v="ORD-114393"/>
    <x v="265"/>
    <x v="0"/>
    <s v="November"/>
    <x v="0"/>
    <s v="Ranchi"/>
    <s v="Simran Kaur"/>
    <x v="0"/>
    <x v="1"/>
    <s v="Tables"/>
    <s v="6-Seater Dining Table"/>
    <x v="2"/>
    <s v="Delivered"/>
    <n v="36"/>
    <n v="25110"/>
    <n v="0.2"/>
    <n v="16730"/>
    <n v="903959.8"/>
    <n v="602280"/>
    <n v="301679.80000000005"/>
    <n v="0.33373143363233632"/>
  </r>
  <r>
    <s v="ORD-114156"/>
    <x v="266"/>
    <x v="0"/>
    <s v="November"/>
    <x v="2"/>
    <s v="Raipur"/>
    <s v="Ritika Ghosh"/>
    <x v="0"/>
    <x v="3"/>
    <s v="Washing Machines"/>
    <s v="Samsung 7Kg Washing Machine"/>
    <x v="1"/>
    <s v="Delivered"/>
    <n v="27"/>
    <n v="32800"/>
    <n v="0.18"/>
    <n v="23100"/>
    <n v="885599.82"/>
    <n v="623700"/>
    <n v="261899.81999999995"/>
    <n v="0.29573156417308211"/>
  </r>
  <r>
    <s v="ORD-114306"/>
    <x v="266"/>
    <x v="0"/>
    <s v="November"/>
    <x v="0"/>
    <s v="Kolkata"/>
    <s v="Kartik Raman"/>
    <x v="0"/>
    <x v="2"/>
    <s v="Mobiles"/>
    <s v="Oneplus Nord Ce 3"/>
    <x v="2"/>
    <s v="Pending"/>
    <n v="20"/>
    <n v="25999"/>
    <n v="0.18"/>
    <n v="17800"/>
    <n v="519979.82"/>
    <n v="356000"/>
    <n v="163979.82"/>
    <n v="0.31535804601032402"/>
  </r>
  <r>
    <s v="ORD-114188"/>
    <x v="267"/>
    <x v="0"/>
    <s v="November"/>
    <x v="2"/>
    <s v="Indore"/>
    <s v="Neha Deshpande"/>
    <x v="2"/>
    <x v="1"/>
    <s v="Tables"/>
    <s v="Study Table"/>
    <x v="0"/>
    <s v="Cancelled"/>
    <n v="36"/>
    <n v="6999"/>
    <n v="0.1"/>
    <n v="4320"/>
    <n v="251963.9"/>
    <n v="155520"/>
    <n v="96443.9"/>
    <n v="0.38276872202724277"/>
  </r>
  <r>
    <s v="ORD-114480"/>
    <x v="268"/>
    <x v="0"/>
    <s v="November"/>
    <x v="2"/>
    <s v="Indore"/>
    <s v="Ritika Ghosh"/>
    <x v="2"/>
    <x v="0"/>
    <s v="Apparel"/>
    <s v="Men'S Casual Shirt"/>
    <x v="1"/>
    <s v="Returned"/>
    <n v="19"/>
    <n v="1899"/>
    <n v="0.12"/>
    <n v="1080"/>
    <n v="36080.879999999997"/>
    <n v="20520"/>
    <n v="15560.879999999997"/>
    <n v="0.43127772936801978"/>
  </r>
  <r>
    <s v="ORD-114562"/>
    <x v="269"/>
    <x v="0"/>
    <s v="November"/>
    <x v="4"/>
    <s v="Hyderabad"/>
    <s v="Neha Deshpande"/>
    <x v="2"/>
    <x v="0"/>
    <s v="Apparel"/>
    <s v="Men'S Casual Shirt"/>
    <x v="0"/>
    <s v="Delivered"/>
    <n v="31"/>
    <n v="1899"/>
    <n v="0.08"/>
    <n v="1080"/>
    <n v="58868.92"/>
    <n v="33480"/>
    <n v="25388.92"/>
    <n v="0.4312788479897372"/>
  </r>
  <r>
    <s v="ORD-114073"/>
    <x v="270"/>
    <x v="0"/>
    <s v="November"/>
    <x v="0"/>
    <s v="Ranchi"/>
    <s v="Pooja Chouhan"/>
    <x v="0"/>
    <x v="0"/>
    <s v="Footwear"/>
    <s v="Nike Running Shoes"/>
    <x v="2"/>
    <s v="Cancelled"/>
    <n v="5"/>
    <n v="6499"/>
    <n v="0.15"/>
    <n v="4210"/>
    <n v="32494.85"/>
    <n v="21050"/>
    <n v="11444.849999999999"/>
    <n v="0.3522050417219959"/>
  </r>
  <r>
    <s v="ORD-114279"/>
    <x v="271"/>
    <x v="0"/>
    <s v="November"/>
    <x v="4"/>
    <s v="Chennai"/>
    <s v="Aditya Verma"/>
    <x v="1"/>
    <x v="1"/>
    <s v="Tables"/>
    <s v="Office Work Table"/>
    <x v="2"/>
    <s v="Cancelled"/>
    <n v="10"/>
    <n v="12490"/>
    <n v="0.15"/>
    <n v="7900"/>
    <n v="124899.85"/>
    <n v="79000"/>
    <n v="45899.850000000006"/>
    <n v="0.36749323558034702"/>
  </r>
  <r>
    <s v="ORD-114517"/>
    <x v="271"/>
    <x v="0"/>
    <s v="November"/>
    <x v="0"/>
    <s v="Bhubaneswar"/>
    <s v="Sourav Das"/>
    <x v="0"/>
    <x v="2"/>
    <s v="Laptops"/>
    <s v="Lenovo Ideapad 3"/>
    <x v="0"/>
    <s v="Pending"/>
    <n v="1"/>
    <n v="48990"/>
    <n v="0.18"/>
    <n v="30100"/>
    <n v="48989.82"/>
    <n v="30100"/>
    <n v="18889.82"/>
    <n v="0.38558663820361044"/>
  </r>
  <r>
    <s v="ORD-114718"/>
    <x v="271"/>
    <x v="0"/>
    <s v="November"/>
    <x v="1"/>
    <s v="Mumbai"/>
    <s v="Sourav Das"/>
    <x v="0"/>
    <x v="1"/>
    <s v="Tables"/>
    <s v="6-Seater Dining Table"/>
    <x v="2"/>
    <s v="Delivered"/>
    <n v="11"/>
    <n v="25110"/>
    <n v="0.12"/>
    <n v="16730"/>
    <n v="276209.88"/>
    <n v="184030"/>
    <n v="92179.88"/>
    <n v="0.33373129158160453"/>
  </r>
  <r>
    <s v="ORD-114368"/>
    <x v="272"/>
    <x v="0"/>
    <s v="November"/>
    <x v="2"/>
    <s v="Raipur"/>
    <s v="Anjali Mehta"/>
    <x v="0"/>
    <x v="3"/>
    <s v="Kitchen Appliances"/>
    <s v="Philips Air Fryer"/>
    <x v="2"/>
    <s v="Returned"/>
    <n v="12"/>
    <n v="7299"/>
    <n v="0.1"/>
    <n v="5010"/>
    <n v="87587.9"/>
    <n v="60120"/>
    <n v="27467.899999999994"/>
    <n v="0.3136038197056899"/>
  </r>
  <r>
    <s v="ORD-114510"/>
    <x v="272"/>
    <x v="0"/>
    <s v="November"/>
    <x v="0"/>
    <s v="Ranchi"/>
    <s v="Kartik Raman"/>
    <x v="2"/>
    <x v="0"/>
    <s v="Apparel"/>
    <s v="Women'S Kurti"/>
    <x v="0"/>
    <s v="Delivered"/>
    <n v="24"/>
    <n v="1599"/>
    <n v="0.12"/>
    <n v="920"/>
    <n v="38375.879999999997"/>
    <n v="22080"/>
    <n v="16295.879999999997"/>
    <n v="0.42463860112132928"/>
  </r>
  <r>
    <s v="ORD-114062"/>
    <x v="273"/>
    <x v="0"/>
    <s v="November"/>
    <x v="0"/>
    <s v="Kolkata"/>
    <s v="Kartik Raman"/>
    <x v="2"/>
    <x v="1"/>
    <s v="Tables"/>
    <s v="Study Table"/>
    <x v="2"/>
    <s v="Delivered"/>
    <n v="28"/>
    <n v="6999"/>
    <n v="0.1"/>
    <n v="4320"/>
    <n v="195971.9"/>
    <n v="120960"/>
    <n v="75011.899999999994"/>
    <n v="0.38276865203633786"/>
  </r>
  <r>
    <s v="ORD-114137"/>
    <x v="273"/>
    <x v="0"/>
    <s v="November"/>
    <x v="4"/>
    <s v="Bengaluru"/>
    <s v="Anjali Mehta"/>
    <x v="2"/>
    <x v="0"/>
    <s v="Apparel"/>
    <s v="Denim Jeans"/>
    <x v="0"/>
    <s v="Cancelled"/>
    <n v="37"/>
    <n v="2499"/>
    <n v="0.18"/>
    <n v="1510"/>
    <n v="92462.82"/>
    <n v="55870"/>
    <n v="36592.820000000007"/>
    <n v="0.39575712702684174"/>
  </r>
  <r>
    <s v="ORD-114392"/>
    <x v="274"/>
    <x v="0"/>
    <s v="November"/>
    <x v="3"/>
    <s v="Delhi"/>
    <s v="Sourav Das"/>
    <x v="0"/>
    <x v="2"/>
    <s v="Audio Devices"/>
    <s v="Sony Wh-Ch520"/>
    <x v="1"/>
    <s v="Delivered"/>
    <n v="39"/>
    <n v="4490"/>
    <n v="0.15"/>
    <n v="2950"/>
    <n v="175109.85"/>
    <n v="115050"/>
    <n v="60059.850000000006"/>
    <n v="0.34298384699661388"/>
  </r>
  <r>
    <s v="ORD-114706"/>
    <x v="274"/>
    <x v="0"/>
    <s v="November"/>
    <x v="1"/>
    <s v="Pune"/>
    <s v="Pooja Chouhan"/>
    <x v="2"/>
    <x v="4"/>
    <s v="Fitness Equipment"/>
    <s v="Resistance Bands"/>
    <x v="2"/>
    <s v="Delivered"/>
    <n v="30"/>
    <n v="999"/>
    <n v="0.1"/>
    <n v="540"/>
    <n v="29969.9"/>
    <n v="16200"/>
    <n v="13769.900000000001"/>
    <n v="0.45945765584803422"/>
  </r>
  <r>
    <s v="ORD-114099"/>
    <x v="275"/>
    <x v="0"/>
    <s v="November"/>
    <x v="3"/>
    <s v="Jaipur"/>
    <s v="Rahul Singh"/>
    <x v="2"/>
    <x v="4"/>
    <s v="Fitness Equipment"/>
    <s v="Yoga Mat"/>
    <x v="2"/>
    <s v="Delivered"/>
    <n v="38"/>
    <n v="1299"/>
    <n v="0.1"/>
    <n v="720"/>
    <n v="49361.9"/>
    <n v="27360"/>
    <n v="22001.9"/>
    <n v="0.44572635980381631"/>
  </r>
  <r>
    <s v="ORD-114206"/>
    <x v="275"/>
    <x v="0"/>
    <s v="November"/>
    <x v="0"/>
    <s v="Ranchi"/>
    <s v="Pooja Chouhan"/>
    <x v="2"/>
    <x v="1"/>
    <s v="Sofas"/>
    <s v="L-Shape Sofa"/>
    <x v="0"/>
    <s v="Delivered"/>
    <n v="12"/>
    <n v="52990"/>
    <n v="0.15"/>
    <n v="35100"/>
    <n v="635879.85"/>
    <n v="421200"/>
    <n v="214679.84999999998"/>
    <n v="0.337610713722097"/>
  </r>
  <r>
    <s v="ORD-114264"/>
    <x v="275"/>
    <x v="0"/>
    <s v="November"/>
    <x v="2"/>
    <s v="Indore"/>
    <s v="Neha Deshpande"/>
    <x v="2"/>
    <x v="0"/>
    <s v="Apparel"/>
    <s v="Men'S Casual Shirt"/>
    <x v="2"/>
    <s v="Returned"/>
    <n v="12"/>
    <n v="1899"/>
    <n v="0.08"/>
    <n v="1080"/>
    <n v="22787.919999999998"/>
    <n v="12960"/>
    <n v="9827.9199999999983"/>
    <n v="0.43127762428514754"/>
  </r>
  <r>
    <s v="ORD-114612"/>
    <x v="275"/>
    <x v="0"/>
    <s v="November"/>
    <x v="3"/>
    <s v="Delhi"/>
    <s v="Ritika Ghosh"/>
    <x v="1"/>
    <x v="4"/>
    <s v="Fitness Equipment"/>
    <s v="Dumbbell Set"/>
    <x v="1"/>
    <s v="Cancelled"/>
    <n v="10"/>
    <n v="3499"/>
    <n v="0.18"/>
    <n v="2190"/>
    <n v="34989.82"/>
    <n v="21900"/>
    <n v="13089.82"/>
    <n v="0.37410366786682525"/>
  </r>
  <r>
    <s v="ORD-114667"/>
    <x v="275"/>
    <x v="0"/>
    <s v="November"/>
    <x v="0"/>
    <s v="Patna"/>
    <s v="Kartik Raman"/>
    <x v="2"/>
    <x v="0"/>
    <s v="Footwear"/>
    <s v="Nike Running Shoes"/>
    <x v="1"/>
    <s v="Delivered"/>
    <n v="17"/>
    <n v="6499"/>
    <n v="0.1"/>
    <n v="4210"/>
    <n v="110482.9"/>
    <n v="71570"/>
    <n v="38912.899999999994"/>
    <n v="0.35220744567711382"/>
  </r>
  <r>
    <s v="ORD-114178"/>
    <x v="276"/>
    <x v="0"/>
    <s v="November"/>
    <x v="0"/>
    <s v="Ranchi"/>
    <s v="Kartik Raman"/>
    <x v="0"/>
    <x v="3"/>
    <s v="Refrigerators"/>
    <s v="Samsung 253L Refrigerator"/>
    <x v="0"/>
    <s v="Pending"/>
    <n v="6"/>
    <n v="31490"/>
    <n v="0.15"/>
    <n v="21300"/>
    <n v="188939.85"/>
    <n v="127800"/>
    <n v="61139.850000000006"/>
    <n v="0.32359425499702688"/>
  </r>
  <r>
    <s v="ORD-114179"/>
    <x v="276"/>
    <x v="0"/>
    <s v="November"/>
    <x v="4"/>
    <s v="Chennai"/>
    <s v="Anjali Mehta"/>
    <x v="2"/>
    <x v="4"/>
    <s v="Fitness Equipment"/>
    <s v="Resistance Bands"/>
    <x v="1"/>
    <s v="Delivered"/>
    <n v="6"/>
    <n v="999"/>
    <n v="0.05"/>
    <n v="540"/>
    <n v="5993.95"/>
    <n v="3240"/>
    <n v="2753.95"/>
    <n v="0.4594549504083284"/>
  </r>
  <r>
    <s v="ORD-114418"/>
    <x v="276"/>
    <x v="0"/>
    <s v="November"/>
    <x v="1"/>
    <s v="Surat"/>
    <s v="Sourav Das"/>
    <x v="0"/>
    <x v="1"/>
    <s v="Tables"/>
    <s v="Study Table"/>
    <x v="0"/>
    <s v="Delivered"/>
    <n v="35"/>
    <n v="6999"/>
    <n v="0.05"/>
    <n v="4320"/>
    <n v="244964.95"/>
    <n v="151200"/>
    <n v="93764.950000000012"/>
    <n v="0.3827688410117448"/>
  </r>
  <r>
    <s v="ORD-114009"/>
    <x v="277"/>
    <x v="0"/>
    <s v="November"/>
    <x v="0"/>
    <s v="Patna"/>
    <s v="Rahul Singh"/>
    <x v="1"/>
    <x v="3"/>
    <s v="Refrigerators"/>
    <s v="Whirlpool 265L Refrigerator"/>
    <x v="2"/>
    <s v="Delivered"/>
    <n v="32"/>
    <n v="27890"/>
    <n v="0.12"/>
    <n v="18800"/>
    <n v="892479.88"/>
    <n v="601600"/>
    <n v="290879.88"/>
    <n v="0.3259231793550349"/>
  </r>
  <r>
    <s v="ORD-114055"/>
    <x v="277"/>
    <x v="0"/>
    <s v="November"/>
    <x v="1"/>
    <s v="Pune"/>
    <s v="Imran Sheikh"/>
    <x v="2"/>
    <x v="2"/>
    <s v="Mobiles"/>
    <s v="Iphone 13"/>
    <x v="0"/>
    <s v="Returned"/>
    <n v="2"/>
    <n v="52990"/>
    <n v="0.05"/>
    <n v="39500"/>
    <n v="105979.95"/>
    <n v="79000"/>
    <n v="26979.949999999997"/>
    <n v="0.25457598347611976"/>
  </r>
  <r>
    <s v="ORD-114116"/>
    <x v="277"/>
    <x v="0"/>
    <s v="November"/>
    <x v="3"/>
    <s v="Jaipur"/>
    <s v="Kartik Raman"/>
    <x v="1"/>
    <x v="4"/>
    <s v="Fitness Equipment"/>
    <s v="Resistance Bands"/>
    <x v="0"/>
    <s v="Pending"/>
    <n v="20"/>
    <n v="999"/>
    <n v="0.12"/>
    <n v="540"/>
    <n v="19979.88"/>
    <n v="10800"/>
    <n v="9179.880000000001"/>
    <n v="0.45945621295022798"/>
  </r>
  <r>
    <s v="ORD-114160"/>
    <x v="277"/>
    <x v="0"/>
    <s v="November"/>
    <x v="0"/>
    <s v="Ranchi"/>
    <s v="Ritika Ghosh"/>
    <x v="2"/>
    <x v="1"/>
    <s v="Tables"/>
    <s v="6-Seater Dining Table"/>
    <x v="2"/>
    <s v="Pending"/>
    <n v="22"/>
    <n v="25110"/>
    <n v="0.2"/>
    <n v="16730"/>
    <n v="552419.80000000005"/>
    <n v="368060"/>
    <n v="184359.80000000005"/>
    <n v="0.33373133982525616"/>
  </r>
  <r>
    <s v="ORD-114202"/>
    <x v="278"/>
    <x v="0"/>
    <s v="November"/>
    <x v="3"/>
    <s v="Chandigarh"/>
    <s v="Sourav Das"/>
    <x v="2"/>
    <x v="0"/>
    <s v="Apparel"/>
    <s v="Denim Jeans"/>
    <x v="1"/>
    <s v="Delivered"/>
    <n v="21"/>
    <n v="2499"/>
    <n v="0.1"/>
    <n v="1510"/>
    <n v="52478.9"/>
    <n v="31710"/>
    <n v="20768.900000000001"/>
    <n v="0.39575715192201055"/>
  </r>
  <r>
    <s v="ORD-114544"/>
    <x v="278"/>
    <x v="0"/>
    <s v="November"/>
    <x v="1"/>
    <s v="Pune"/>
    <s v="Sourav Das"/>
    <x v="0"/>
    <x v="4"/>
    <s v="Fitness Equipment"/>
    <s v="Resistance Bands"/>
    <x v="0"/>
    <s v="Delivered"/>
    <n v="30"/>
    <n v="999"/>
    <n v="0.2"/>
    <n v="540"/>
    <n v="29969.8"/>
    <n v="16200"/>
    <n v="13769.8"/>
    <n v="0.45945585222457275"/>
  </r>
  <r>
    <s v="ORD-114583"/>
    <x v="278"/>
    <x v="0"/>
    <s v="November"/>
    <x v="4"/>
    <s v="Hyderabad"/>
    <s v="Sourav Das"/>
    <x v="1"/>
    <x v="4"/>
    <s v="Fitness Equipment"/>
    <s v="Resistance Bands"/>
    <x v="0"/>
    <s v="Cancelled"/>
    <n v="21"/>
    <n v="999"/>
    <n v="0.12"/>
    <n v="540"/>
    <n v="20978.880000000001"/>
    <n v="11340"/>
    <n v="9638.880000000001"/>
    <n v="0.45945636754678992"/>
  </r>
  <r>
    <s v="ORD-114162"/>
    <x v="279"/>
    <x v="0"/>
    <s v="November"/>
    <x v="3"/>
    <s v="Chandigarh"/>
    <s v="Pooja Chouhan"/>
    <x v="0"/>
    <x v="1"/>
    <s v="Sofas"/>
    <s v="L-Shape Sofa"/>
    <x v="2"/>
    <s v="Delivered"/>
    <n v="3"/>
    <n v="52990"/>
    <n v="0.2"/>
    <n v="35100"/>
    <n v="158969.79999999999"/>
    <n v="105300"/>
    <n v="53669.799999999988"/>
    <n v="0.3376100366233083"/>
  </r>
  <r>
    <s v="ORD-114258"/>
    <x v="279"/>
    <x v="0"/>
    <s v="November"/>
    <x v="1"/>
    <s v="Mumbai"/>
    <s v="Neha Deshpande"/>
    <x v="2"/>
    <x v="4"/>
    <s v="Fitness Equipment"/>
    <s v="Yoga Mat"/>
    <x v="1"/>
    <s v="Returned"/>
    <n v="23"/>
    <n v="1299"/>
    <n v="0.08"/>
    <n v="720"/>
    <n v="29876.92"/>
    <n v="16560"/>
    <n v="13316.919999999998"/>
    <n v="0.44572599852996891"/>
  </r>
  <r>
    <s v="ORD-114657"/>
    <x v="279"/>
    <x v="0"/>
    <s v="November"/>
    <x v="1"/>
    <s v="Surat"/>
    <s v="Anjali Mehta"/>
    <x v="0"/>
    <x v="1"/>
    <s v="Tables"/>
    <s v="6-Seater Dining Table"/>
    <x v="0"/>
    <s v="Pending"/>
    <n v="33"/>
    <n v="25110"/>
    <n v="0.1"/>
    <n v="16730"/>
    <n v="828629.9"/>
    <n v="552090"/>
    <n v="276539.90000000002"/>
    <n v="0.33373150063737744"/>
  </r>
  <r>
    <s v="ORD-114002"/>
    <x v="280"/>
    <x v="0"/>
    <s v="November"/>
    <x v="1"/>
    <s v="Mumbai"/>
    <s v="Pooja Chouhan"/>
    <x v="1"/>
    <x v="3"/>
    <s v="Kitchen Appliances"/>
    <s v="Bajaj Otg"/>
    <x v="0"/>
    <s v="Delivered"/>
    <n v="36"/>
    <n v="5890"/>
    <n v="0.08"/>
    <n v="3980"/>
    <n v="212039.92"/>
    <n v="143280"/>
    <n v="68759.920000000013"/>
    <n v="0.32427818308929757"/>
  </r>
  <r>
    <s v="ORD-114297"/>
    <x v="280"/>
    <x v="0"/>
    <s v="November"/>
    <x v="3"/>
    <s v="Lucknow"/>
    <s v="Ritika Ghosh"/>
    <x v="2"/>
    <x v="3"/>
    <s v="Kitchen Appliances"/>
    <s v="Bajaj Otg"/>
    <x v="2"/>
    <s v="Cancelled"/>
    <n v="38"/>
    <n v="5890"/>
    <n v="0.18"/>
    <n v="3980"/>
    <n v="223819.82"/>
    <n v="151240"/>
    <n v="72579.820000000007"/>
    <n v="0.3242778946028998"/>
  </r>
  <r>
    <s v="ORD-114546"/>
    <x v="280"/>
    <x v="0"/>
    <s v="November"/>
    <x v="1"/>
    <s v="Mumbai"/>
    <s v="Anjali Mehta"/>
    <x v="0"/>
    <x v="4"/>
    <s v="Fitness Equipment"/>
    <s v="Dumbbell Set"/>
    <x v="1"/>
    <s v="Delivered"/>
    <n v="21"/>
    <n v="3499"/>
    <n v="0.18"/>
    <n v="2190"/>
    <n v="73478.820000000007"/>
    <n v="45990"/>
    <n v="27488.820000000007"/>
    <n v="0.37410535444091242"/>
  </r>
  <r>
    <s v="ORD-114356"/>
    <x v="281"/>
    <x v="0"/>
    <s v="November"/>
    <x v="1"/>
    <s v="Mumbai"/>
    <s v="Anjali Mehta"/>
    <x v="2"/>
    <x v="3"/>
    <s v="Kitchen Appliances"/>
    <s v="Bajaj Otg"/>
    <x v="1"/>
    <s v="Returned"/>
    <n v="14"/>
    <n v="5890"/>
    <n v="0.1"/>
    <n v="3980"/>
    <n v="82459.899999999994"/>
    <n v="55720"/>
    <n v="26739.899999999994"/>
    <n v="0.32427761857581683"/>
  </r>
  <r>
    <s v="ORD-114603"/>
    <x v="281"/>
    <x v="0"/>
    <s v="November"/>
    <x v="1"/>
    <s v="Ahmedabad"/>
    <s v="Kartik Raman"/>
    <x v="2"/>
    <x v="2"/>
    <s v="Laptops"/>
    <s v="Lenovo Ideapad 3"/>
    <x v="0"/>
    <s v="Delivered"/>
    <n v="28"/>
    <n v="48990"/>
    <n v="0.15"/>
    <n v="30100"/>
    <n v="1371719.85"/>
    <n v="842800"/>
    <n v="528919.85000000009"/>
    <n v="0.38558882850605397"/>
  </r>
  <r>
    <s v="ORD-114391"/>
    <x v="282"/>
    <x v="0"/>
    <s v="November"/>
    <x v="3"/>
    <s v="Jaipur"/>
    <s v="Simran Kaur"/>
    <x v="2"/>
    <x v="0"/>
    <s v="Footwear"/>
    <s v="Adidas Sports Shoes"/>
    <x v="2"/>
    <s v="Delivered"/>
    <n v="8"/>
    <n v="5999"/>
    <n v="0.12"/>
    <n v="3890"/>
    <n v="47991.88"/>
    <n v="31120"/>
    <n v="16871.879999999997"/>
    <n v="0.35155697172104944"/>
  </r>
  <r>
    <s v="ORD-114434"/>
    <x v="282"/>
    <x v="0"/>
    <s v="November"/>
    <x v="0"/>
    <s v="Bhubaneswar"/>
    <s v="Imran Sheikh"/>
    <x v="2"/>
    <x v="4"/>
    <s v="Fitness Equipment"/>
    <s v="Dumbbell Set"/>
    <x v="0"/>
    <s v="Cancelled"/>
    <n v="24"/>
    <n v="3499"/>
    <n v="0.15"/>
    <n v="2190"/>
    <n v="83975.85"/>
    <n v="52560"/>
    <n v="31415.850000000006"/>
    <n v="0.37410576969450149"/>
  </r>
  <r>
    <s v="ORD-114093"/>
    <x v="283"/>
    <x v="0"/>
    <s v="December"/>
    <x v="2"/>
    <s v="Bhopal"/>
    <s v="Ritika Ghosh"/>
    <x v="0"/>
    <x v="2"/>
    <s v="Audio Devices"/>
    <s v="Jbl Tune 510Bt"/>
    <x v="1"/>
    <s v="Returned"/>
    <n v="10"/>
    <n v="3299"/>
    <n v="0.12"/>
    <n v="2050"/>
    <n v="32989.879999999997"/>
    <n v="20500"/>
    <n v="12489.879999999997"/>
    <n v="0.37859731529790341"/>
  </r>
  <r>
    <s v="ORD-114109"/>
    <x v="283"/>
    <x v="0"/>
    <s v="December"/>
    <x v="2"/>
    <s v="Indore"/>
    <s v="Sourav Das"/>
    <x v="0"/>
    <x v="1"/>
    <s v="Sofas"/>
    <s v="L-Shape Sofa"/>
    <x v="0"/>
    <s v="Returned"/>
    <n v="10"/>
    <n v="52990"/>
    <n v="0.12"/>
    <n v="35100"/>
    <n v="529899.88"/>
    <n v="351000"/>
    <n v="178899.88"/>
    <n v="0.33761071997223324"/>
  </r>
  <r>
    <s v="ORD-114232"/>
    <x v="283"/>
    <x v="0"/>
    <s v="December"/>
    <x v="1"/>
    <s v="Ahmedabad"/>
    <s v="Anjali Mehta"/>
    <x v="1"/>
    <x v="1"/>
    <s v="Tables"/>
    <s v="Study Table"/>
    <x v="0"/>
    <s v="Delivered"/>
    <n v="32"/>
    <n v="6999"/>
    <n v="0.15"/>
    <n v="4320"/>
    <n v="223967.85"/>
    <n v="138240"/>
    <n v="85727.85"/>
    <n v="0.38276855361160095"/>
  </r>
  <r>
    <s v="ORD-114278"/>
    <x v="283"/>
    <x v="0"/>
    <s v="December"/>
    <x v="0"/>
    <s v="Bhubaneswar"/>
    <s v="Imran Sheikh"/>
    <x v="0"/>
    <x v="4"/>
    <s v="Fitness Equipment"/>
    <s v="Yoga Mat"/>
    <x v="2"/>
    <s v="Delivered"/>
    <n v="18"/>
    <n v="1299"/>
    <n v="0.2"/>
    <n v="720"/>
    <n v="23381.8"/>
    <n v="12960"/>
    <n v="10421.799999999999"/>
    <n v="0.44572274161955022"/>
  </r>
  <r>
    <s v="ORD-114386"/>
    <x v="283"/>
    <x v="0"/>
    <s v="December"/>
    <x v="0"/>
    <s v="Kolkata"/>
    <s v="Anjali Mehta"/>
    <x v="0"/>
    <x v="0"/>
    <s v="Footwear"/>
    <s v="Adidas Sports Shoes"/>
    <x v="2"/>
    <s v="Delivered"/>
    <n v="5"/>
    <n v="5999"/>
    <n v="0.1"/>
    <n v="3890"/>
    <n v="29994.9"/>
    <n v="19450"/>
    <n v="10544.900000000001"/>
    <n v="0.35155643125998087"/>
  </r>
  <r>
    <s v="ORD-114447"/>
    <x v="283"/>
    <x v="0"/>
    <s v="December"/>
    <x v="0"/>
    <s v="Ranchi"/>
    <s v="Pooja Chouhan"/>
    <x v="2"/>
    <x v="2"/>
    <s v="Audio Devices"/>
    <s v="Sony Wh-Ch520"/>
    <x v="1"/>
    <s v="Pending"/>
    <n v="1"/>
    <n v="4490"/>
    <n v="0.12"/>
    <n v="2950"/>
    <n v="4489.88"/>
    <n v="2950"/>
    <n v="1539.88"/>
    <n v="0.34296684989353837"/>
  </r>
  <r>
    <s v="ORD-114123"/>
    <x v="284"/>
    <x v="0"/>
    <s v="December"/>
    <x v="1"/>
    <s v="Mumbai"/>
    <s v="Rahul Singh"/>
    <x v="2"/>
    <x v="1"/>
    <s v="Sofas"/>
    <s v="Single Seater Recliner"/>
    <x v="0"/>
    <s v="Pending"/>
    <n v="14"/>
    <n v="43500"/>
    <n v="0.08"/>
    <n v="29520"/>
    <n v="608999.92000000004"/>
    <n v="413280"/>
    <n v="195719.92000000004"/>
    <n v="0.32137922119924095"/>
  </r>
  <r>
    <s v="ORD-114596"/>
    <x v="284"/>
    <x v="0"/>
    <s v="December"/>
    <x v="2"/>
    <s v="Bhopal"/>
    <s v="Imran Sheikh"/>
    <x v="0"/>
    <x v="2"/>
    <s v="Audio Devices"/>
    <s v="Jbl Tune 510Bt"/>
    <x v="0"/>
    <s v="Delivered"/>
    <n v="37"/>
    <n v="3299"/>
    <n v="0.05"/>
    <n v="2050"/>
    <n v="122062.95"/>
    <n v="75850"/>
    <n v="46212.95"/>
    <n v="0.37859932108801236"/>
  </r>
  <r>
    <s v="ORD-114441"/>
    <x v="285"/>
    <x v="0"/>
    <s v="December"/>
    <x v="2"/>
    <s v="Raipur"/>
    <s v="Simran Kaur"/>
    <x v="1"/>
    <x v="3"/>
    <s v="Washing Machines"/>
    <s v="Ifb 7Kg Washing Machine"/>
    <x v="1"/>
    <s v="Pending"/>
    <n v="12"/>
    <n v="31990"/>
    <n v="0.15"/>
    <n v="21800"/>
    <n v="383879.85"/>
    <n v="261600"/>
    <n v="122279.84999999998"/>
    <n v="0.31853677654609897"/>
  </r>
  <r>
    <s v="ORD-114450"/>
    <x v="285"/>
    <x v="0"/>
    <s v="December"/>
    <x v="2"/>
    <s v="Raipur"/>
    <s v="Rahul Singh"/>
    <x v="0"/>
    <x v="4"/>
    <s v="Fitness Equipment"/>
    <s v="Resistance Bands"/>
    <x v="2"/>
    <s v="Returned"/>
    <n v="9"/>
    <n v="999"/>
    <n v="0.2"/>
    <n v="540"/>
    <n v="8990.7999999999993"/>
    <n v="4860"/>
    <n v="4130.7999999999993"/>
    <n v="0.45944743515593711"/>
  </r>
  <r>
    <s v="ORD-114503"/>
    <x v="285"/>
    <x v="0"/>
    <s v="December"/>
    <x v="2"/>
    <s v="Indore"/>
    <s v="Imran Sheikh"/>
    <x v="0"/>
    <x v="1"/>
    <s v="Sofas"/>
    <s v="L-Shape Sofa"/>
    <x v="2"/>
    <s v="Delivered"/>
    <n v="7"/>
    <n v="52990"/>
    <n v="0.15"/>
    <n v="35100"/>
    <n v="370929.85"/>
    <n v="245700"/>
    <n v="125229.84999999998"/>
    <n v="0.33761060211250182"/>
  </r>
  <r>
    <s v="ORD-114061"/>
    <x v="286"/>
    <x v="0"/>
    <s v="December"/>
    <x v="4"/>
    <s v="Bengaluru"/>
    <s v="Rahul Singh"/>
    <x v="2"/>
    <x v="4"/>
    <s v="Fitness Equipment"/>
    <s v="Resistance Bands"/>
    <x v="1"/>
    <s v="Delivered"/>
    <n v="35"/>
    <n v="999"/>
    <n v="0.12"/>
    <n v="540"/>
    <n v="34964.879999999997"/>
    <n v="18900"/>
    <n v="16064.879999999997"/>
    <n v="0.45945760431610227"/>
  </r>
  <r>
    <s v="ORD-114128"/>
    <x v="286"/>
    <x v="0"/>
    <s v="December"/>
    <x v="2"/>
    <s v="Ujjain"/>
    <s v="Pooja Chouhan"/>
    <x v="1"/>
    <x v="3"/>
    <s v="Refrigerators"/>
    <s v="Lg 260L Double Door"/>
    <x v="0"/>
    <s v="Delivered"/>
    <n v="18"/>
    <n v="29010"/>
    <n v="0.12"/>
    <n v="19100"/>
    <n v="522179.88"/>
    <n v="343800"/>
    <n v="178379.88"/>
    <n v="0.34160619133774361"/>
  </r>
  <r>
    <s v="ORD-114147"/>
    <x v="286"/>
    <x v="0"/>
    <s v="December"/>
    <x v="4"/>
    <s v="Chennai"/>
    <s v="Anjali Mehta"/>
    <x v="1"/>
    <x v="2"/>
    <s v="Mobiles"/>
    <s v="Oneplus Nord Ce 3"/>
    <x v="0"/>
    <s v="Pending"/>
    <n v="34"/>
    <n v="25999"/>
    <n v="0.05"/>
    <n v="17800"/>
    <n v="883965.95"/>
    <n v="605200"/>
    <n v="278765.94999999995"/>
    <n v="0.31535824428531434"/>
  </r>
  <r>
    <s v="ORD-114219"/>
    <x v="286"/>
    <x v="0"/>
    <s v="December"/>
    <x v="1"/>
    <s v="Pune"/>
    <s v="Aditya Verma"/>
    <x v="0"/>
    <x v="1"/>
    <s v="Tables"/>
    <s v="Study Table"/>
    <x v="1"/>
    <s v="Returned"/>
    <n v="8"/>
    <n v="6999"/>
    <n v="0.05"/>
    <n v="4320"/>
    <n v="55991.95"/>
    <n v="34560"/>
    <n v="21431.949999999997"/>
    <n v="0.38276841581691651"/>
  </r>
  <r>
    <s v="ORD-114553"/>
    <x v="286"/>
    <x v="0"/>
    <s v="December"/>
    <x v="2"/>
    <s v="Bhopal"/>
    <s v="Neha Deshpande"/>
    <x v="1"/>
    <x v="2"/>
    <s v="Laptops"/>
    <s v="Dell Inspiron 3511"/>
    <x v="1"/>
    <s v="Delivered"/>
    <n v="19"/>
    <n v="55230"/>
    <n v="0.15"/>
    <n v="33800"/>
    <n v="1049369.8500000001"/>
    <n v="642200"/>
    <n v="407169.85000000009"/>
    <n v="0.38801367315822927"/>
  </r>
  <r>
    <s v="ORD-114067"/>
    <x v="287"/>
    <x v="0"/>
    <s v="December"/>
    <x v="1"/>
    <s v="Surat"/>
    <s v="Simran Kaur"/>
    <x v="1"/>
    <x v="2"/>
    <s v="Mobiles"/>
    <s v="Oneplus Nord Ce 3"/>
    <x v="2"/>
    <s v="Returned"/>
    <n v="16"/>
    <n v="25999"/>
    <n v="0.1"/>
    <n v="17800"/>
    <n v="415983.9"/>
    <n v="284800"/>
    <n v="131183.90000000002"/>
    <n v="0.31535811842717953"/>
  </r>
  <r>
    <s v="ORD-114083"/>
    <x v="287"/>
    <x v="0"/>
    <s v="December"/>
    <x v="0"/>
    <s v="Patna"/>
    <s v="Neha Deshpande"/>
    <x v="0"/>
    <x v="2"/>
    <s v="Laptops"/>
    <s v="Dell Inspiron 3511"/>
    <x v="2"/>
    <s v="Returned"/>
    <n v="32"/>
    <n v="55230"/>
    <n v="0.1"/>
    <n v="33800"/>
    <n v="1767359.9"/>
    <n v="1081600"/>
    <n v="685759.89999999991"/>
    <n v="0.3880137260101918"/>
  </r>
  <r>
    <s v="ORD-114120"/>
    <x v="288"/>
    <x v="0"/>
    <s v="December"/>
    <x v="4"/>
    <s v="Kochi"/>
    <s v="Neha Deshpande"/>
    <x v="0"/>
    <x v="0"/>
    <s v="Apparel"/>
    <s v="Denim Jeans"/>
    <x v="1"/>
    <s v="Delivered"/>
    <n v="28"/>
    <n v="2499"/>
    <n v="0.1"/>
    <n v="1510"/>
    <n v="69971.899999999994"/>
    <n v="42280"/>
    <n v="27691.899999999994"/>
    <n v="0.39575743977225136"/>
  </r>
  <r>
    <s v="ORD-114122"/>
    <x v="288"/>
    <x v="0"/>
    <s v="December"/>
    <x v="4"/>
    <s v="Bengaluru"/>
    <s v="Imran Sheikh"/>
    <x v="2"/>
    <x v="4"/>
    <s v="Fitness Equipment"/>
    <s v="Resistance Bands"/>
    <x v="1"/>
    <s v="Cancelled"/>
    <n v="23"/>
    <n v="999"/>
    <n v="0.2"/>
    <n v="540"/>
    <n v="22976.799999999999"/>
    <n v="12420"/>
    <n v="10556.8"/>
    <n v="0.45945475436092054"/>
  </r>
  <r>
    <s v="ORD-114098"/>
    <x v="289"/>
    <x v="0"/>
    <s v="December"/>
    <x v="2"/>
    <s v="Indore"/>
    <s v="Simran Kaur"/>
    <x v="2"/>
    <x v="3"/>
    <s v="Kitchen Appliances"/>
    <s v="Philips Air Fryer"/>
    <x v="0"/>
    <s v="Delivered"/>
    <n v="30"/>
    <n v="7299"/>
    <n v="0.1"/>
    <n v="5010"/>
    <n v="218969.9"/>
    <n v="150300"/>
    <n v="68669.899999999994"/>
    <n v="0.31360428990468553"/>
  </r>
  <r>
    <s v="ORD-114019"/>
    <x v="290"/>
    <x v="0"/>
    <s v="December"/>
    <x v="3"/>
    <s v="Delhi"/>
    <s v="Pooja Chouhan"/>
    <x v="1"/>
    <x v="2"/>
    <s v="Laptops"/>
    <s v="Dell Inspiron 3511"/>
    <x v="1"/>
    <s v="Pending"/>
    <n v="16"/>
    <n v="55230"/>
    <n v="0.1"/>
    <n v="33800"/>
    <n v="883679.9"/>
    <n v="540800"/>
    <n v="342879.9"/>
    <n v="0.38801369138304492"/>
  </r>
  <r>
    <s v="ORD-114058"/>
    <x v="290"/>
    <x v="0"/>
    <s v="December"/>
    <x v="3"/>
    <s v="Delhi"/>
    <s v="Pooja Chouhan"/>
    <x v="1"/>
    <x v="3"/>
    <s v="Kitchen Appliances"/>
    <s v="Bajaj Otg"/>
    <x v="1"/>
    <s v="Delivered"/>
    <n v="9"/>
    <n v="5890"/>
    <n v="0.12"/>
    <n v="3980"/>
    <n v="53009.88"/>
    <n v="35820"/>
    <n v="17189.879999999997"/>
    <n v="0.32427690838009815"/>
  </r>
  <r>
    <s v="ORD-114341"/>
    <x v="290"/>
    <x v="0"/>
    <s v="December"/>
    <x v="1"/>
    <s v="Surat"/>
    <s v="Rahul Singh"/>
    <x v="1"/>
    <x v="1"/>
    <s v="Tables"/>
    <s v="6-Seater Dining Table"/>
    <x v="0"/>
    <s v="Returned"/>
    <n v="7"/>
    <n v="25110"/>
    <n v="0.05"/>
    <n v="16730"/>
    <n v="175769.95"/>
    <n v="117110"/>
    <n v="58659.950000000012"/>
    <n v="0.33373139151487502"/>
  </r>
  <r>
    <s v="ORD-114716"/>
    <x v="291"/>
    <x v="0"/>
    <s v="December"/>
    <x v="0"/>
    <s v="Patna"/>
    <s v="Neha Deshpande"/>
    <x v="0"/>
    <x v="2"/>
    <s v="Audio Devices"/>
    <s v="Sony Wh-Ch520"/>
    <x v="1"/>
    <s v="Returned"/>
    <n v="4"/>
    <n v="4490"/>
    <n v="0.18"/>
    <n v="2950"/>
    <n v="17959.82"/>
    <n v="11800"/>
    <n v="6159.82"/>
    <n v="0.3429778249447934"/>
  </r>
  <r>
    <s v="ORD-114731"/>
    <x v="291"/>
    <x v="0"/>
    <s v="December"/>
    <x v="0"/>
    <s v="Kolkata"/>
    <s v="Ritika Ghosh"/>
    <x v="2"/>
    <x v="2"/>
    <s v="Laptops"/>
    <s v="Dell Inspiron 3511"/>
    <x v="1"/>
    <s v="Cancelled"/>
    <n v="23"/>
    <n v="55230"/>
    <n v="0.15"/>
    <n v="33800"/>
    <n v="1270289.8500000001"/>
    <n v="777400"/>
    <n v="492889.85000000009"/>
    <n v="0.38801368837198852"/>
  </r>
  <r>
    <s v="ORD-114268"/>
    <x v="292"/>
    <x v="0"/>
    <s v="December"/>
    <x v="0"/>
    <s v="Bhubaneswar"/>
    <s v="Simran Kaur"/>
    <x v="2"/>
    <x v="3"/>
    <s v="Refrigerators"/>
    <s v="Whirlpool 265L Refrigerator"/>
    <x v="2"/>
    <s v="Pending"/>
    <n v="38"/>
    <n v="27890"/>
    <n v="0.05"/>
    <n v="18800"/>
    <n v="1059819.95"/>
    <n v="714400"/>
    <n v="345419.94999999995"/>
    <n v="0.32592323818776953"/>
  </r>
  <r>
    <s v="ORD-114437"/>
    <x v="293"/>
    <x v="0"/>
    <s v="December"/>
    <x v="4"/>
    <s v="Hyderabad"/>
    <s v="Imran Sheikh"/>
    <x v="2"/>
    <x v="2"/>
    <s v="Audio Devices"/>
    <s v="Boat Airdopes 131"/>
    <x v="2"/>
    <s v="Delivered"/>
    <n v="8"/>
    <n v="1930"/>
    <n v="0.12"/>
    <n v="1120"/>
    <n v="15439.88"/>
    <n v="8960"/>
    <n v="6479.8799999999992"/>
    <n v="0.4196846089477379"/>
  </r>
  <r>
    <s v="ORD-114604"/>
    <x v="293"/>
    <x v="0"/>
    <s v="December"/>
    <x v="0"/>
    <s v="Bhubaneswar"/>
    <s v="Rahul Singh"/>
    <x v="0"/>
    <x v="2"/>
    <s v="Mobiles"/>
    <s v="Iphone 13"/>
    <x v="0"/>
    <s v="Cancelled"/>
    <n v="30"/>
    <n v="52990"/>
    <n v="0.2"/>
    <n v="39500"/>
    <n v="1589699.8"/>
    <n v="1185000"/>
    <n v="404699.80000000005"/>
    <n v="0.25457624137588747"/>
  </r>
  <r>
    <s v="ORD-114288"/>
    <x v="294"/>
    <x v="0"/>
    <s v="December"/>
    <x v="1"/>
    <s v="Mumbai"/>
    <s v="Ritika Ghosh"/>
    <x v="1"/>
    <x v="1"/>
    <s v="Sofas"/>
    <s v="3-Seater Sofa"/>
    <x v="1"/>
    <s v="Cancelled"/>
    <n v="9"/>
    <n v="38990"/>
    <n v="0.18"/>
    <n v="25400"/>
    <n v="350909.82"/>
    <n v="228600"/>
    <n v="122309.82"/>
    <n v="0.34855057632755904"/>
  </r>
  <r>
    <s v="ORD-114533"/>
    <x v="295"/>
    <x v="0"/>
    <s v="December"/>
    <x v="2"/>
    <s v="Bhopal"/>
    <s v="Aditya Verma"/>
    <x v="1"/>
    <x v="1"/>
    <s v="Sofas"/>
    <s v="L-Shape Sofa"/>
    <x v="1"/>
    <s v="Delivered"/>
    <n v="25"/>
    <n v="52990"/>
    <n v="0.15"/>
    <n v="35100"/>
    <n v="1324749.8500000001"/>
    <n v="877500"/>
    <n v="447249.85000000009"/>
    <n v="0.33761079497385871"/>
  </r>
  <r>
    <s v="ORD-114619"/>
    <x v="295"/>
    <x v="0"/>
    <s v="December"/>
    <x v="3"/>
    <s v="Delhi"/>
    <s v="Neha Deshpande"/>
    <x v="1"/>
    <x v="1"/>
    <s v="Tables"/>
    <s v="Study Table"/>
    <x v="1"/>
    <s v="Delivered"/>
    <n v="34"/>
    <n v="6999"/>
    <n v="0.12"/>
    <n v="4320"/>
    <n v="237965.88"/>
    <n v="146880"/>
    <n v="91085.88"/>
    <n v="0.38276865574173913"/>
  </r>
  <r>
    <s v="ORD-114622"/>
    <x v="295"/>
    <x v="0"/>
    <s v="December"/>
    <x v="2"/>
    <s v="Ujjain"/>
    <s v="Ritika Ghosh"/>
    <x v="1"/>
    <x v="0"/>
    <s v="Footwear"/>
    <s v="Nike Running Shoes"/>
    <x v="1"/>
    <s v="Cancelled"/>
    <n v="22"/>
    <n v="6499"/>
    <n v="0.2"/>
    <n v="4210"/>
    <n v="142977.79999999999"/>
    <n v="92620"/>
    <n v="50357.799999999988"/>
    <n v="0.35220712586149733"/>
  </r>
  <r>
    <s v="ORD-114175"/>
    <x v="296"/>
    <x v="0"/>
    <s v="December"/>
    <x v="2"/>
    <s v="Raipur"/>
    <s v="Sourav Das"/>
    <x v="2"/>
    <x v="2"/>
    <s v="Laptops"/>
    <s v="Dell Inspiron 3511"/>
    <x v="0"/>
    <s v="Delivered"/>
    <n v="29"/>
    <n v="55230"/>
    <n v="0.12"/>
    <n v="33800"/>
    <n v="1601669.88"/>
    <n v="980200"/>
    <n v="621469.87999999989"/>
    <n v="0.38801371478622043"/>
  </r>
  <r>
    <s v="ORD-114415"/>
    <x v="297"/>
    <x v="0"/>
    <s v="December"/>
    <x v="3"/>
    <s v="Delhi"/>
    <s v="Anjali Mehta"/>
    <x v="2"/>
    <x v="4"/>
    <s v="Fitness Equipment"/>
    <s v="Resistance Bands"/>
    <x v="1"/>
    <s v="Delivered"/>
    <n v="14"/>
    <n v="999"/>
    <n v="0.2"/>
    <n v="540"/>
    <n v="13985.8"/>
    <n v="7560"/>
    <n v="6425.7999999999993"/>
    <n v="0.45945172961146302"/>
  </r>
  <r>
    <s v="ORD-114522"/>
    <x v="297"/>
    <x v="0"/>
    <s v="December"/>
    <x v="2"/>
    <s v="Indore"/>
    <s v="Kartik Raman"/>
    <x v="2"/>
    <x v="4"/>
    <s v="Fitness Equipment"/>
    <s v="Yoga Mat"/>
    <x v="1"/>
    <s v="Delivered"/>
    <n v="28"/>
    <n v="1299"/>
    <n v="0.1"/>
    <n v="720"/>
    <n v="36371.9"/>
    <n v="20160"/>
    <n v="16211.900000000001"/>
    <n v="0.44572595877586818"/>
  </r>
  <r>
    <s v="ORD-114032"/>
    <x v="298"/>
    <x v="0"/>
    <s v="December"/>
    <x v="3"/>
    <s v="Delhi"/>
    <s v="Kartik Raman"/>
    <x v="1"/>
    <x v="1"/>
    <s v="Sofas"/>
    <s v="L-Shape Sofa"/>
    <x v="1"/>
    <s v="Returned"/>
    <n v="22"/>
    <n v="52990"/>
    <n v="0.08"/>
    <n v="35100"/>
    <n v="1165779.92"/>
    <n v="772200"/>
    <n v="393579.91999999993"/>
    <n v="0.33761082451994878"/>
  </r>
  <r>
    <s v="ORD-114484"/>
    <x v="299"/>
    <x v="0"/>
    <s v="December"/>
    <x v="4"/>
    <s v="Hyderabad"/>
    <s v="Pooja Chouhan"/>
    <x v="1"/>
    <x v="4"/>
    <s v="Fitness Equipment"/>
    <s v="Dumbbell Set"/>
    <x v="2"/>
    <s v="Cancelled"/>
    <n v="35"/>
    <n v="3499"/>
    <n v="0.05"/>
    <n v="2190"/>
    <n v="122464.95"/>
    <n v="76650"/>
    <n v="45814.95"/>
    <n v="0.37410663214250278"/>
  </r>
  <r>
    <s v="ORD-114060"/>
    <x v="300"/>
    <x v="0"/>
    <s v="December"/>
    <x v="0"/>
    <s v="Kolkata"/>
    <s v="Imran Sheikh"/>
    <x v="1"/>
    <x v="1"/>
    <s v="Sofas"/>
    <s v="3-Seater Sofa"/>
    <x v="0"/>
    <s v="Delivered"/>
    <n v="5"/>
    <n v="38990"/>
    <n v="0.15"/>
    <n v="25400"/>
    <n v="194949.85"/>
    <n v="127000"/>
    <n v="67949.850000000006"/>
    <n v="0.34855040924627539"/>
  </r>
  <r>
    <s v="ORD-114674"/>
    <x v="300"/>
    <x v="0"/>
    <s v="December"/>
    <x v="1"/>
    <s v="Ahmedabad"/>
    <s v="Anjali Mehta"/>
    <x v="1"/>
    <x v="3"/>
    <s v="Kitchen Appliances"/>
    <s v="Bajaj Otg"/>
    <x v="1"/>
    <s v="Delivered"/>
    <n v="36"/>
    <n v="5890"/>
    <n v="0.15"/>
    <n v="3980"/>
    <n v="212039.85"/>
    <n v="143280"/>
    <n v="68759.850000000006"/>
    <n v="0.32427796001553483"/>
  </r>
  <r>
    <s v="ORD-114675"/>
    <x v="300"/>
    <x v="0"/>
    <s v="December"/>
    <x v="2"/>
    <s v="Ujjain"/>
    <s v="Sourav Das"/>
    <x v="0"/>
    <x v="2"/>
    <s v="Laptops"/>
    <s v="Hp 15S"/>
    <x v="1"/>
    <s v="Cancelled"/>
    <n v="23"/>
    <n v="48500"/>
    <n v="0.1"/>
    <n v="30200"/>
    <n v="1115499.8999999999"/>
    <n v="694600"/>
    <n v="420899.89999999991"/>
    <n v="0.37731953180811573"/>
  </r>
  <r>
    <s v="ORD-114677"/>
    <x v="300"/>
    <x v="0"/>
    <s v="December"/>
    <x v="4"/>
    <s v="Chennai"/>
    <s v="Anjali Mehta"/>
    <x v="2"/>
    <x v="3"/>
    <s v="Washing Machines"/>
    <s v="Samsung 7Kg Washing Machine"/>
    <x v="1"/>
    <s v="Delivered"/>
    <n v="6"/>
    <n v="32800"/>
    <n v="0.12"/>
    <n v="23100"/>
    <n v="196799.88"/>
    <n v="138600"/>
    <n v="58199.880000000005"/>
    <n v="0.29573127788492554"/>
  </r>
  <r>
    <s v="ORD-114257"/>
    <x v="301"/>
    <x v="0"/>
    <s v="December"/>
    <x v="1"/>
    <s v="Surat"/>
    <s v="Ritika Ghosh"/>
    <x v="0"/>
    <x v="4"/>
    <s v="Fitness Equipment"/>
    <s v="Resistance Bands"/>
    <x v="2"/>
    <s v="Pending"/>
    <n v="33"/>
    <n v="999"/>
    <n v="0.2"/>
    <n v="540"/>
    <n v="32966.800000000003"/>
    <n v="17820"/>
    <n v="15146.800000000003"/>
    <n v="0.45945618015700651"/>
  </r>
  <r>
    <s v="ORD-114371"/>
    <x v="302"/>
    <x v="0"/>
    <s v="December"/>
    <x v="3"/>
    <s v="Lucknow"/>
    <s v="Kartik Raman"/>
    <x v="1"/>
    <x v="2"/>
    <s v="Audio Devices"/>
    <s v="Boat Airdopes 131"/>
    <x v="0"/>
    <s v="Returned"/>
    <n v="16"/>
    <n v="1930"/>
    <n v="0.08"/>
    <n v="1120"/>
    <n v="30879.919999999998"/>
    <n v="17920"/>
    <n v="12959.919999999998"/>
    <n v="0.41968761577102526"/>
  </r>
  <r>
    <s v="ORD-114376"/>
    <x v="302"/>
    <x v="0"/>
    <s v="December"/>
    <x v="3"/>
    <s v="Delhi"/>
    <s v="Sourav Das"/>
    <x v="0"/>
    <x v="0"/>
    <s v="Footwear"/>
    <s v="Puma Sneakers"/>
    <x v="2"/>
    <s v="Cancelled"/>
    <n v="10"/>
    <n v="4499"/>
    <n v="0.08"/>
    <n v="2910"/>
    <n v="44989.919999999998"/>
    <n v="29100"/>
    <n v="15889.919999999998"/>
    <n v="0.35318844754558354"/>
  </r>
  <r>
    <s v="ORD-114046"/>
    <x v="303"/>
    <x v="0"/>
    <s v="December"/>
    <x v="4"/>
    <s v="Bengaluru"/>
    <s v="Pooja Chouhan"/>
    <x v="1"/>
    <x v="0"/>
    <s v="Footwear"/>
    <s v="Adidas Sports Shoes"/>
    <x v="2"/>
    <s v="Returned"/>
    <n v="37"/>
    <n v="5999"/>
    <n v="0.08"/>
    <n v="3890"/>
    <n v="221962.92"/>
    <n v="143930"/>
    <n v="78032.920000000013"/>
    <n v="0.35155835938723462"/>
  </r>
  <r>
    <s v="ORD-114228"/>
    <x v="303"/>
    <x v="0"/>
    <s v="December"/>
    <x v="4"/>
    <s v="Hyderabad"/>
    <s v="Rahul Singh"/>
    <x v="1"/>
    <x v="3"/>
    <s v="Kitchen Appliances"/>
    <s v="Bajaj Otg"/>
    <x v="1"/>
    <s v="Returned"/>
    <n v="31"/>
    <n v="5890"/>
    <n v="0.08"/>
    <n v="3980"/>
    <n v="182589.92"/>
    <n v="123380"/>
    <n v="59209.920000000013"/>
    <n v="0.32427814196972105"/>
  </r>
  <r>
    <s v="ORD-114238"/>
    <x v="303"/>
    <x v="0"/>
    <s v="December"/>
    <x v="2"/>
    <s v="Bhopal"/>
    <s v="Neha Deshpande"/>
    <x v="0"/>
    <x v="0"/>
    <s v="Footwear"/>
    <s v="Adidas Sports Shoes"/>
    <x v="2"/>
    <s v="Cancelled"/>
    <n v="37"/>
    <n v="5999"/>
    <n v="0.08"/>
    <n v="3890"/>
    <n v="221962.92"/>
    <n v="143930"/>
    <n v="78032.920000000013"/>
    <n v="0.35155835938723462"/>
  </r>
  <r>
    <s v="ORD-114384"/>
    <x v="303"/>
    <x v="0"/>
    <s v="December"/>
    <x v="1"/>
    <s v="Surat"/>
    <s v="Simran Kaur"/>
    <x v="0"/>
    <x v="0"/>
    <s v="Apparel"/>
    <s v="Women'S Kurti"/>
    <x v="0"/>
    <s v="Delivered"/>
    <n v="8"/>
    <n v="1599"/>
    <n v="0.08"/>
    <n v="920"/>
    <n v="12791.92"/>
    <n v="7360"/>
    <n v="5431.92"/>
    <n v="0.42463680198125064"/>
  </r>
  <r>
    <s v="ORD-114445"/>
    <x v="303"/>
    <x v="0"/>
    <s v="December"/>
    <x v="1"/>
    <s v="Surat"/>
    <s v="Neha Deshpande"/>
    <x v="1"/>
    <x v="4"/>
    <s v="Fitness Equipment"/>
    <s v="Yoga Mat"/>
    <x v="2"/>
    <s v="Cancelled"/>
    <n v="23"/>
    <n v="1299"/>
    <n v="0.15"/>
    <n v="720"/>
    <n v="29876.85"/>
    <n v="16560"/>
    <n v="13316.849999999999"/>
    <n v="0.44572469989306102"/>
  </r>
  <r>
    <s v="ORD-114616"/>
    <x v="303"/>
    <x v="0"/>
    <s v="December"/>
    <x v="0"/>
    <s v="Kolkata"/>
    <s v="Simran Kaur"/>
    <x v="0"/>
    <x v="3"/>
    <s v="Kitchen Appliances"/>
    <s v="Bajaj Otg"/>
    <x v="1"/>
    <s v="Cancelled"/>
    <n v="13"/>
    <n v="5890"/>
    <n v="0.1"/>
    <n v="3980"/>
    <n v="76569.899999999994"/>
    <n v="51740"/>
    <n v="24829.899999999994"/>
    <n v="0.32427755554075421"/>
  </r>
  <r>
    <s v="ORD-114466"/>
    <x v="304"/>
    <x v="0"/>
    <s v="December"/>
    <x v="1"/>
    <s v="Surat"/>
    <s v="Kartik Raman"/>
    <x v="1"/>
    <x v="4"/>
    <s v="Fitness Equipment"/>
    <s v="Dumbbell Set"/>
    <x v="0"/>
    <s v="Delivered"/>
    <n v="30"/>
    <n v="3499"/>
    <n v="0.05"/>
    <n v="2190"/>
    <n v="104969.95"/>
    <n v="65700"/>
    <n v="39269.949999999997"/>
    <n v="0.37410658955253384"/>
  </r>
  <r>
    <s v="ORD-114518"/>
    <x v="304"/>
    <x v="0"/>
    <s v="December"/>
    <x v="1"/>
    <s v="Mumbai"/>
    <s v="Rahul Singh"/>
    <x v="2"/>
    <x v="2"/>
    <s v="Mobiles"/>
    <s v="Iphone 13"/>
    <x v="0"/>
    <s v="Delivered"/>
    <n v="21"/>
    <n v="52990"/>
    <n v="0.15"/>
    <n v="39500"/>
    <n v="1112789.8500000001"/>
    <n v="829500"/>
    <n v="283289.85000000009"/>
    <n v="0.25457623467719448"/>
  </r>
  <r>
    <s v="ORD-114672"/>
    <x v="304"/>
    <x v="0"/>
    <s v="December"/>
    <x v="4"/>
    <s v="Bengaluru"/>
    <s v="Imran Sheikh"/>
    <x v="1"/>
    <x v="4"/>
    <s v="Fitness Equipment"/>
    <s v="Dumbbell Set"/>
    <x v="0"/>
    <s v="Delivered"/>
    <n v="18"/>
    <n v="3499"/>
    <n v="0.18"/>
    <n v="2190"/>
    <n v="62981.82"/>
    <n v="39420"/>
    <n v="23561.82"/>
    <n v="0.37410509889996829"/>
  </r>
  <r>
    <s v="ORD-114285"/>
    <x v="305"/>
    <x v="0"/>
    <s v="December"/>
    <x v="3"/>
    <s v="Lucknow"/>
    <s v="Rahul Singh"/>
    <x v="1"/>
    <x v="1"/>
    <s v="Tables"/>
    <s v="6-Seater Dining Table"/>
    <x v="2"/>
    <s v="Returned"/>
    <n v="20"/>
    <n v="25110"/>
    <n v="0.18"/>
    <n v="16730"/>
    <n v="502199.82"/>
    <n v="334600"/>
    <n v="167599.82"/>
    <n v="0.3337313422374385"/>
  </r>
  <r>
    <s v="ORD-114387"/>
    <x v="305"/>
    <x v="0"/>
    <s v="December"/>
    <x v="0"/>
    <s v="Kolkata"/>
    <s v="Kartik Raman"/>
    <x v="2"/>
    <x v="4"/>
    <s v="Fitness Equipment"/>
    <s v="Resistance Bands"/>
    <x v="2"/>
    <s v="Pending"/>
    <n v="34"/>
    <n v="999"/>
    <n v="0.18"/>
    <n v="540"/>
    <n v="33965.82"/>
    <n v="18360"/>
    <n v="15605.82"/>
    <n v="0.45945659489451451"/>
  </r>
  <r>
    <s v="ORD-114068"/>
    <x v="306"/>
    <x v="0"/>
    <s v="December"/>
    <x v="2"/>
    <s v="Bhopal"/>
    <s v="Simran Kaur"/>
    <x v="2"/>
    <x v="4"/>
    <s v="Fitness Equipment"/>
    <s v="Dumbbell Set"/>
    <x v="0"/>
    <s v="Pending"/>
    <n v="22"/>
    <n v="3499"/>
    <n v="0.1"/>
    <n v="2190"/>
    <n v="76977.899999999994"/>
    <n v="48180"/>
    <n v="28797.899999999994"/>
    <n v="0.37410607460063205"/>
  </r>
  <r>
    <s v="ORD-114005"/>
    <x v="307"/>
    <x v="0"/>
    <s v="December"/>
    <x v="1"/>
    <s v="Mumbai"/>
    <s v="Sourav Das"/>
    <x v="1"/>
    <x v="4"/>
    <s v="Fitness Equipment"/>
    <s v="Resistance Bands"/>
    <x v="0"/>
    <s v="Delivered"/>
    <n v="37"/>
    <n v="999"/>
    <n v="0.08"/>
    <n v="540"/>
    <n v="36962.92"/>
    <n v="19980"/>
    <n v="16982.919999999998"/>
    <n v="0.45945828955071727"/>
  </r>
  <r>
    <s v="ORD-114220"/>
    <x v="307"/>
    <x v="0"/>
    <s v="December"/>
    <x v="1"/>
    <s v="Mumbai"/>
    <s v="Aditya Verma"/>
    <x v="1"/>
    <x v="2"/>
    <s v="Laptops"/>
    <s v="Lenovo Ideapad 3"/>
    <x v="1"/>
    <s v="Cancelled"/>
    <n v="39"/>
    <n v="48990"/>
    <n v="0.18"/>
    <n v="30100"/>
    <n v="1910609.82"/>
    <n v="1173900"/>
    <n v="736709.82000000007"/>
    <n v="0.38558883780886255"/>
  </r>
  <r>
    <s v="ORD-114265"/>
    <x v="307"/>
    <x v="0"/>
    <s v="December"/>
    <x v="1"/>
    <s v="Surat"/>
    <s v="Pooja Chouhan"/>
    <x v="2"/>
    <x v="4"/>
    <s v="Fitness Equipment"/>
    <s v="Dumbbell Set"/>
    <x v="0"/>
    <s v="Cancelled"/>
    <n v="25"/>
    <n v="3499"/>
    <n v="0.05"/>
    <n v="2190"/>
    <n v="87474.95"/>
    <n v="54750"/>
    <n v="32724.949999999997"/>
    <n v="0.37410652992656751"/>
  </r>
  <r>
    <s v="ORD-114327"/>
    <x v="307"/>
    <x v="0"/>
    <s v="December"/>
    <x v="0"/>
    <s v="Kolkata"/>
    <s v="Pooja Chouhan"/>
    <x v="1"/>
    <x v="4"/>
    <s v="Fitness Equipment"/>
    <s v="Yoga Mat"/>
    <x v="0"/>
    <s v="Delivered"/>
    <n v="5"/>
    <n v="1299"/>
    <n v="0.1"/>
    <n v="720"/>
    <n v="6494.9"/>
    <n v="3600"/>
    <n v="2894.8999999999996"/>
    <n v="0.44571894871360601"/>
  </r>
  <r>
    <s v="ORD-114335"/>
    <x v="307"/>
    <x v="0"/>
    <s v="December"/>
    <x v="0"/>
    <s v="Ranchi"/>
    <s v="Sourav Das"/>
    <x v="1"/>
    <x v="2"/>
    <s v="Audio Devices"/>
    <s v="Boat Airdopes 131"/>
    <x v="2"/>
    <s v="Pending"/>
    <n v="40"/>
    <n v="1930"/>
    <n v="0.12"/>
    <n v="1120"/>
    <n v="77199.88"/>
    <n v="44800"/>
    <n v="32399.880000000005"/>
    <n v="0.41968821713194376"/>
  </r>
  <r>
    <s v="ORD-114353"/>
    <x v="307"/>
    <x v="0"/>
    <s v="December"/>
    <x v="2"/>
    <s v="Ujjain"/>
    <s v="Anjali Mehta"/>
    <x v="1"/>
    <x v="3"/>
    <s v="Kitchen Appliances"/>
    <s v="Prestige Mixer Grinder"/>
    <x v="1"/>
    <s v="Cancelled"/>
    <n v="4"/>
    <n v="4680"/>
    <n v="0.1"/>
    <n v="3250"/>
    <n v="18719.900000000001"/>
    <n v="13000"/>
    <n v="5719.9000000000015"/>
    <n v="0.30555184589661277"/>
  </r>
  <r>
    <s v="ORD-114613"/>
    <x v="308"/>
    <x v="0"/>
    <s v="December"/>
    <x v="3"/>
    <s v="Delhi"/>
    <s v="Sourav Das"/>
    <x v="0"/>
    <x v="3"/>
    <s v="Refrigerators"/>
    <s v="Samsung 253L Refrigerator"/>
    <x v="2"/>
    <s v="Pending"/>
    <n v="1"/>
    <n v="31490"/>
    <n v="0.15"/>
    <n v="21300"/>
    <n v="31489.85"/>
    <n v="21300"/>
    <n v="10189.849999999999"/>
    <n v="0.32359156998207356"/>
  </r>
  <r>
    <s v="ORD-114655"/>
    <x v="308"/>
    <x v="0"/>
    <s v="December"/>
    <x v="3"/>
    <s v="Delhi"/>
    <s v="Neha Deshpande"/>
    <x v="2"/>
    <x v="3"/>
    <s v="Washing Machines"/>
    <s v="Lg 6.5Kg Washing Machine"/>
    <x v="2"/>
    <s v="Delivered"/>
    <n v="14"/>
    <n v="29010"/>
    <n v="0.15"/>
    <n v="19150"/>
    <n v="406139.85"/>
    <n v="268100"/>
    <n v="138039.84999999998"/>
    <n v="0.33988255523312966"/>
  </r>
  <r>
    <s v="ORD-114682"/>
    <x v="308"/>
    <x v="0"/>
    <s v="December"/>
    <x v="3"/>
    <s v="Chandigarh"/>
    <s v="Aditya Verma"/>
    <x v="0"/>
    <x v="3"/>
    <s v="Refrigerators"/>
    <s v="Lg 260L Double Door"/>
    <x v="0"/>
    <s v="Delivered"/>
    <n v="14"/>
    <n v="29010"/>
    <n v="0.15"/>
    <n v="19100"/>
    <n v="406139.85"/>
    <n v="267400"/>
    <n v="138739.84999999998"/>
    <n v="0.34160609947534076"/>
  </r>
  <r>
    <s v="ORD-114733"/>
    <x v="309"/>
    <x v="0"/>
    <s v="December"/>
    <x v="3"/>
    <s v="Chandigarh"/>
    <s v="Rahul Singh"/>
    <x v="1"/>
    <x v="4"/>
    <s v="Fitness Equipment"/>
    <s v="Dumbbell Set"/>
    <x v="2"/>
    <s v="Delivered"/>
    <n v="6"/>
    <n v="3499"/>
    <n v="0.1"/>
    <n v="2190"/>
    <n v="20993.9"/>
    <n v="13140"/>
    <n v="7853.9000000000015"/>
    <n v="0.37410390637280355"/>
  </r>
  <r>
    <s v="ORD-114151"/>
    <x v="310"/>
    <x v="0"/>
    <s v="December"/>
    <x v="4"/>
    <s v="Chennai"/>
    <s v="Imran Sheikh"/>
    <x v="1"/>
    <x v="1"/>
    <s v="Tables"/>
    <s v="Office Work Table"/>
    <x v="2"/>
    <s v="Delivered"/>
    <n v="36"/>
    <n v="12490"/>
    <n v="0.05"/>
    <n v="7900"/>
    <n v="449639.95"/>
    <n v="284400"/>
    <n v="165239.95000000001"/>
    <n v="0.36749392486143639"/>
  </r>
  <r>
    <s v="ORD-114360"/>
    <x v="310"/>
    <x v="0"/>
    <s v="December"/>
    <x v="0"/>
    <s v="Kolkata"/>
    <s v="Simran Kaur"/>
    <x v="1"/>
    <x v="1"/>
    <s v="Sofas"/>
    <s v="L-Shape Sofa"/>
    <x v="2"/>
    <s v="Delivered"/>
    <n v="17"/>
    <n v="52990"/>
    <n v="0.18"/>
    <n v="35100"/>
    <n v="900829.82"/>
    <n v="596700"/>
    <n v="304129.81999999995"/>
    <n v="0.33761073761967603"/>
  </r>
  <r>
    <s v="ORD-114530"/>
    <x v="310"/>
    <x v="0"/>
    <s v="December"/>
    <x v="2"/>
    <s v="Ujjain"/>
    <s v="Neha Deshpande"/>
    <x v="0"/>
    <x v="4"/>
    <s v="Fitness Equipment"/>
    <s v="Yoga Mat"/>
    <x v="1"/>
    <s v="Pending"/>
    <n v="30"/>
    <n v="1299"/>
    <n v="0.15"/>
    <n v="720"/>
    <n v="38969.85"/>
    <n v="21600"/>
    <n v="17369.849999999999"/>
    <n v="0.44572534921227563"/>
  </r>
  <r>
    <s v="ORD-115094"/>
    <x v="311"/>
    <x v="1"/>
    <s v="January"/>
    <x v="4"/>
    <s v="Hyderabad"/>
    <s v="Rahul Singh"/>
    <x v="2"/>
    <x v="2"/>
    <s v="Mobiles"/>
    <s v="Iphone 13"/>
    <x v="0"/>
    <s v="Delivered"/>
    <n v="8"/>
    <n v="52990"/>
    <n v="0.05"/>
    <n v="39500"/>
    <n v="423919.95"/>
    <n v="316000"/>
    <n v="107919.95000000001"/>
    <n v="0.25457624723724376"/>
  </r>
  <r>
    <s v="ORD-114942"/>
    <x v="312"/>
    <x v="1"/>
    <s v="January"/>
    <x v="1"/>
    <s v="Surat"/>
    <s v="Kartik Raman"/>
    <x v="2"/>
    <x v="4"/>
    <s v="Fitness Equipment"/>
    <s v="Dumbbell Set"/>
    <x v="1"/>
    <s v="Pending"/>
    <n v="13"/>
    <n v="3499"/>
    <n v="0.2"/>
    <n v="2190"/>
    <n v="45486.8"/>
    <n v="28470"/>
    <n v="17016.800000000003"/>
    <n v="0.37410413570530354"/>
  </r>
  <r>
    <s v="ORD-114946"/>
    <x v="312"/>
    <x v="1"/>
    <s v="January"/>
    <x v="2"/>
    <s v="Raipur"/>
    <s v="Aditya Verma"/>
    <x v="0"/>
    <x v="4"/>
    <s v="Fitness Equipment"/>
    <s v="Dumbbell Set"/>
    <x v="0"/>
    <s v="Cancelled"/>
    <n v="4"/>
    <n v="3499"/>
    <n v="0.1"/>
    <n v="2190"/>
    <n v="13995.9"/>
    <n v="8760"/>
    <n v="5235.8999999999996"/>
    <n v="0.37410241570745717"/>
  </r>
  <r>
    <s v="ORD-114845"/>
    <x v="313"/>
    <x v="1"/>
    <s v="January"/>
    <x v="0"/>
    <s v="Bhubaneswar"/>
    <s v="Rahul Singh"/>
    <x v="2"/>
    <x v="1"/>
    <s v="Tables"/>
    <s v="Office Work Table"/>
    <x v="0"/>
    <s v="Delivered"/>
    <n v="35"/>
    <n v="12490"/>
    <n v="0.1"/>
    <n v="7900"/>
    <n v="437149.9"/>
    <n v="276500"/>
    <n v="160649.90000000002"/>
    <n v="0.36749385050757194"/>
  </r>
  <r>
    <s v="ORD-115401"/>
    <x v="313"/>
    <x v="1"/>
    <s v="January"/>
    <x v="1"/>
    <s v="Ahmedabad"/>
    <s v="Imran Sheikh"/>
    <x v="2"/>
    <x v="4"/>
    <s v="Fitness Equipment"/>
    <s v="Resistance Bands"/>
    <x v="1"/>
    <s v="Delivered"/>
    <n v="6"/>
    <n v="999"/>
    <n v="0.05"/>
    <n v="540"/>
    <n v="5993.95"/>
    <n v="3240"/>
    <n v="2753.95"/>
    <n v="0.4594549504083284"/>
  </r>
  <r>
    <s v="ORD-115000"/>
    <x v="314"/>
    <x v="1"/>
    <s v="January"/>
    <x v="2"/>
    <s v="Bhopal"/>
    <s v="Pooja Chouhan"/>
    <x v="1"/>
    <x v="1"/>
    <s v="Tables"/>
    <s v="Office Work Table"/>
    <x v="1"/>
    <s v="Delivered"/>
    <n v="14"/>
    <n v="12490"/>
    <n v="0.15"/>
    <n v="7900"/>
    <n v="174859.85"/>
    <n v="110600"/>
    <n v="64259.850000000006"/>
    <n v="0.36749345261362171"/>
  </r>
  <r>
    <s v="ORD-115019"/>
    <x v="314"/>
    <x v="1"/>
    <s v="January"/>
    <x v="1"/>
    <s v="Surat"/>
    <s v="Simran Kaur"/>
    <x v="2"/>
    <x v="3"/>
    <s v="Refrigerators"/>
    <s v="Samsung 253L Refrigerator"/>
    <x v="2"/>
    <s v="Returned"/>
    <n v="37"/>
    <n v="31490"/>
    <n v="0.12"/>
    <n v="21300"/>
    <n v="1165129.8799999999"/>
    <n v="788100"/>
    <n v="377029.87999999989"/>
    <n v="0.32359472233258657"/>
  </r>
  <r>
    <s v="ORD-115055"/>
    <x v="314"/>
    <x v="1"/>
    <s v="January"/>
    <x v="1"/>
    <s v="Ahmedabad"/>
    <s v="Simran Kaur"/>
    <x v="0"/>
    <x v="2"/>
    <s v="Mobiles"/>
    <s v="Iphone 13"/>
    <x v="1"/>
    <s v="Delivered"/>
    <n v="15"/>
    <n v="52990"/>
    <n v="0.05"/>
    <n v="39500"/>
    <n v="794849.95"/>
    <n v="592500"/>
    <n v="202349.94999999995"/>
    <n v="0.25457628826673506"/>
  </r>
  <r>
    <s v="ORD-115121"/>
    <x v="314"/>
    <x v="1"/>
    <s v="January"/>
    <x v="3"/>
    <s v="Lucknow"/>
    <s v="Neha Deshpande"/>
    <x v="1"/>
    <x v="1"/>
    <s v="Sofas"/>
    <s v="Single Seater Recliner"/>
    <x v="1"/>
    <s v="Delivered"/>
    <n v="6"/>
    <n v="43500"/>
    <n v="0.15"/>
    <n v="29520"/>
    <n v="260999.85"/>
    <n v="177120"/>
    <n v="83879.850000000006"/>
    <n v="0.32137892033271287"/>
  </r>
  <r>
    <s v="ORD-115321"/>
    <x v="314"/>
    <x v="1"/>
    <s v="January"/>
    <x v="3"/>
    <s v="Chandigarh"/>
    <s v="Anjali Mehta"/>
    <x v="1"/>
    <x v="3"/>
    <s v="Refrigerators"/>
    <s v="Lg 260L Double Door"/>
    <x v="1"/>
    <s v="Delivered"/>
    <n v="26"/>
    <n v="29010"/>
    <n v="0.1"/>
    <n v="19100"/>
    <n v="754259.9"/>
    <n v="496600"/>
    <n v="257659.90000000002"/>
    <n v="0.34160625535044353"/>
  </r>
  <r>
    <s v="ORD-115379"/>
    <x v="314"/>
    <x v="1"/>
    <s v="January"/>
    <x v="0"/>
    <s v="Patna"/>
    <s v="Imran Sheikh"/>
    <x v="2"/>
    <x v="1"/>
    <s v="Tables"/>
    <s v="Office Work Table"/>
    <x v="0"/>
    <s v="Delivered"/>
    <n v="27"/>
    <n v="12490"/>
    <n v="0.18"/>
    <n v="7900"/>
    <n v="337229.82"/>
    <n v="213300"/>
    <n v="123929.82"/>
    <n v="0.36749365758935554"/>
  </r>
  <r>
    <s v="ORD-115178"/>
    <x v="315"/>
    <x v="1"/>
    <s v="January"/>
    <x v="3"/>
    <s v="Jaipur"/>
    <s v="Sourav Das"/>
    <x v="1"/>
    <x v="1"/>
    <s v="Tables"/>
    <s v="6-Seater Dining Table"/>
    <x v="1"/>
    <s v="Pending"/>
    <n v="27"/>
    <n v="25110"/>
    <n v="0.05"/>
    <n v="16730"/>
    <n v="677969.95"/>
    <n v="451710"/>
    <n v="226259.94999999995"/>
    <n v="0.33373153190639199"/>
  </r>
  <r>
    <s v="ORD-114973"/>
    <x v="316"/>
    <x v="1"/>
    <s v="January"/>
    <x v="1"/>
    <s v="Ahmedabad"/>
    <s v="Neha Deshpande"/>
    <x v="1"/>
    <x v="2"/>
    <s v="Mobiles"/>
    <s v="Oneplus Nord Ce 3"/>
    <x v="0"/>
    <s v="Delivered"/>
    <n v="12"/>
    <n v="25999"/>
    <n v="0.1"/>
    <n v="17800"/>
    <n v="311987.90000000002"/>
    <n v="213600"/>
    <n v="98387.900000000023"/>
    <n v="0.31535806356592683"/>
  </r>
  <r>
    <s v="ORD-115064"/>
    <x v="316"/>
    <x v="1"/>
    <s v="January"/>
    <x v="0"/>
    <s v="Patna"/>
    <s v="Anjali Mehta"/>
    <x v="2"/>
    <x v="1"/>
    <s v="Tables"/>
    <s v="6-Seater Dining Table"/>
    <x v="2"/>
    <s v="Delivered"/>
    <n v="8"/>
    <n v="25110"/>
    <n v="0.08"/>
    <n v="16730"/>
    <n v="200879.92"/>
    <n v="133840"/>
    <n v="67039.920000000013"/>
    <n v="0.33373131570343123"/>
  </r>
  <r>
    <s v="ORD-114792"/>
    <x v="317"/>
    <x v="1"/>
    <s v="January"/>
    <x v="2"/>
    <s v="Ujjain"/>
    <s v="Aditya Verma"/>
    <x v="2"/>
    <x v="4"/>
    <s v="Fitness Equipment"/>
    <s v="Resistance Bands"/>
    <x v="0"/>
    <s v="Delivered"/>
    <n v="31"/>
    <n v="999"/>
    <n v="0.15"/>
    <n v="540"/>
    <n v="30968.85"/>
    <n v="16740"/>
    <n v="14228.849999999999"/>
    <n v="0.45945684130989684"/>
  </r>
  <r>
    <s v="ORD-115242"/>
    <x v="318"/>
    <x v="1"/>
    <s v="January"/>
    <x v="3"/>
    <s v="Jaipur"/>
    <s v="Kartik Raman"/>
    <x v="2"/>
    <x v="2"/>
    <s v="Mobiles"/>
    <s v="Iphone 13"/>
    <x v="0"/>
    <s v="Delivered"/>
    <n v="28"/>
    <n v="52990"/>
    <n v="0.12"/>
    <n v="39500"/>
    <n v="1483719.88"/>
    <n v="1106000"/>
    <n v="377719.87999999989"/>
    <n v="0.25457627486935064"/>
  </r>
  <r>
    <s v="ORD-114794"/>
    <x v="319"/>
    <x v="1"/>
    <s v="January"/>
    <x v="2"/>
    <s v="Bhopal"/>
    <s v="Sourav Das"/>
    <x v="2"/>
    <x v="2"/>
    <s v="Mobiles"/>
    <s v="Oneplus Nord Ce 3"/>
    <x v="2"/>
    <s v="Cancelled"/>
    <n v="12"/>
    <n v="25999"/>
    <n v="0.12"/>
    <n v="17800"/>
    <n v="311987.88"/>
    <n v="213600"/>
    <n v="98387.88"/>
    <n v="0.31535801967691823"/>
  </r>
  <r>
    <s v="ORD-115141"/>
    <x v="319"/>
    <x v="1"/>
    <s v="January"/>
    <x v="4"/>
    <s v="Chennai"/>
    <s v="Neha Deshpande"/>
    <x v="2"/>
    <x v="1"/>
    <s v="Sofas"/>
    <s v="Single Seater Recliner"/>
    <x v="0"/>
    <s v="Cancelled"/>
    <n v="19"/>
    <n v="43500"/>
    <n v="0.08"/>
    <n v="29520"/>
    <n v="826499.92"/>
    <n v="560880"/>
    <n v="265619.92000000004"/>
    <n v="0.32137924465860812"/>
  </r>
  <r>
    <s v="ORD-115201"/>
    <x v="319"/>
    <x v="1"/>
    <s v="January"/>
    <x v="1"/>
    <s v="Surat"/>
    <s v="Simran Kaur"/>
    <x v="2"/>
    <x v="1"/>
    <s v="Tables"/>
    <s v="Office Work Table"/>
    <x v="2"/>
    <s v="Returned"/>
    <n v="23"/>
    <n v="12490"/>
    <n v="0.08"/>
    <n v="7900"/>
    <n v="287269.92"/>
    <n v="181700"/>
    <n v="105569.91999999998"/>
    <n v="0.36749381905352285"/>
  </r>
  <r>
    <s v="ORD-115262"/>
    <x v="319"/>
    <x v="1"/>
    <s v="January"/>
    <x v="1"/>
    <s v="Surat"/>
    <s v="Ritika Ghosh"/>
    <x v="0"/>
    <x v="1"/>
    <s v="Tables"/>
    <s v="Office Work Table"/>
    <x v="0"/>
    <s v="Returned"/>
    <n v="35"/>
    <n v="12490"/>
    <n v="0.18"/>
    <n v="7900"/>
    <n v="437149.82"/>
    <n v="276500"/>
    <n v="160649.82"/>
    <n v="0.3674937347566562"/>
  </r>
  <r>
    <s v="ORD-115489"/>
    <x v="319"/>
    <x v="1"/>
    <s v="January"/>
    <x v="3"/>
    <s v="Delhi"/>
    <s v="Ritika Ghosh"/>
    <x v="0"/>
    <x v="1"/>
    <s v="Sofas"/>
    <s v="3-Seater Sofa"/>
    <x v="0"/>
    <s v="Delivered"/>
    <n v="9"/>
    <n v="38990"/>
    <n v="0.05"/>
    <n v="25400"/>
    <n v="350909.95"/>
    <n v="228600"/>
    <n v="122309.95000000001"/>
    <n v="0.34855081766703966"/>
  </r>
  <r>
    <s v="ORD-114932"/>
    <x v="320"/>
    <x v="1"/>
    <s v="January"/>
    <x v="0"/>
    <s v="Ranchi"/>
    <s v="Neha Deshpande"/>
    <x v="2"/>
    <x v="4"/>
    <s v="Fitness Equipment"/>
    <s v="Dumbbell Set"/>
    <x v="1"/>
    <s v="Delivered"/>
    <n v="28"/>
    <n v="3499"/>
    <n v="0.12"/>
    <n v="2190"/>
    <n v="97971.88"/>
    <n v="61320"/>
    <n v="36651.880000000005"/>
    <n v="0.37410612106249264"/>
  </r>
  <r>
    <s v="ORD-115313"/>
    <x v="320"/>
    <x v="1"/>
    <s v="January"/>
    <x v="3"/>
    <s v="Jaipur"/>
    <s v="Aditya Verma"/>
    <x v="0"/>
    <x v="0"/>
    <s v="Apparel"/>
    <s v="Women'S Kurti"/>
    <x v="0"/>
    <s v="Delivered"/>
    <n v="2"/>
    <n v="1599"/>
    <n v="0.2"/>
    <n v="920"/>
    <n v="3197.8"/>
    <n v="1840"/>
    <n v="1357.8000000000002"/>
    <n v="0.42460441553568079"/>
  </r>
  <r>
    <s v="ORD-115341"/>
    <x v="320"/>
    <x v="1"/>
    <s v="January"/>
    <x v="3"/>
    <s v="Lucknow"/>
    <s v="Simran Kaur"/>
    <x v="0"/>
    <x v="4"/>
    <s v="Fitness Equipment"/>
    <s v="Dumbbell Set"/>
    <x v="0"/>
    <s v="Returned"/>
    <n v="28"/>
    <n v="3499"/>
    <n v="0.18"/>
    <n v="2190"/>
    <n v="97971.82"/>
    <n v="61320"/>
    <n v="36651.820000000007"/>
    <n v="0.37410573775193728"/>
  </r>
  <r>
    <s v="ORD-114777"/>
    <x v="321"/>
    <x v="1"/>
    <s v="January"/>
    <x v="0"/>
    <s v="Ranchi"/>
    <s v="Ritika Ghosh"/>
    <x v="2"/>
    <x v="4"/>
    <s v="Fitness Equipment"/>
    <s v="Resistance Bands"/>
    <x v="2"/>
    <s v="Returned"/>
    <n v="11"/>
    <n v="999"/>
    <n v="0.05"/>
    <n v="540"/>
    <n v="10988.95"/>
    <n v="5940"/>
    <n v="5048.9500000000007"/>
    <n v="0.45945699998634998"/>
  </r>
  <r>
    <s v="ORD-114905"/>
    <x v="321"/>
    <x v="1"/>
    <s v="January"/>
    <x v="1"/>
    <s v="Pune"/>
    <s v="Aditya Verma"/>
    <x v="1"/>
    <x v="3"/>
    <s v="Refrigerators"/>
    <s v="Whirlpool 265L Refrigerator"/>
    <x v="1"/>
    <s v="Delivered"/>
    <n v="28"/>
    <n v="27890"/>
    <n v="0.18"/>
    <n v="18800"/>
    <n v="780919.82"/>
    <n v="526400"/>
    <n v="254519.81999999995"/>
    <n v="0.32592311461629947"/>
  </r>
  <r>
    <s v="ORD-115104"/>
    <x v="322"/>
    <x v="1"/>
    <s v="January"/>
    <x v="4"/>
    <s v="Hyderabad"/>
    <s v="Anjali Mehta"/>
    <x v="2"/>
    <x v="1"/>
    <s v="Sofas"/>
    <s v="L-Shape Sofa"/>
    <x v="0"/>
    <s v="Cancelled"/>
    <n v="5"/>
    <n v="52990"/>
    <n v="0.05"/>
    <n v="35100"/>
    <n v="264949.95"/>
    <n v="175500"/>
    <n v="89449.950000000012"/>
    <n v="0.33761074497277699"/>
  </r>
  <r>
    <s v="ORD-115475"/>
    <x v="322"/>
    <x v="1"/>
    <s v="January"/>
    <x v="0"/>
    <s v="Ranchi"/>
    <s v="Sourav Das"/>
    <x v="0"/>
    <x v="3"/>
    <s v="Refrigerators"/>
    <s v="Whirlpool 265L Refrigerator"/>
    <x v="1"/>
    <s v="Delivered"/>
    <n v="2"/>
    <n v="27890"/>
    <n v="0.05"/>
    <n v="18800"/>
    <n v="55779.95"/>
    <n v="37600"/>
    <n v="18179.949999999997"/>
    <n v="0.32592266576072582"/>
  </r>
  <r>
    <s v="ORD-115039"/>
    <x v="323"/>
    <x v="1"/>
    <s v="January"/>
    <x v="1"/>
    <s v="Pune"/>
    <s v="Anjali Mehta"/>
    <x v="0"/>
    <x v="2"/>
    <s v="Laptops"/>
    <s v="Lenovo Ideapad 3"/>
    <x v="0"/>
    <s v="Returned"/>
    <n v="39"/>
    <n v="48990"/>
    <n v="0.2"/>
    <n v="30100"/>
    <n v="1910609.8"/>
    <n v="1173900"/>
    <n v="736709.8"/>
    <n v="0.38558883137729116"/>
  </r>
  <r>
    <s v="ORD-115389"/>
    <x v="324"/>
    <x v="1"/>
    <s v="January"/>
    <x v="3"/>
    <s v="Jaipur"/>
    <s v="Kartik Raman"/>
    <x v="2"/>
    <x v="2"/>
    <s v="Audio Devices"/>
    <s v="Sony Wh-Ch520"/>
    <x v="1"/>
    <s v="Returned"/>
    <n v="21"/>
    <n v="4490"/>
    <n v="0.1"/>
    <n v="2950"/>
    <n v="94289.9"/>
    <n v="61950"/>
    <n v="32339.899999999994"/>
    <n v="0.34298371299577152"/>
  </r>
  <r>
    <s v="ORD-114925"/>
    <x v="325"/>
    <x v="1"/>
    <s v="January"/>
    <x v="3"/>
    <s v="Chandigarh"/>
    <s v="Ritika Ghosh"/>
    <x v="1"/>
    <x v="4"/>
    <s v="Fitness Equipment"/>
    <s v="Yoga Mat"/>
    <x v="0"/>
    <s v="Cancelled"/>
    <n v="21"/>
    <n v="1299"/>
    <n v="0.05"/>
    <n v="720"/>
    <n v="27278.95"/>
    <n v="15120"/>
    <n v="12158.95"/>
    <n v="0.4457264667445045"/>
  </r>
  <r>
    <s v="ORD-114963"/>
    <x v="326"/>
    <x v="1"/>
    <s v="January"/>
    <x v="0"/>
    <s v="Ranchi"/>
    <s v="Rahul Singh"/>
    <x v="1"/>
    <x v="4"/>
    <s v="Fitness Equipment"/>
    <s v="Yoga Mat"/>
    <x v="1"/>
    <s v="Delivered"/>
    <n v="39"/>
    <n v="1299"/>
    <n v="0.05"/>
    <n v="720"/>
    <n v="50660.95"/>
    <n v="28080"/>
    <n v="22580.949999999997"/>
    <n v="0.44572693563780386"/>
  </r>
  <r>
    <s v="ORD-115100"/>
    <x v="326"/>
    <x v="1"/>
    <s v="January"/>
    <x v="3"/>
    <s v="Jaipur"/>
    <s v="Pooja Chouhan"/>
    <x v="2"/>
    <x v="1"/>
    <s v="Tables"/>
    <s v="Office Work Table"/>
    <x v="0"/>
    <s v="Returned"/>
    <n v="40"/>
    <n v="12490"/>
    <n v="0.12"/>
    <n v="7900"/>
    <n v="499599.88"/>
    <n v="316000"/>
    <n v="183599.88"/>
    <n v="0.36749384327314089"/>
  </r>
  <r>
    <s v="ORD-115117"/>
    <x v="326"/>
    <x v="1"/>
    <s v="January"/>
    <x v="3"/>
    <s v="Lucknow"/>
    <s v="Ritika Ghosh"/>
    <x v="0"/>
    <x v="4"/>
    <s v="Fitness Equipment"/>
    <s v="Resistance Bands"/>
    <x v="2"/>
    <s v="Delivered"/>
    <n v="18"/>
    <n v="999"/>
    <n v="0.18"/>
    <n v="540"/>
    <n v="17981.82"/>
    <n v="9720"/>
    <n v="8261.82"/>
    <n v="0.45945404858907496"/>
  </r>
  <r>
    <s v="ORD-115393"/>
    <x v="326"/>
    <x v="1"/>
    <s v="January"/>
    <x v="0"/>
    <s v="Ranchi"/>
    <s v="Sourav Das"/>
    <x v="0"/>
    <x v="3"/>
    <s v="Washing Machines"/>
    <s v="Ifb 7Kg Washing Machine"/>
    <x v="1"/>
    <s v="Cancelled"/>
    <n v="20"/>
    <n v="31990"/>
    <n v="0.08"/>
    <n v="21800"/>
    <n v="639799.92000000004"/>
    <n v="436000"/>
    <n v="203799.92000000004"/>
    <n v="0.31853695761637485"/>
  </r>
  <r>
    <s v="ORD-115449"/>
    <x v="326"/>
    <x v="1"/>
    <s v="January"/>
    <x v="4"/>
    <s v="Chennai"/>
    <s v="Pooja Chouhan"/>
    <x v="2"/>
    <x v="4"/>
    <s v="Fitness Equipment"/>
    <s v="Yoga Mat"/>
    <x v="0"/>
    <s v="Returned"/>
    <n v="15"/>
    <n v="1299"/>
    <n v="0.12"/>
    <n v="720"/>
    <n v="19484.88"/>
    <n v="10800"/>
    <n v="8684.880000000001"/>
    <n v="0.44572406912436724"/>
  </r>
  <r>
    <s v="ORD-115142"/>
    <x v="327"/>
    <x v="1"/>
    <s v="January"/>
    <x v="0"/>
    <s v="Bhubaneswar"/>
    <s v="Neha Deshpande"/>
    <x v="0"/>
    <x v="1"/>
    <s v="Sofas"/>
    <s v="3-Seater Sofa"/>
    <x v="0"/>
    <s v="Delivered"/>
    <n v="11"/>
    <n v="38990"/>
    <n v="0.1"/>
    <n v="25400"/>
    <n v="428889.9"/>
    <n v="279400"/>
    <n v="149489.90000000002"/>
    <n v="0.34855075859795254"/>
  </r>
  <r>
    <s v="ORD-115464"/>
    <x v="327"/>
    <x v="1"/>
    <s v="January"/>
    <x v="1"/>
    <s v="Surat"/>
    <s v="Pooja Chouhan"/>
    <x v="1"/>
    <x v="0"/>
    <s v="Apparel"/>
    <s v="Women'S Kurti"/>
    <x v="2"/>
    <s v="Delivered"/>
    <n v="1"/>
    <n v="1599"/>
    <n v="0.15"/>
    <n v="920"/>
    <n v="1598.85"/>
    <n v="920"/>
    <n v="678.84999999999991"/>
    <n v="0.42458642149044623"/>
  </r>
  <r>
    <s v="ORD-114790"/>
    <x v="328"/>
    <x v="1"/>
    <s v="January"/>
    <x v="1"/>
    <s v="Pune"/>
    <s v="Neha Deshpande"/>
    <x v="1"/>
    <x v="4"/>
    <s v="Fitness Equipment"/>
    <s v="Dumbbell Set"/>
    <x v="1"/>
    <s v="Cancelled"/>
    <n v="22"/>
    <n v="3499"/>
    <n v="0.15"/>
    <n v="2190"/>
    <n v="76977.850000000006"/>
    <n v="48180"/>
    <n v="28797.850000000006"/>
    <n v="0.37410566805905859"/>
  </r>
  <r>
    <s v="ORD-115054"/>
    <x v="329"/>
    <x v="1"/>
    <s v="January"/>
    <x v="1"/>
    <s v="Ahmedabad"/>
    <s v="Rahul Singh"/>
    <x v="0"/>
    <x v="1"/>
    <s v="Sofas"/>
    <s v="Single Seater Recliner"/>
    <x v="0"/>
    <s v="Delivered"/>
    <n v="32"/>
    <n v="43500"/>
    <n v="0.15"/>
    <n v="29520"/>
    <n v="1391999.85"/>
    <n v="944640"/>
    <n v="447359.85000000009"/>
    <n v="0.32137923721759026"/>
  </r>
  <r>
    <s v="ORD-115236"/>
    <x v="329"/>
    <x v="1"/>
    <s v="January"/>
    <x v="3"/>
    <s v="Chandigarh"/>
    <s v="Pooja Chouhan"/>
    <x v="0"/>
    <x v="4"/>
    <s v="Fitness Equipment"/>
    <s v="Yoga Mat"/>
    <x v="0"/>
    <s v="Pending"/>
    <n v="30"/>
    <n v="1299"/>
    <n v="0.12"/>
    <n v="720"/>
    <n v="38969.879999999997"/>
    <n v="21600"/>
    <n v="17369.879999999997"/>
    <n v="0.44572577590693119"/>
  </r>
  <r>
    <s v="ORD-115174"/>
    <x v="330"/>
    <x v="1"/>
    <s v="January"/>
    <x v="2"/>
    <s v="Ujjain"/>
    <s v="Pooja Chouhan"/>
    <x v="0"/>
    <x v="2"/>
    <s v="Audio Devices"/>
    <s v="Jbl Tune 510Bt"/>
    <x v="2"/>
    <s v="Pending"/>
    <n v="5"/>
    <n v="3299"/>
    <n v="0.18"/>
    <n v="2050"/>
    <n v="16494.82"/>
    <n v="10250"/>
    <n v="6244.82"/>
    <n v="0.37859279458642164"/>
  </r>
  <r>
    <s v="ORD-115277"/>
    <x v="331"/>
    <x v="1"/>
    <s v="January"/>
    <x v="0"/>
    <s v="Kolkata"/>
    <s v="Aditya Verma"/>
    <x v="1"/>
    <x v="3"/>
    <s v="Refrigerators"/>
    <s v="Whirlpool 265L Refrigerator"/>
    <x v="2"/>
    <s v="Cancelled"/>
    <n v="7"/>
    <n v="27890"/>
    <n v="0.15"/>
    <n v="18800"/>
    <n v="195229.85"/>
    <n v="131600"/>
    <n v="63629.850000000006"/>
    <n v="0.32592275207915183"/>
  </r>
  <r>
    <s v="ORD-115443"/>
    <x v="331"/>
    <x v="1"/>
    <s v="January"/>
    <x v="0"/>
    <s v="Ranchi"/>
    <s v="Imran Sheikh"/>
    <x v="0"/>
    <x v="1"/>
    <s v="Tables"/>
    <s v="Office Work Table"/>
    <x v="1"/>
    <s v="Delivered"/>
    <n v="2"/>
    <n v="12490"/>
    <n v="0.05"/>
    <n v="7900"/>
    <n v="24979.95"/>
    <n v="15800"/>
    <n v="9179.9500000000007"/>
    <n v="0.36749272916879339"/>
  </r>
  <r>
    <s v="ORD-114836"/>
    <x v="332"/>
    <x v="1"/>
    <s v="January"/>
    <x v="1"/>
    <s v="Pune"/>
    <s v="Pooja Chouhan"/>
    <x v="2"/>
    <x v="4"/>
    <s v="Fitness Equipment"/>
    <s v="Resistance Bands"/>
    <x v="2"/>
    <s v="Delivered"/>
    <n v="21"/>
    <n v="999"/>
    <n v="0.08"/>
    <n v="540"/>
    <n v="20978.92"/>
    <n v="11340"/>
    <n v="9638.9199999999983"/>
    <n v="0.45945739818827658"/>
  </r>
  <r>
    <s v="ORD-114992"/>
    <x v="332"/>
    <x v="1"/>
    <s v="January"/>
    <x v="3"/>
    <s v="Chandigarh"/>
    <s v="Ritika Ghosh"/>
    <x v="2"/>
    <x v="3"/>
    <s v="Washing Machines"/>
    <s v="Ifb 7Kg Washing Machine"/>
    <x v="1"/>
    <s v="Returned"/>
    <n v="28"/>
    <n v="31990"/>
    <n v="0.1"/>
    <n v="21800"/>
    <n v="895719.9"/>
    <n v="610400"/>
    <n v="285319.90000000002"/>
    <n v="0.31853696674596604"/>
  </r>
  <r>
    <s v="ORD-115223"/>
    <x v="332"/>
    <x v="1"/>
    <s v="January"/>
    <x v="3"/>
    <s v="Chandigarh"/>
    <s v="Kartik Raman"/>
    <x v="1"/>
    <x v="1"/>
    <s v="Tables"/>
    <s v="Office Work Table"/>
    <x v="1"/>
    <s v="Delivered"/>
    <n v="22"/>
    <n v="12490"/>
    <n v="0.2"/>
    <n v="7900"/>
    <n v="274779.8"/>
    <n v="173800"/>
    <n v="100979.79999999999"/>
    <n v="0.36749353482315655"/>
  </r>
  <r>
    <s v="ORD-115091"/>
    <x v="333"/>
    <x v="1"/>
    <s v="January"/>
    <x v="0"/>
    <s v="Kolkata"/>
    <s v="Sourav Das"/>
    <x v="1"/>
    <x v="0"/>
    <s v="Footwear"/>
    <s v="Adidas Sports Shoes"/>
    <x v="0"/>
    <s v="Cancelled"/>
    <n v="4"/>
    <n v="5999"/>
    <n v="0.05"/>
    <n v="3890"/>
    <n v="23995.95"/>
    <n v="15560"/>
    <n v="8435.9500000000007"/>
    <n v="0.35155724195124594"/>
  </r>
  <r>
    <s v="ORD-114796"/>
    <x v="334"/>
    <x v="1"/>
    <s v="January"/>
    <x v="0"/>
    <s v="Kolkata"/>
    <s v="Anjali Mehta"/>
    <x v="0"/>
    <x v="0"/>
    <s v="Footwear"/>
    <s v="Nike Running Shoes"/>
    <x v="0"/>
    <s v="Delivered"/>
    <n v="12"/>
    <n v="6499"/>
    <n v="0.05"/>
    <n v="4210"/>
    <n v="77987.95"/>
    <n v="50520"/>
    <n v="27467.949999999997"/>
    <n v="0.35220761668950135"/>
  </r>
  <r>
    <s v="ORD-115011"/>
    <x v="334"/>
    <x v="1"/>
    <s v="January"/>
    <x v="2"/>
    <s v="Bhopal"/>
    <s v="Neha Deshpande"/>
    <x v="1"/>
    <x v="0"/>
    <s v="Apparel"/>
    <s v="Women'S Kurti"/>
    <x v="0"/>
    <s v="Delivered"/>
    <n v="40"/>
    <n v="1599"/>
    <n v="0.18"/>
    <n v="920"/>
    <n v="63959.82"/>
    <n v="36800"/>
    <n v="27159.82"/>
    <n v="0.42463878103471836"/>
  </r>
  <r>
    <s v="ORD-115131"/>
    <x v="334"/>
    <x v="1"/>
    <s v="January"/>
    <x v="0"/>
    <s v="Bhubaneswar"/>
    <s v="Imran Sheikh"/>
    <x v="1"/>
    <x v="2"/>
    <s v="Mobiles"/>
    <s v="Iphone 13"/>
    <x v="0"/>
    <s v="Cancelled"/>
    <n v="28"/>
    <n v="52990"/>
    <n v="0.2"/>
    <n v="39500"/>
    <n v="1483719.8"/>
    <n v="1106000"/>
    <n v="377719.80000000005"/>
    <n v="0.25457623467719448"/>
  </r>
  <r>
    <s v="ORD-115115"/>
    <x v="335"/>
    <x v="1"/>
    <s v="January"/>
    <x v="2"/>
    <s v="Raipur"/>
    <s v="Rahul Singh"/>
    <x v="2"/>
    <x v="2"/>
    <s v="Laptops"/>
    <s v="Dell Inspiron 3511"/>
    <x v="2"/>
    <s v="Delivered"/>
    <n v="13"/>
    <n v="55230"/>
    <n v="0.1"/>
    <n v="33800"/>
    <n v="717989.9"/>
    <n v="439400"/>
    <n v="278589.90000000002"/>
    <n v="0.38801367540128351"/>
  </r>
  <r>
    <s v="ORD-115330"/>
    <x v="335"/>
    <x v="1"/>
    <s v="January"/>
    <x v="4"/>
    <s v="Hyderabad"/>
    <s v="Pooja Chouhan"/>
    <x v="1"/>
    <x v="1"/>
    <s v="Sofas"/>
    <s v="Single Seater Recliner"/>
    <x v="0"/>
    <s v="Pending"/>
    <n v="39"/>
    <n v="43500"/>
    <n v="0.05"/>
    <n v="29520"/>
    <n v="1696499.95"/>
    <n v="1151280"/>
    <n v="545219.94999999995"/>
    <n v="0.32137929034421719"/>
  </r>
  <r>
    <s v="ORD-115430"/>
    <x v="335"/>
    <x v="1"/>
    <s v="January"/>
    <x v="0"/>
    <s v="Bhubaneswar"/>
    <s v="Aditya Verma"/>
    <x v="1"/>
    <x v="0"/>
    <s v="Apparel"/>
    <s v="Women'S Kurti"/>
    <x v="2"/>
    <s v="Delivered"/>
    <n v="32"/>
    <n v="1599"/>
    <n v="0.18"/>
    <n v="920"/>
    <n v="51167.82"/>
    <n v="29440"/>
    <n v="21727.82"/>
    <n v="0.42463837622943484"/>
  </r>
  <r>
    <s v="ORD-114781"/>
    <x v="336"/>
    <x v="1"/>
    <s v="February"/>
    <x v="2"/>
    <s v="Indore"/>
    <s v="Neha Deshpande"/>
    <x v="0"/>
    <x v="2"/>
    <s v="Laptops"/>
    <s v="Lenovo Ideapad 3"/>
    <x v="2"/>
    <s v="Cancelled"/>
    <n v="6"/>
    <n v="48990"/>
    <n v="0.05"/>
    <n v="30100"/>
    <n v="293939.95"/>
    <n v="180600"/>
    <n v="113339.95000000001"/>
    <n v="0.38558879117996725"/>
  </r>
  <r>
    <s v="ORD-114909"/>
    <x v="336"/>
    <x v="1"/>
    <s v="February"/>
    <x v="4"/>
    <s v="Bengaluru"/>
    <s v="Imran Sheikh"/>
    <x v="0"/>
    <x v="3"/>
    <s v="Washing Machines"/>
    <s v="Lg 6.5Kg Washing Machine"/>
    <x v="0"/>
    <s v="Returned"/>
    <n v="1"/>
    <n v="29010"/>
    <n v="0.1"/>
    <n v="19150"/>
    <n v="29009.9"/>
    <n v="19150"/>
    <n v="9859.9000000000015"/>
    <n v="0.33988052354541037"/>
  </r>
  <r>
    <s v="ORD-115092"/>
    <x v="336"/>
    <x v="1"/>
    <s v="February"/>
    <x v="0"/>
    <s v="Kolkata"/>
    <s v="Neha Deshpande"/>
    <x v="2"/>
    <x v="2"/>
    <s v="Mobiles"/>
    <s v="Iphone 13"/>
    <x v="2"/>
    <s v="Returned"/>
    <n v="22"/>
    <n v="52990"/>
    <n v="0.2"/>
    <n v="39500"/>
    <n v="1165779.8"/>
    <n v="869000"/>
    <n v="296779.80000000005"/>
    <n v="0.2545762072734491"/>
  </r>
  <r>
    <s v="ORD-115419"/>
    <x v="336"/>
    <x v="1"/>
    <s v="February"/>
    <x v="4"/>
    <s v="Kochi"/>
    <s v="Imran Sheikh"/>
    <x v="2"/>
    <x v="3"/>
    <s v="Washing Machines"/>
    <s v="Lg 6.5Kg Washing Machine"/>
    <x v="0"/>
    <s v="Returned"/>
    <n v="38"/>
    <n v="29010"/>
    <n v="0.2"/>
    <n v="19150"/>
    <n v="1102379.8"/>
    <n v="727700"/>
    <n v="374679.80000000005"/>
    <n v="0.33988267927260646"/>
  </r>
  <r>
    <s v="ORD-115447"/>
    <x v="336"/>
    <x v="1"/>
    <s v="February"/>
    <x v="3"/>
    <s v="Lucknow"/>
    <s v="Neha Deshpande"/>
    <x v="0"/>
    <x v="2"/>
    <s v="Mobiles"/>
    <s v="Samsung Galaxy M34"/>
    <x v="1"/>
    <s v="Cancelled"/>
    <n v="26"/>
    <n v="22999"/>
    <n v="0.15"/>
    <n v="15100"/>
    <n v="597973.85"/>
    <n v="392600"/>
    <n v="205373.84999999998"/>
    <n v="0.34344955051128068"/>
  </r>
  <r>
    <s v="ORD-114765"/>
    <x v="337"/>
    <x v="1"/>
    <s v="February"/>
    <x v="2"/>
    <s v="Ujjain"/>
    <s v="Pooja Chouhan"/>
    <x v="0"/>
    <x v="1"/>
    <s v="Sofas"/>
    <s v="L-Shape Sofa"/>
    <x v="1"/>
    <s v="Delivered"/>
    <n v="33"/>
    <n v="52990"/>
    <n v="0.05"/>
    <n v="35100"/>
    <n v="1748669.95"/>
    <n v="1158300"/>
    <n v="590369.94999999995"/>
    <n v="0.33761085103566857"/>
  </r>
  <r>
    <s v="ORD-115359"/>
    <x v="337"/>
    <x v="1"/>
    <s v="February"/>
    <x v="2"/>
    <s v="Bhopal"/>
    <s v="Pooja Chouhan"/>
    <x v="2"/>
    <x v="2"/>
    <s v="Audio Devices"/>
    <s v="Jbl Tune 510Bt"/>
    <x v="0"/>
    <s v="Delivered"/>
    <n v="5"/>
    <n v="3299"/>
    <n v="0.15"/>
    <n v="2050"/>
    <n v="16494.849999999999"/>
    <n v="10250"/>
    <n v="6244.8499999999985"/>
    <n v="0.37859392477045861"/>
  </r>
  <r>
    <s v="ORD-115433"/>
    <x v="337"/>
    <x v="1"/>
    <s v="February"/>
    <x v="3"/>
    <s v="Chandigarh"/>
    <s v="Kartik Raman"/>
    <x v="0"/>
    <x v="1"/>
    <s v="Sofas"/>
    <s v="L-Shape Sofa"/>
    <x v="1"/>
    <s v="Delivered"/>
    <n v="37"/>
    <n v="52990"/>
    <n v="0.12"/>
    <n v="35100"/>
    <n v="1960629.88"/>
    <n v="1298700"/>
    <n v="661929.87999999989"/>
    <n v="0.33761082943405918"/>
  </r>
  <r>
    <s v="ORD-115282"/>
    <x v="338"/>
    <x v="1"/>
    <s v="February"/>
    <x v="1"/>
    <s v="Mumbai"/>
    <s v="Anjali Mehta"/>
    <x v="0"/>
    <x v="2"/>
    <s v="Mobiles"/>
    <s v="Iphone 13"/>
    <x v="2"/>
    <s v="Cancelled"/>
    <n v="11"/>
    <n v="52990"/>
    <n v="0.08"/>
    <n v="39500"/>
    <n v="582889.92000000004"/>
    <n v="434500"/>
    <n v="148389.92000000004"/>
    <n v="0.25457623285027819"/>
  </r>
  <r>
    <s v="ORD-115308"/>
    <x v="338"/>
    <x v="1"/>
    <s v="February"/>
    <x v="1"/>
    <s v="Mumbai"/>
    <s v="Pooja Chouhan"/>
    <x v="0"/>
    <x v="0"/>
    <s v="Apparel"/>
    <s v="Men'S Casual Shirt"/>
    <x v="2"/>
    <s v="Delivered"/>
    <n v="20"/>
    <n v="1899"/>
    <n v="0.2"/>
    <n v="1080"/>
    <n v="37979.800000000003"/>
    <n v="21600"/>
    <n v="16379.800000000003"/>
    <n v="0.4312766259959242"/>
  </r>
  <r>
    <s v="ORD-115402"/>
    <x v="338"/>
    <x v="1"/>
    <s v="February"/>
    <x v="3"/>
    <s v="Lucknow"/>
    <s v="Ritika Ghosh"/>
    <x v="0"/>
    <x v="1"/>
    <s v="Tables"/>
    <s v="Office Work Table"/>
    <x v="1"/>
    <s v="Delivered"/>
    <n v="20"/>
    <n v="12490"/>
    <n v="0.2"/>
    <n v="7900"/>
    <n v="249799.8"/>
    <n v="158000"/>
    <n v="91799.799999999988"/>
    <n v="0.36749348878581967"/>
  </r>
  <r>
    <s v="ORD-115424"/>
    <x v="338"/>
    <x v="1"/>
    <s v="February"/>
    <x v="3"/>
    <s v="Jaipur"/>
    <s v="Pooja Chouhan"/>
    <x v="2"/>
    <x v="2"/>
    <s v="Mobiles"/>
    <s v="Iphone 13"/>
    <x v="2"/>
    <s v="Returned"/>
    <n v="39"/>
    <n v="52990"/>
    <n v="0.18"/>
    <n v="39500"/>
    <n v="2066609.82"/>
    <n v="1540500"/>
    <n v="526109.82000000007"/>
    <n v="0.25457627023179441"/>
  </r>
  <r>
    <s v="ORD-115463"/>
    <x v="338"/>
    <x v="1"/>
    <s v="February"/>
    <x v="0"/>
    <s v="Bhubaneswar"/>
    <s v="Pooja Chouhan"/>
    <x v="2"/>
    <x v="4"/>
    <s v="Fitness Equipment"/>
    <s v="Yoga Mat"/>
    <x v="0"/>
    <s v="Returned"/>
    <n v="10"/>
    <n v="1299"/>
    <n v="0.08"/>
    <n v="720"/>
    <n v="12989.92"/>
    <n v="7200"/>
    <n v="5789.92"/>
    <n v="0.44572406912436718"/>
  </r>
  <r>
    <s v="ORD-114986"/>
    <x v="339"/>
    <x v="1"/>
    <s v="February"/>
    <x v="3"/>
    <s v="Delhi"/>
    <s v="Anjali Mehta"/>
    <x v="2"/>
    <x v="3"/>
    <s v="Washing Machines"/>
    <s v="Samsung 7Kg Washing Machine"/>
    <x v="2"/>
    <s v="Cancelled"/>
    <n v="31"/>
    <n v="32800"/>
    <n v="0.2"/>
    <n v="23100"/>
    <n v="1016799.8"/>
    <n v="716100"/>
    <n v="300699.80000000005"/>
    <n v="0.29573156879063117"/>
  </r>
  <r>
    <s v="ORD-115494"/>
    <x v="339"/>
    <x v="1"/>
    <s v="February"/>
    <x v="4"/>
    <s v="Bengaluru"/>
    <s v="Anjali Mehta"/>
    <x v="0"/>
    <x v="4"/>
    <s v="Fitness Equipment"/>
    <s v="Yoga Mat"/>
    <x v="0"/>
    <s v="Delivered"/>
    <n v="33"/>
    <n v="1299"/>
    <n v="0.08"/>
    <n v="720"/>
    <n v="42866.92"/>
    <n v="23760"/>
    <n v="19106.919999999998"/>
    <n v="0.44572644827293401"/>
  </r>
  <r>
    <s v="ORD-115063"/>
    <x v="340"/>
    <x v="1"/>
    <s v="February"/>
    <x v="3"/>
    <s v="Chandigarh"/>
    <s v="Aditya Verma"/>
    <x v="0"/>
    <x v="0"/>
    <s v="Apparel"/>
    <s v="Denim Jeans"/>
    <x v="0"/>
    <s v="Delivered"/>
    <n v="26"/>
    <n v="2499"/>
    <n v="0.08"/>
    <n v="1510"/>
    <n v="64973.919999999998"/>
    <n v="39260"/>
    <n v="25713.919999999998"/>
    <n v="0.39575755934073237"/>
  </r>
  <r>
    <s v="ORD-115111"/>
    <x v="341"/>
    <x v="1"/>
    <s v="February"/>
    <x v="4"/>
    <s v="Kochi"/>
    <s v="Kartik Raman"/>
    <x v="0"/>
    <x v="1"/>
    <s v="Tables"/>
    <s v="6-Seater Dining Table"/>
    <x v="2"/>
    <s v="Cancelled"/>
    <n v="25"/>
    <n v="25110"/>
    <n v="0.2"/>
    <n v="16730"/>
    <n v="627749.80000000005"/>
    <n v="418250"/>
    <n v="209499.80000000005"/>
    <n v="0.33373136877144371"/>
  </r>
  <r>
    <s v="ORD-115474"/>
    <x v="341"/>
    <x v="1"/>
    <s v="February"/>
    <x v="4"/>
    <s v="Kochi"/>
    <s v="Anjali Mehta"/>
    <x v="2"/>
    <x v="3"/>
    <s v="Refrigerators"/>
    <s v="Lg 260L Double Door"/>
    <x v="0"/>
    <s v="Delivered"/>
    <n v="32"/>
    <n v="29010"/>
    <n v="0.08"/>
    <n v="19100"/>
    <n v="928319.92"/>
    <n v="611200"/>
    <n v="317119.92000000004"/>
    <n v="0.34160628590195502"/>
  </r>
  <r>
    <s v="ORD-114830"/>
    <x v="342"/>
    <x v="1"/>
    <s v="February"/>
    <x v="4"/>
    <s v="Kochi"/>
    <s v="Neha Deshpande"/>
    <x v="2"/>
    <x v="0"/>
    <s v="Footwear"/>
    <s v="Adidas Sports Shoes"/>
    <x v="1"/>
    <s v="Delivered"/>
    <n v="24"/>
    <n v="5999"/>
    <n v="0.05"/>
    <n v="3890"/>
    <n v="143975.95000000001"/>
    <n v="93360"/>
    <n v="50615.950000000012"/>
    <n v="0.35155836790797357"/>
  </r>
  <r>
    <s v="ORD-115047"/>
    <x v="342"/>
    <x v="1"/>
    <s v="February"/>
    <x v="2"/>
    <s v="Bhopal"/>
    <s v="Sourav Das"/>
    <x v="1"/>
    <x v="2"/>
    <s v="Laptops"/>
    <s v="Dell Inspiron 3511"/>
    <x v="2"/>
    <s v="Delivered"/>
    <n v="23"/>
    <n v="55230"/>
    <n v="0.08"/>
    <n v="33800"/>
    <n v="1270289.9199999999"/>
    <n v="777400"/>
    <n v="492889.91999999993"/>
    <n v="0.38801372209581886"/>
  </r>
  <r>
    <s v="ORD-115106"/>
    <x v="342"/>
    <x v="1"/>
    <s v="February"/>
    <x v="3"/>
    <s v="Chandigarh"/>
    <s v="Sourav Das"/>
    <x v="0"/>
    <x v="2"/>
    <s v="Laptops"/>
    <s v="Lenovo Ideapad 3"/>
    <x v="2"/>
    <s v="Delivered"/>
    <n v="3"/>
    <n v="48990"/>
    <n v="0.2"/>
    <n v="30100"/>
    <n v="146969.79999999999"/>
    <n v="90300"/>
    <n v="56669.799999999988"/>
    <n v="0.385588059587752"/>
  </r>
  <r>
    <s v="ORD-115113"/>
    <x v="343"/>
    <x v="1"/>
    <s v="February"/>
    <x v="0"/>
    <s v="Kolkata"/>
    <s v="Aditya Verma"/>
    <x v="0"/>
    <x v="1"/>
    <s v="Sofas"/>
    <s v="L-Shape Sofa"/>
    <x v="2"/>
    <s v="Delivered"/>
    <n v="11"/>
    <n v="52990"/>
    <n v="0.1"/>
    <n v="35100"/>
    <n v="582889.9"/>
    <n v="386100"/>
    <n v="196789.90000000002"/>
    <n v="0.33761075633665982"/>
  </r>
  <r>
    <s v="ORD-115415"/>
    <x v="343"/>
    <x v="1"/>
    <s v="February"/>
    <x v="3"/>
    <s v="Chandigarh"/>
    <s v="Ritika Ghosh"/>
    <x v="1"/>
    <x v="1"/>
    <s v="Tables"/>
    <s v="6-Seater Dining Table"/>
    <x v="0"/>
    <s v="Delivered"/>
    <n v="6"/>
    <n v="25110"/>
    <n v="0.2"/>
    <n v="16730"/>
    <n v="150659.79999999999"/>
    <n v="100380"/>
    <n v="50279.799999999988"/>
    <n v="0.33373069657599436"/>
  </r>
  <r>
    <s v="ORD-114865"/>
    <x v="344"/>
    <x v="1"/>
    <s v="February"/>
    <x v="4"/>
    <s v="Chennai"/>
    <s v="Pooja Chouhan"/>
    <x v="2"/>
    <x v="2"/>
    <s v="Laptops"/>
    <s v="Dell Inspiron 3511"/>
    <x v="1"/>
    <s v="Pending"/>
    <n v="26"/>
    <n v="55230"/>
    <n v="0.08"/>
    <n v="33800"/>
    <n v="1435979.92"/>
    <n v="878800"/>
    <n v="557179.91999999993"/>
    <n v="0.3880137265429171"/>
  </r>
  <r>
    <s v="ORD-114993"/>
    <x v="344"/>
    <x v="1"/>
    <s v="February"/>
    <x v="3"/>
    <s v="Delhi"/>
    <s v="Simran Kaur"/>
    <x v="2"/>
    <x v="3"/>
    <s v="Kitchen Appliances"/>
    <s v="Prestige Mixer Grinder"/>
    <x v="2"/>
    <s v="Delivered"/>
    <n v="6"/>
    <n v="4680"/>
    <n v="0.08"/>
    <n v="3250"/>
    <n v="28079.919999999998"/>
    <n v="19500"/>
    <n v="8579.9199999999983"/>
    <n v="0.30555357707571812"/>
  </r>
  <r>
    <s v="ORD-115060"/>
    <x v="344"/>
    <x v="1"/>
    <s v="February"/>
    <x v="1"/>
    <s v="Pune"/>
    <s v="Ritika Ghosh"/>
    <x v="0"/>
    <x v="1"/>
    <s v="Tables"/>
    <s v="Study Table"/>
    <x v="0"/>
    <s v="Delivered"/>
    <n v="14"/>
    <n v="6999"/>
    <n v="0.18"/>
    <n v="4320"/>
    <n v="97985.82"/>
    <n v="60480"/>
    <n v="37505.820000000007"/>
    <n v="0.38276783314157092"/>
  </r>
  <r>
    <s v="ORD-115140"/>
    <x v="344"/>
    <x v="1"/>
    <s v="February"/>
    <x v="2"/>
    <s v="Ujjain"/>
    <s v="Imran Sheikh"/>
    <x v="1"/>
    <x v="1"/>
    <s v="Tables"/>
    <s v="6-Seater Dining Table"/>
    <x v="0"/>
    <s v="Cancelled"/>
    <n v="8"/>
    <n v="25110"/>
    <n v="0.15"/>
    <n v="16730"/>
    <n v="200879.85"/>
    <n v="133840"/>
    <n v="67039.850000000006"/>
    <n v="0.33373108353077724"/>
  </r>
  <r>
    <s v="ORD-114880"/>
    <x v="345"/>
    <x v="1"/>
    <s v="February"/>
    <x v="3"/>
    <s v="Chandigarh"/>
    <s v="Aditya Verma"/>
    <x v="1"/>
    <x v="2"/>
    <s v="Laptops"/>
    <s v="Lenovo Ideapad 3"/>
    <x v="0"/>
    <s v="Delivered"/>
    <n v="16"/>
    <n v="48990"/>
    <n v="0.15"/>
    <n v="30100"/>
    <n v="783839.85"/>
    <n v="481600"/>
    <n v="302239.84999999998"/>
    <n v="0.38558877811583575"/>
  </r>
  <r>
    <s v="ORD-115274"/>
    <x v="345"/>
    <x v="1"/>
    <s v="February"/>
    <x v="3"/>
    <s v="Jaipur"/>
    <s v="Ritika Ghosh"/>
    <x v="0"/>
    <x v="4"/>
    <s v="Fitness Equipment"/>
    <s v="Dumbbell Set"/>
    <x v="0"/>
    <s v="Pending"/>
    <n v="35"/>
    <n v="3499"/>
    <n v="0.2"/>
    <n v="2190"/>
    <n v="122464.8"/>
    <n v="76650"/>
    <n v="45814.8"/>
    <n v="0.37410586552217456"/>
  </r>
  <r>
    <s v="ORD-114902"/>
    <x v="346"/>
    <x v="1"/>
    <s v="February"/>
    <x v="0"/>
    <s v="Kolkata"/>
    <s v="Neha Deshpande"/>
    <x v="2"/>
    <x v="0"/>
    <s v="Footwear"/>
    <s v="Puma Sneakers"/>
    <x v="2"/>
    <s v="Cancelled"/>
    <n v="40"/>
    <n v="4499"/>
    <n v="0.2"/>
    <n v="2910"/>
    <n v="179959.8"/>
    <n v="116400"/>
    <n v="63559.799999999988"/>
    <n v="0.3531888788496097"/>
  </r>
  <r>
    <s v="ORD-115212"/>
    <x v="346"/>
    <x v="1"/>
    <s v="February"/>
    <x v="3"/>
    <s v="Chandigarh"/>
    <s v="Neha Deshpande"/>
    <x v="2"/>
    <x v="2"/>
    <s v="Laptops"/>
    <s v="Hp 15S"/>
    <x v="1"/>
    <s v="Returned"/>
    <n v="24"/>
    <n v="48500"/>
    <n v="0.12"/>
    <n v="30200"/>
    <n v="1163999.8799999999"/>
    <n v="724800"/>
    <n v="439199.87999999989"/>
    <n v="0.37731952343500236"/>
  </r>
  <r>
    <s v="ORD-114954"/>
    <x v="347"/>
    <x v="1"/>
    <s v="February"/>
    <x v="4"/>
    <s v="Bengaluru"/>
    <s v="Neha Deshpande"/>
    <x v="0"/>
    <x v="4"/>
    <s v="Fitness Equipment"/>
    <s v="Dumbbell Set"/>
    <x v="2"/>
    <s v="Delivered"/>
    <n v="19"/>
    <n v="3499"/>
    <n v="0.12"/>
    <n v="2190"/>
    <n v="66480.88"/>
    <n v="41610"/>
    <n v="24870.880000000005"/>
    <n v="0.37410575792618872"/>
  </r>
  <r>
    <s v="ORD-114847"/>
    <x v="348"/>
    <x v="1"/>
    <s v="February"/>
    <x v="4"/>
    <s v="Chennai"/>
    <s v="Aditya Verma"/>
    <x v="0"/>
    <x v="3"/>
    <s v="Refrigerators"/>
    <s v="Whirlpool 265L Refrigerator"/>
    <x v="0"/>
    <s v="Cancelled"/>
    <n v="30"/>
    <n v="27890"/>
    <n v="0.1"/>
    <n v="18800"/>
    <n v="836699.9"/>
    <n v="564000"/>
    <n v="272699.90000000002"/>
    <n v="0.32592318942550369"/>
  </r>
  <r>
    <s v="ORD-115128"/>
    <x v="348"/>
    <x v="1"/>
    <s v="February"/>
    <x v="1"/>
    <s v="Mumbai"/>
    <s v="Pooja Chouhan"/>
    <x v="0"/>
    <x v="2"/>
    <s v="Mobiles"/>
    <s v="Samsung Galaxy M34"/>
    <x v="0"/>
    <s v="Cancelled"/>
    <n v="20"/>
    <n v="22999"/>
    <n v="0.2"/>
    <n v="15100"/>
    <n v="459979.8"/>
    <n v="302000"/>
    <n v="157979.79999999999"/>
    <n v="0.34344942973582754"/>
  </r>
  <r>
    <s v="ORD-115239"/>
    <x v="348"/>
    <x v="1"/>
    <s v="February"/>
    <x v="0"/>
    <s v="Kolkata"/>
    <s v="Imran Sheikh"/>
    <x v="1"/>
    <x v="1"/>
    <s v="Tables"/>
    <s v="Office Work Table"/>
    <x v="0"/>
    <s v="Cancelled"/>
    <n v="16"/>
    <n v="12490"/>
    <n v="0.08"/>
    <n v="7900"/>
    <n v="199839.92"/>
    <n v="126400"/>
    <n v="73439.920000000013"/>
    <n v="0.3674937419910897"/>
  </r>
  <r>
    <s v="ORD-115007"/>
    <x v="349"/>
    <x v="1"/>
    <s v="February"/>
    <x v="2"/>
    <s v="Ujjain"/>
    <s v="Anjali Mehta"/>
    <x v="2"/>
    <x v="0"/>
    <s v="Footwear"/>
    <s v="Nike Running Shoes"/>
    <x v="1"/>
    <s v="Delivered"/>
    <n v="36"/>
    <n v="6499"/>
    <n v="0.2"/>
    <n v="4210"/>
    <n v="233963.8"/>
    <n v="151560"/>
    <n v="82403.799999999988"/>
    <n v="0.35220747825090887"/>
  </r>
  <r>
    <s v="ORD-114891"/>
    <x v="350"/>
    <x v="1"/>
    <s v="February"/>
    <x v="4"/>
    <s v="Kochi"/>
    <s v="Rahul Singh"/>
    <x v="2"/>
    <x v="1"/>
    <s v="Sofas"/>
    <s v="L-Shape Sofa"/>
    <x v="2"/>
    <s v="Returned"/>
    <n v="27"/>
    <n v="52990"/>
    <n v="0.2"/>
    <n v="35100"/>
    <n v="1430729.8"/>
    <n v="947700"/>
    <n v="483029.80000000005"/>
    <n v="0.33761077738088635"/>
  </r>
  <r>
    <s v="ORD-115417"/>
    <x v="351"/>
    <x v="1"/>
    <s v="February"/>
    <x v="3"/>
    <s v="Delhi"/>
    <s v="Pooja Chouhan"/>
    <x v="2"/>
    <x v="3"/>
    <s v="Kitchen Appliances"/>
    <s v="Bajaj Otg"/>
    <x v="1"/>
    <s v="Delivered"/>
    <n v="6"/>
    <n v="5890"/>
    <n v="0.18"/>
    <n v="3980"/>
    <n v="35339.82"/>
    <n v="23880"/>
    <n v="11459.82"/>
    <n v="0.32427499630728168"/>
  </r>
  <r>
    <s v="ORD-114818"/>
    <x v="352"/>
    <x v="1"/>
    <s v="February"/>
    <x v="4"/>
    <s v="Hyderabad"/>
    <s v="Pooja Chouhan"/>
    <x v="0"/>
    <x v="4"/>
    <s v="Fitness Equipment"/>
    <s v="Yoga Mat"/>
    <x v="0"/>
    <s v="Pending"/>
    <n v="29"/>
    <n v="1299"/>
    <n v="0.2"/>
    <n v="720"/>
    <n v="37670.800000000003"/>
    <n v="20880"/>
    <n v="16790.800000000003"/>
    <n v="0.44572453996198652"/>
  </r>
  <r>
    <s v="ORD-115053"/>
    <x v="352"/>
    <x v="1"/>
    <s v="February"/>
    <x v="0"/>
    <s v="Ranchi"/>
    <s v="Sourav Das"/>
    <x v="1"/>
    <x v="4"/>
    <s v="Fitness Equipment"/>
    <s v="Dumbbell Set"/>
    <x v="0"/>
    <s v="Delivered"/>
    <n v="5"/>
    <n v="3499"/>
    <n v="0.12"/>
    <n v="2190"/>
    <n v="17494.88"/>
    <n v="10950"/>
    <n v="6544.880000000001"/>
    <n v="0.3741025945876737"/>
  </r>
  <r>
    <s v="ORD-114928"/>
    <x v="353"/>
    <x v="1"/>
    <s v="February"/>
    <x v="1"/>
    <s v="Pune"/>
    <s v="Imran Sheikh"/>
    <x v="0"/>
    <x v="1"/>
    <s v="Sofas"/>
    <s v="L-Shape Sofa"/>
    <x v="0"/>
    <s v="Pending"/>
    <n v="14"/>
    <n v="52990"/>
    <n v="0.18"/>
    <n v="35100"/>
    <n v="741859.82"/>
    <n v="491400"/>
    <n v="250459.81999999995"/>
    <n v="0.33761070925771391"/>
  </r>
  <r>
    <s v="ORD-115032"/>
    <x v="353"/>
    <x v="1"/>
    <s v="February"/>
    <x v="1"/>
    <s v="Pune"/>
    <s v="Sourav Das"/>
    <x v="2"/>
    <x v="3"/>
    <s v="Washing Machines"/>
    <s v="Lg 6.5Kg Washing Machine"/>
    <x v="0"/>
    <s v="Delivered"/>
    <n v="28"/>
    <n v="29010"/>
    <n v="0.08"/>
    <n v="19150"/>
    <n v="812279.92"/>
    <n v="536200"/>
    <n v="276079.92000000004"/>
    <n v="0.33988273402105029"/>
  </r>
  <r>
    <s v="ORD-115255"/>
    <x v="353"/>
    <x v="1"/>
    <s v="February"/>
    <x v="4"/>
    <s v="Chennai"/>
    <s v="Sourav Das"/>
    <x v="0"/>
    <x v="2"/>
    <s v="Audio Devices"/>
    <s v="Jbl Tune 510Bt"/>
    <x v="2"/>
    <s v="Returned"/>
    <n v="12"/>
    <n v="3299"/>
    <n v="0.18"/>
    <n v="2050"/>
    <n v="39587.82"/>
    <n v="24600"/>
    <n v="14987.82"/>
    <n v="0.37859675021256539"/>
  </r>
  <r>
    <s v="ORD-115375"/>
    <x v="353"/>
    <x v="1"/>
    <s v="February"/>
    <x v="2"/>
    <s v="Ujjain"/>
    <s v="Sourav Das"/>
    <x v="2"/>
    <x v="4"/>
    <s v="Fitness Equipment"/>
    <s v="Resistance Bands"/>
    <x v="2"/>
    <s v="Returned"/>
    <n v="3"/>
    <n v="999"/>
    <n v="0.08"/>
    <n v="540"/>
    <n v="2996.92"/>
    <n v="1620"/>
    <n v="1376.92"/>
    <n v="0.45944503023103722"/>
  </r>
  <r>
    <s v="ORD-114799"/>
    <x v="354"/>
    <x v="1"/>
    <s v="February"/>
    <x v="1"/>
    <s v="Mumbai"/>
    <s v="Simran Kaur"/>
    <x v="1"/>
    <x v="0"/>
    <s v="Footwear"/>
    <s v="Nike Running Shoes"/>
    <x v="2"/>
    <s v="Pending"/>
    <n v="38"/>
    <n v="6499"/>
    <n v="0.18"/>
    <n v="4210"/>
    <n v="246961.82"/>
    <n v="159980"/>
    <n v="86981.82"/>
    <n v="0.35220755985682323"/>
  </r>
  <r>
    <s v="ORD-115037"/>
    <x v="354"/>
    <x v="1"/>
    <s v="February"/>
    <x v="3"/>
    <s v="Chandigarh"/>
    <s v="Rahul Singh"/>
    <x v="0"/>
    <x v="3"/>
    <s v="Kitchen Appliances"/>
    <s v="Prestige Mixer Grinder"/>
    <x v="2"/>
    <s v="Delivered"/>
    <n v="14"/>
    <n v="4680"/>
    <n v="0.12"/>
    <n v="3250"/>
    <n v="65519.88"/>
    <n v="45500"/>
    <n v="20019.879999999997"/>
    <n v="0.3055542836769542"/>
  </r>
  <r>
    <s v="ORD-115163"/>
    <x v="354"/>
    <x v="1"/>
    <s v="February"/>
    <x v="2"/>
    <s v="Bhopal"/>
    <s v="Rahul Singh"/>
    <x v="0"/>
    <x v="4"/>
    <s v="Fitness Equipment"/>
    <s v="Resistance Bands"/>
    <x v="0"/>
    <s v="Delivered"/>
    <n v="3"/>
    <n v="999"/>
    <n v="0.12"/>
    <n v="540"/>
    <n v="2996.88"/>
    <n v="1620"/>
    <n v="1376.88"/>
    <n v="0.45943781532794109"/>
  </r>
  <r>
    <s v="ORD-115302"/>
    <x v="354"/>
    <x v="1"/>
    <s v="February"/>
    <x v="2"/>
    <s v="Raipur"/>
    <s v="Aditya Verma"/>
    <x v="2"/>
    <x v="1"/>
    <s v="Tables"/>
    <s v="6-Seater Dining Table"/>
    <x v="1"/>
    <s v="Delivered"/>
    <n v="20"/>
    <n v="25110"/>
    <n v="0.08"/>
    <n v="16730"/>
    <n v="502199.92"/>
    <n v="334600"/>
    <n v="167599.91999999998"/>
    <n v="0.3337314749074432"/>
  </r>
  <r>
    <s v="ORD-114828"/>
    <x v="355"/>
    <x v="1"/>
    <s v="February"/>
    <x v="1"/>
    <s v="Surat"/>
    <s v="Imran Sheikh"/>
    <x v="2"/>
    <x v="1"/>
    <s v="Sofas"/>
    <s v="L-Shape Sofa"/>
    <x v="2"/>
    <s v="Cancelled"/>
    <n v="22"/>
    <n v="52990"/>
    <n v="0.08"/>
    <n v="35100"/>
    <n v="1165779.92"/>
    <n v="772200"/>
    <n v="393579.91999999993"/>
    <n v="0.33761082451994878"/>
  </r>
  <r>
    <s v="ORD-115061"/>
    <x v="355"/>
    <x v="1"/>
    <s v="February"/>
    <x v="3"/>
    <s v="Jaipur"/>
    <s v="Pooja Chouhan"/>
    <x v="1"/>
    <x v="2"/>
    <s v="Audio Devices"/>
    <s v="Boat Airdopes 131"/>
    <x v="2"/>
    <s v="Cancelled"/>
    <n v="13"/>
    <n v="1930"/>
    <n v="0.12"/>
    <n v="1120"/>
    <n v="25089.88"/>
    <n v="14560"/>
    <n v="10529.880000000001"/>
    <n v="0.41968634365728336"/>
  </r>
  <r>
    <s v="ORD-115318"/>
    <x v="355"/>
    <x v="1"/>
    <s v="February"/>
    <x v="2"/>
    <s v="Indore"/>
    <s v="Anjali Mehta"/>
    <x v="1"/>
    <x v="2"/>
    <s v="Audio Devices"/>
    <s v="Boat Airdopes 131"/>
    <x v="0"/>
    <s v="Cancelled"/>
    <n v="19"/>
    <n v="1930"/>
    <n v="0.15"/>
    <n v="1120"/>
    <n v="36669.85"/>
    <n v="21280"/>
    <n v="15389.849999999999"/>
    <n v="0.41968674537801487"/>
  </r>
  <r>
    <s v="ORD-115158"/>
    <x v="356"/>
    <x v="1"/>
    <s v="February"/>
    <x v="4"/>
    <s v="Bengaluru"/>
    <s v="Rahul Singh"/>
    <x v="0"/>
    <x v="0"/>
    <s v="Apparel"/>
    <s v="Men'S Casual Shirt"/>
    <x v="1"/>
    <s v="Delivered"/>
    <n v="17"/>
    <n v="1899"/>
    <n v="0.15"/>
    <n v="1080"/>
    <n v="32282.85"/>
    <n v="18360"/>
    <n v="13922.849999999999"/>
    <n v="0.43127697833369727"/>
  </r>
  <r>
    <s v="ORD-115473"/>
    <x v="356"/>
    <x v="1"/>
    <s v="February"/>
    <x v="0"/>
    <s v="Bhubaneswar"/>
    <s v="Kartik Raman"/>
    <x v="0"/>
    <x v="4"/>
    <s v="Fitness Equipment"/>
    <s v="Yoga Mat"/>
    <x v="0"/>
    <s v="Delivered"/>
    <n v="27"/>
    <n v="1299"/>
    <n v="0.18"/>
    <n v="720"/>
    <n v="35072.82"/>
    <n v="19440"/>
    <n v="15632.82"/>
    <n v="0.44572463805305645"/>
  </r>
  <r>
    <s v="ORD-115383"/>
    <x v="357"/>
    <x v="1"/>
    <s v="February"/>
    <x v="1"/>
    <s v="Pune"/>
    <s v="Ritika Ghosh"/>
    <x v="2"/>
    <x v="0"/>
    <s v="Footwear"/>
    <s v="Nike Running Shoes"/>
    <x v="0"/>
    <s v="Delivered"/>
    <n v="31"/>
    <n v="6499"/>
    <n v="0.12"/>
    <n v="4210"/>
    <n v="201468.88"/>
    <n v="130510"/>
    <n v="70958.880000000005"/>
    <n v="0.35220764616351669"/>
  </r>
  <r>
    <s v="ORD-114767"/>
    <x v="358"/>
    <x v="1"/>
    <s v="February"/>
    <x v="3"/>
    <s v="Lucknow"/>
    <s v="Anjali Mehta"/>
    <x v="2"/>
    <x v="4"/>
    <s v="Fitness Equipment"/>
    <s v="Resistance Bands"/>
    <x v="1"/>
    <s v="Cancelled"/>
    <n v="30"/>
    <n v="999"/>
    <n v="0.2"/>
    <n v="540"/>
    <n v="29969.8"/>
    <n v="16200"/>
    <n v="13769.8"/>
    <n v="0.45945585222457275"/>
  </r>
  <r>
    <s v="ORD-114854"/>
    <x v="358"/>
    <x v="1"/>
    <s v="February"/>
    <x v="2"/>
    <s v="Ujjain"/>
    <s v="Simran Kaur"/>
    <x v="1"/>
    <x v="1"/>
    <s v="Tables"/>
    <s v="6-Seater Dining Table"/>
    <x v="2"/>
    <s v="Cancelled"/>
    <n v="26"/>
    <n v="25110"/>
    <n v="0.08"/>
    <n v="16730"/>
    <n v="652859.92000000004"/>
    <n v="434980"/>
    <n v="217879.92000000004"/>
    <n v="0.33373149940036145"/>
  </r>
  <r>
    <s v="ORD-114990"/>
    <x v="358"/>
    <x v="1"/>
    <s v="February"/>
    <x v="4"/>
    <s v="Bengaluru"/>
    <s v="Aditya Verma"/>
    <x v="0"/>
    <x v="2"/>
    <s v="Laptops"/>
    <s v="Hp 15S"/>
    <x v="2"/>
    <s v="Pending"/>
    <n v="31"/>
    <n v="48500"/>
    <n v="0.08"/>
    <n v="30200"/>
    <n v="1503499.92"/>
    <n v="936200"/>
    <n v="567299.91999999993"/>
    <n v="0.37731955449655091"/>
  </r>
  <r>
    <s v="ORD-115114"/>
    <x v="358"/>
    <x v="1"/>
    <s v="February"/>
    <x v="2"/>
    <s v="Indore"/>
    <s v="Kartik Raman"/>
    <x v="2"/>
    <x v="4"/>
    <s v="Fitness Equipment"/>
    <s v="Dumbbell Set"/>
    <x v="0"/>
    <s v="Delivered"/>
    <n v="35"/>
    <n v="3499"/>
    <n v="0.18"/>
    <n v="2190"/>
    <n v="122464.82"/>
    <n v="76650"/>
    <n v="45814.820000000007"/>
    <n v="0.37410596773832683"/>
  </r>
  <r>
    <s v="ORD-115260"/>
    <x v="358"/>
    <x v="1"/>
    <s v="February"/>
    <x v="1"/>
    <s v="Surat"/>
    <s v="Aditya Verma"/>
    <x v="2"/>
    <x v="4"/>
    <s v="Fitness Equipment"/>
    <s v="Yoga Mat"/>
    <x v="1"/>
    <s v="Cancelled"/>
    <n v="33"/>
    <n v="1299"/>
    <n v="0.18"/>
    <n v="720"/>
    <n v="42866.82"/>
    <n v="23760"/>
    <n v="19106.82"/>
    <n v="0.44572515525994227"/>
  </r>
  <r>
    <s v="ORD-115484"/>
    <x v="358"/>
    <x v="1"/>
    <s v="February"/>
    <x v="3"/>
    <s v="Jaipur"/>
    <s v="Anjali Mehta"/>
    <x v="0"/>
    <x v="1"/>
    <s v="Tables"/>
    <s v="6-Seater Dining Table"/>
    <x v="2"/>
    <s v="Pending"/>
    <n v="22"/>
    <n v="25110"/>
    <n v="0.12"/>
    <n v="16730"/>
    <n v="552419.88"/>
    <n v="368060"/>
    <n v="184359.88"/>
    <n v="0.33373143631253821"/>
  </r>
  <r>
    <s v="ORD-114944"/>
    <x v="359"/>
    <x v="1"/>
    <s v="February"/>
    <x v="3"/>
    <s v="Lucknow"/>
    <s v="Anjali Mehta"/>
    <x v="2"/>
    <x v="1"/>
    <s v="Tables"/>
    <s v="Study Table"/>
    <x v="2"/>
    <s v="Cancelled"/>
    <n v="11"/>
    <n v="6999"/>
    <n v="0.1"/>
    <n v="4320"/>
    <n v="76988.899999999994"/>
    <n v="47520"/>
    <n v="29468.899999999994"/>
    <n v="0.38276816528096902"/>
  </r>
  <r>
    <s v="ORD-114961"/>
    <x v="359"/>
    <x v="1"/>
    <s v="February"/>
    <x v="1"/>
    <s v="Ahmedabad"/>
    <s v="Imran Sheikh"/>
    <x v="1"/>
    <x v="0"/>
    <s v="Footwear"/>
    <s v="Adidas Sports Shoes"/>
    <x v="2"/>
    <s v="Delivered"/>
    <n v="22"/>
    <n v="5999"/>
    <n v="0.1"/>
    <n v="3890"/>
    <n v="131977.9"/>
    <n v="85580"/>
    <n v="46397.899999999994"/>
    <n v="0.35155810177309987"/>
  </r>
  <r>
    <s v="ORD-115168"/>
    <x v="359"/>
    <x v="1"/>
    <s v="February"/>
    <x v="0"/>
    <s v="Patna"/>
    <s v="Simran Kaur"/>
    <x v="2"/>
    <x v="0"/>
    <s v="Apparel"/>
    <s v="Denim Jeans"/>
    <x v="2"/>
    <s v="Delivered"/>
    <n v="7"/>
    <n v="2499"/>
    <n v="0.08"/>
    <n v="1510"/>
    <n v="17492.919999999998"/>
    <n v="10570"/>
    <n v="6922.9199999999983"/>
    <n v="0.39575553995559343"/>
  </r>
  <r>
    <s v="ORD-115307"/>
    <x v="359"/>
    <x v="1"/>
    <s v="February"/>
    <x v="0"/>
    <s v="Bhubaneswar"/>
    <s v="Sourav Das"/>
    <x v="1"/>
    <x v="3"/>
    <s v="Kitchen Appliances"/>
    <s v="Bajaj Otg"/>
    <x v="2"/>
    <s v="Cancelled"/>
    <n v="17"/>
    <n v="5890"/>
    <n v="0.15"/>
    <n v="3980"/>
    <n v="100129.85"/>
    <n v="67660"/>
    <n v="32469.850000000006"/>
    <n v="0.32427742576264723"/>
  </r>
  <r>
    <s v="ORD-115068"/>
    <x v="360"/>
    <x v="1"/>
    <s v="February"/>
    <x v="2"/>
    <s v="Raipur"/>
    <s v="Kartik Raman"/>
    <x v="0"/>
    <x v="2"/>
    <s v="Audio Devices"/>
    <s v="Boat Airdopes 131"/>
    <x v="0"/>
    <s v="Delivered"/>
    <n v="8"/>
    <n v="1930"/>
    <n v="0.08"/>
    <n v="1120"/>
    <n v="15439.92"/>
    <n v="8960"/>
    <n v="6479.92"/>
    <n v="0.41968611236327652"/>
  </r>
  <r>
    <s v="ORD-114760"/>
    <x v="361"/>
    <x v="1"/>
    <s v="March"/>
    <x v="4"/>
    <s v="Bengaluru"/>
    <s v="Kartik Raman"/>
    <x v="1"/>
    <x v="0"/>
    <s v="Apparel"/>
    <s v="Denim Jeans"/>
    <x v="1"/>
    <s v="Delivered"/>
    <n v="27"/>
    <n v="2499"/>
    <n v="0.12"/>
    <n v="1510"/>
    <n v="67472.88"/>
    <n v="40770"/>
    <n v="26702.880000000005"/>
    <n v="0.39575722868210167"/>
  </r>
  <r>
    <s v="ORD-114904"/>
    <x v="361"/>
    <x v="1"/>
    <s v="March"/>
    <x v="2"/>
    <s v="Ujjain"/>
    <s v="Anjali Mehta"/>
    <x v="0"/>
    <x v="2"/>
    <s v="Mobiles"/>
    <s v="Iphone 13"/>
    <x v="0"/>
    <s v="Cancelled"/>
    <n v="11"/>
    <n v="52990"/>
    <n v="0.12"/>
    <n v="39500"/>
    <n v="582889.88"/>
    <n v="434500"/>
    <n v="148389.88"/>
    <n v="0.25457618169661822"/>
  </r>
  <r>
    <s v="ORD-115472"/>
    <x v="361"/>
    <x v="1"/>
    <s v="March"/>
    <x v="3"/>
    <s v="Delhi"/>
    <s v="Imran Sheikh"/>
    <x v="1"/>
    <x v="1"/>
    <s v="Tables"/>
    <s v="Office Work Table"/>
    <x v="1"/>
    <s v="Returned"/>
    <n v="22"/>
    <n v="12490"/>
    <n v="0.12"/>
    <n v="7900"/>
    <n v="274779.88"/>
    <n v="173800"/>
    <n v="100979.88"/>
    <n v="0.36749371897243716"/>
  </r>
  <r>
    <s v="ORD-114918"/>
    <x v="362"/>
    <x v="1"/>
    <s v="March"/>
    <x v="3"/>
    <s v="Chandigarh"/>
    <s v="Sourav Das"/>
    <x v="0"/>
    <x v="3"/>
    <s v="Kitchen Appliances"/>
    <s v="Prestige Mixer Grinder"/>
    <x v="2"/>
    <s v="Cancelled"/>
    <n v="12"/>
    <n v="4680"/>
    <n v="0.05"/>
    <n v="3250"/>
    <n v="56159.95"/>
    <n v="39000"/>
    <n v="17159.949999999997"/>
    <n v="0.30555493728181732"/>
  </r>
  <r>
    <s v="ORD-114785"/>
    <x v="363"/>
    <x v="1"/>
    <s v="March"/>
    <x v="1"/>
    <s v="Surat"/>
    <s v="Pooja Chouhan"/>
    <x v="2"/>
    <x v="3"/>
    <s v="Refrigerators"/>
    <s v="Samsung 253L Refrigerator"/>
    <x v="1"/>
    <s v="Pending"/>
    <n v="27"/>
    <n v="31490"/>
    <n v="0.05"/>
    <n v="21300"/>
    <n v="850229.95"/>
    <n v="575100"/>
    <n v="275129.94999999995"/>
    <n v="0.32359475221967887"/>
  </r>
  <r>
    <s v="ORD-115272"/>
    <x v="363"/>
    <x v="1"/>
    <s v="March"/>
    <x v="1"/>
    <s v="Mumbai"/>
    <s v="Ritika Ghosh"/>
    <x v="0"/>
    <x v="3"/>
    <s v="Washing Machines"/>
    <s v="Samsung 7Kg Washing Machine"/>
    <x v="1"/>
    <s v="Delivered"/>
    <n v="18"/>
    <n v="32800"/>
    <n v="0.15"/>
    <n v="23100"/>
    <n v="590399.85"/>
    <n v="415800"/>
    <n v="174599.84999999998"/>
    <n v="0.29573152838707528"/>
  </r>
  <r>
    <s v="ORD-115382"/>
    <x v="363"/>
    <x v="1"/>
    <s v="March"/>
    <x v="4"/>
    <s v="Hyderabad"/>
    <s v="Sourav Das"/>
    <x v="0"/>
    <x v="4"/>
    <s v="Fitness Equipment"/>
    <s v="Dumbbell Set"/>
    <x v="0"/>
    <s v="Delivered"/>
    <n v="7"/>
    <n v="3499"/>
    <n v="0.2"/>
    <n v="2190"/>
    <n v="24492.799999999999"/>
    <n v="15330"/>
    <n v="9162.7999999999993"/>
    <n v="0.37410177684870655"/>
  </r>
  <r>
    <s v="ORD-115036"/>
    <x v="364"/>
    <x v="1"/>
    <s v="March"/>
    <x v="3"/>
    <s v="Lucknow"/>
    <s v="Ritika Ghosh"/>
    <x v="1"/>
    <x v="2"/>
    <s v="Audio Devices"/>
    <s v="Sony Wh-Ch520"/>
    <x v="1"/>
    <s v="Delivered"/>
    <n v="30"/>
    <n v="4490"/>
    <n v="0.15"/>
    <n v="2950"/>
    <n v="134699.85"/>
    <n v="88500"/>
    <n v="46199.850000000006"/>
    <n v="0.34298367815554365"/>
  </r>
  <r>
    <s v="ORD-114791"/>
    <x v="365"/>
    <x v="1"/>
    <s v="March"/>
    <x v="1"/>
    <s v="Ahmedabad"/>
    <s v="Ritika Ghosh"/>
    <x v="1"/>
    <x v="2"/>
    <s v="Audio Devices"/>
    <s v="Sony Wh-Ch520"/>
    <x v="0"/>
    <s v="Delivered"/>
    <n v="36"/>
    <n v="4490"/>
    <n v="0.18"/>
    <n v="2950"/>
    <n v="161639.82"/>
    <n v="106200"/>
    <n v="55439.820000000007"/>
    <n v="0.34298367815554365"/>
  </r>
  <r>
    <s v="ORD-114823"/>
    <x v="366"/>
    <x v="1"/>
    <s v="March"/>
    <x v="2"/>
    <s v="Indore"/>
    <s v="Ritika Ghosh"/>
    <x v="1"/>
    <x v="2"/>
    <s v="Audio Devices"/>
    <s v="Sony Wh-Ch520"/>
    <x v="1"/>
    <s v="Pending"/>
    <n v="13"/>
    <n v="4490"/>
    <n v="0.15"/>
    <n v="2950"/>
    <n v="58369.85"/>
    <n v="38350"/>
    <n v="20019.849999999999"/>
    <n v="0.34298272138783975"/>
  </r>
  <r>
    <s v="ORD-114937"/>
    <x v="366"/>
    <x v="1"/>
    <s v="March"/>
    <x v="2"/>
    <s v="Raipur"/>
    <s v="Simran Kaur"/>
    <x v="2"/>
    <x v="3"/>
    <s v="Washing Machines"/>
    <s v="Samsung 7Kg Washing Machine"/>
    <x v="0"/>
    <s v="Pending"/>
    <n v="10"/>
    <n v="32800"/>
    <n v="0.18"/>
    <n v="23100"/>
    <n v="327999.82"/>
    <n v="231000"/>
    <n v="96999.82"/>
    <n v="0.29573132082816389"/>
  </r>
  <r>
    <s v="ORD-115021"/>
    <x v="366"/>
    <x v="1"/>
    <s v="March"/>
    <x v="1"/>
    <s v="Pune"/>
    <s v="Simran Kaur"/>
    <x v="0"/>
    <x v="2"/>
    <s v="Audio Devices"/>
    <s v="Jbl Tune 510Bt"/>
    <x v="2"/>
    <s v="Pending"/>
    <n v="1"/>
    <n v="3299"/>
    <n v="0.12"/>
    <n v="2050"/>
    <n v="3298.88"/>
    <n v="2050"/>
    <n v="1248.8800000000001"/>
    <n v="0.37857697157823261"/>
  </r>
  <r>
    <s v="ORD-115122"/>
    <x v="366"/>
    <x v="1"/>
    <s v="March"/>
    <x v="4"/>
    <s v="Kochi"/>
    <s v="Kartik Raman"/>
    <x v="2"/>
    <x v="2"/>
    <s v="Laptops"/>
    <s v="Lenovo Ideapad 3"/>
    <x v="1"/>
    <s v="Delivered"/>
    <n v="5"/>
    <n v="48990"/>
    <n v="0.05"/>
    <n v="30100"/>
    <n v="244949.95"/>
    <n v="150500"/>
    <n v="94449.950000000012"/>
    <n v="0.38558877027735666"/>
  </r>
  <r>
    <s v="ORD-115324"/>
    <x v="366"/>
    <x v="1"/>
    <s v="March"/>
    <x v="2"/>
    <s v="Raipur"/>
    <s v="Ritika Ghosh"/>
    <x v="2"/>
    <x v="1"/>
    <s v="Sofas"/>
    <s v="Single Seater Recliner"/>
    <x v="2"/>
    <s v="Cancelled"/>
    <n v="2"/>
    <n v="43500"/>
    <n v="0.15"/>
    <n v="29520"/>
    <n v="86999.85"/>
    <n v="59040"/>
    <n v="27959.850000000006"/>
    <n v="0.32137814030713852"/>
  </r>
  <r>
    <s v="ORD-114824"/>
    <x v="367"/>
    <x v="1"/>
    <s v="March"/>
    <x v="2"/>
    <s v="Bhopal"/>
    <s v="Neha Deshpande"/>
    <x v="0"/>
    <x v="0"/>
    <s v="Apparel"/>
    <s v="Men'S Casual Shirt"/>
    <x v="1"/>
    <s v="Delivered"/>
    <n v="3"/>
    <n v="1899"/>
    <n v="0.05"/>
    <n v="1080"/>
    <n v="5696.95"/>
    <n v="3240"/>
    <n v="2456.9499999999998"/>
    <n v="0.43127462940696337"/>
  </r>
  <r>
    <s v="ORD-115187"/>
    <x v="367"/>
    <x v="1"/>
    <s v="March"/>
    <x v="0"/>
    <s v="Patna"/>
    <s v="Simran Kaur"/>
    <x v="2"/>
    <x v="4"/>
    <s v="Fitness Equipment"/>
    <s v="Yoga Mat"/>
    <x v="2"/>
    <s v="Returned"/>
    <n v="5"/>
    <n v="1299"/>
    <n v="0.12"/>
    <n v="720"/>
    <n v="6494.88"/>
    <n v="3600"/>
    <n v="2894.88"/>
    <n v="0.44571724188899564"/>
  </r>
  <r>
    <s v="ORD-115414"/>
    <x v="367"/>
    <x v="1"/>
    <s v="March"/>
    <x v="0"/>
    <s v="Bhubaneswar"/>
    <s v="Ritika Ghosh"/>
    <x v="0"/>
    <x v="2"/>
    <s v="Audio Devices"/>
    <s v="Jbl Tune 510Bt"/>
    <x v="0"/>
    <s v="Delivered"/>
    <n v="2"/>
    <n v="3299"/>
    <n v="0.2"/>
    <n v="2050"/>
    <n v="6597.8"/>
    <n v="4100"/>
    <n v="2497.8000000000002"/>
    <n v="0.37858073903422357"/>
  </r>
  <r>
    <s v="ORD-115173"/>
    <x v="368"/>
    <x v="1"/>
    <s v="March"/>
    <x v="1"/>
    <s v="Pune"/>
    <s v="Imran Sheikh"/>
    <x v="1"/>
    <x v="4"/>
    <s v="Fitness Equipment"/>
    <s v="Resistance Bands"/>
    <x v="1"/>
    <s v="Pending"/>
    <n v="40"/>
    <n v="999"/>
    <n v="0.1"/>
    <n v="540"/>
    <n v="39959.9"/>
    <n v="21600"/>
    <n v="18359.900000000001"/>
    <n v="0.45945810675201892"/>
  </r>
  <r>
    <s v="ORD-115400"/>
    <x v="368"/>
    <x v="1"/>
    <s v="March"/>
    <x v="2"/>
    <s v="Indore"/>
    <s v="Sourav Das"/>
    <x v="2"/>
    <x v="3"/>
    <s v="Kitchen Appliances"/>
    <s v="Philips Air Fryer"/>
    <x v="2"/>
    <s v="Cancelled"/>
    <n v="16"/>
    <n v="7299"/>
    <n v="0.2"/>
    <n v="5010"/>
    <n v="116783.8"/>
    <n v="80160"/>
    <n v="36623.800000000003"/>
    <n v="0.31360342787270151"/>
  </r>
  <r>
    <s v="ORD-115206"/>
    <x v="369"/>
    <x v="1"/>
    <s v="March"/>
    <x v="1"/>
    <s v="Mumbai"/>
    <s v="Pooja Chouhan"/>
    <x v="0"/>
    <x v="2"/>
    <s v="Audio Devices"/>
    <s v="Sony Wh-Ch520"/>
    <x v="1"/>
    <s v="Returned"/>
    <n v="12"/>
    <n v="4490"/>
    <n v="0.2"/>
    <n v="2950"/>
    <n v="53879.8"/>
    <n v="35400"/>
    <n v="18479.800000000003"/>
    <n v="0.34298197097984778"/>
  </r>
  <r>
    <s v="ORD-114972"/>
    <x v="370"/>
    <x v="1"/>
    <s v="March"/>
    <x v="2"/>
    <s v="Ujjain"/>
    <s v="Pooja Chouhan"/>
    <x v="2"/>
    <x v="1"/>
    <s v="Sofas"/>
    <s v="3-Seater Sofa"/>
    <x v="1"/>
    <s v="Returned"/>
    <n v="36"/>
    <n v="38990"/>
    <n v="0.1"/>
    <n v="25400"/>
    <n v="1403639.9"/>
    <n v="914400"/>
    <n v="489239.89999999991"/>
    <n v="0.3485508640784577"/>
  </r>
  <r>
    <s v="ORD-115107"/>
    <x v="370"/>
    <x v="1"/>
    <s v="March"/>
    <x v="1"/>
    <s v="Ahmedabad"/>
    <s v="Imran Sheikh"/>
    <x v="2"/>
    <x v="2"/>
    <s v="Laptops"/>
    <s v="Dell Inspiron 3511"/>
    <x v="1"/>
    <s v="Returned"/>
    <n v="29"/>
    <n v="55230"/>
    <n v="0.12"/>
    <n v="33800"/>
    <n v="1601669.88"/>
    <n v="980200"/>
    <n v="621469.87999999989"/>
    <n v="0.38801371478622043"/>
  </r>
  <r>
    <s v="ORD-115357"/>
    <x v="370"/>
    <x v="1"/>
    <s v="March"/>
    <x v="0"/>
    <s v="Kolkata"/>
    <s v="Rahul Singh"/>
    <x v="2"/>
    <x v="1"/>
    <s v="Tables"/>
    <s v="Office Work Table"/>
    <x v="0"/>
    <s v="Cancelled"/>
    <n v="28"/>
    <n v="12490"/>
    <n v="0.18"/>
    <n v="7900"/>
    <n v="349719.82"/>
    <n v="221200"/>
    <n v="128519.82"/>
    <n v="0.36749366964674751"/>
  </r>
  <r>
    <s v="ORD-115491"/>
    <x v="370"/>
    <x v="1"/>
    <s v="March"/>
    <x v="3"/>
    <s v="Chandigarh"/>
    <s v="Imran Sheikh"/>
    <x v="0"/>
    <x v="2"/>
    <s v="Audio Devices"/>
    <s v="Boat Airdopes 131"/>
    <x v="1"/>
    <s v="Delivered"/>
    <n v="10"/>
    <n v="1930"/>
    <n v="0.1"/>
    <n v="1120"/>
    <n v="19299.900000000001"/>
    <n v="11200"/>
    <n v="8099.9000000000015"/>
    <n v="0.41968611236327652"/>
  </r>
  <r>
    <s v="ORD-114906"/>
    <x v="371"/>
    <x v="1"/>
    <s v="March"/>
    <x v="4"/>
    <s v="Hyderabad"/>
    <s v="Sourav Das"/>
    <x v="0"/>
    <x v="3"/>
    <s v="Refrigerators"/>
    <s v="Samsung 253L Refrigerator"/>
    <x v="0"/>
    <s v="Cancelled"/>
    <n v="8"/>
    <n v="31490"/>
    <n v="0.18"/>
    <n v="21300"/>
    <n v="251919.82"/>
    <n v="170400"/>
    <n v="81519.820000000007"/>
    <n v="0.32359430869710848"/>
  </r>
  <r>
    <s v="ORD-114941"/>
    <x v="371"/>
    <x v="1"/>
    <s v="March"/>
    <x v="2"/>
    <s v="Ujjain"/>
    <s v="Ritika Ghosh"/>
    <x v="2"/>
    <x v="1"/>
    <s v="Sofas"/>
    <s v="Single Seater Recliner"/>
    <x v="2"/>
    <s v="Returned"/>
    <n v="33"/>
    <n v="43500"/>
    <n v="0.18"/>
    <n v="29520"/>
    <n v="1435499.82"/>
    <n v="974160"/>
    <n v="461339.82000000007"/>
    <n v="0.32137922525131352"/>
  </r>
  <r>
    <s v="ORD-114916"/>
    <x v="372"/>
    <x v="1"/>
    <s v="March"/>
    <x v="2"/>
    <s v="Raipur"/>
    <s v="Ritika Ghosh"/>
    <x v="1"/>
    <x v="1"/>
    <s v="Tables"/>
    <s v="Office Work Table"/>
    <x v="2"/>
    <s v="Cancelled"/>
    <n v="11"/>
    <n v="12490"/>
    <n v="0.15"/>
    <n v="7900"/>
    <n v="137389.85"/>
    <n v="86900"/>
    <n v="50489.850000000006"/>
    <n v="0.36749330463640512"/>
  </r>
  <r>
    <s v="ORD-115469"/>
    <x v="372"/>
    <x v="1"/>
    <s v="March"/>
    <x v="0"/>
    <s v="Ranchi"/>
    <s v="Simran Kaur"/>
    <x v="2"/>
    <x v="4"/>
    <s v="Fitness Equipment"/>
    <s v="Dumbbell Set"/>
    <x v="2"/>
    <s v="Delivered"/>
    <n v="39"/>
    <n v="3499"/>
    <n v="0.1"/>
    <n v="2190"/>
    <n v="136460.9"/>
    <n v="85410"/>
    <n v="51050.899999999994"/>
    <n v="0.37410642902106023"/>
  </r>
  <r>
    <s v="ORD-114803"/>
    <x v="373"/>
    <x v="1"/>
    <s v="March"/>
    <x v="0"/>
    <s v="Kolkata"/>
    <s v="Anjali Mehta"/>
    <x v="2"/>
    <x v="4"/>
    <s v="Fitness Equipment"/>
    <s v="Dumbbell Set"/>
    <x v="1"/>
    <s v="Cancelled"/>
    <n v="8"/>
    <n v="3499"/>
    <n v="0.2"/>
    <n v="2190"/>
    <n v="27991.8"/>
    <n v="17520"/>
    <n v="10471.799999999999"/>
    <n v="0.37410241570745717"/>
  </r>
  <r>
    <s v="ORD-114848"/>
    <x v="373"/>
    <x v="1"/>
    <s v="March"/>
    <x v="0"/>
    <s v="Ranchi"/>
    <s v="Sourav Das"/>
    <x v="2"/>
    <x v="0"/>
    <s v="Footwear"/>
    <s v="Adidas Sports Shoes"/>
    <x v="2"/>
    <s v="Pending"/>
    <n v="2"/>
    <n v="5999"/>
    <n v="0.1"/>
    <n v="3890"/>
    <n v="11997.9"/>
    <n v="7780"/>
    <n v="4217.8999999999996"/>
    <n v="0.35155318847464972"/>
  </r>
  <r>
    <s v="ORD-115109"/>
    <x v="373"/>
    <x v="1"/>
    <s v="March"/>
    <x v="1"/>
    <s v="Pune"/>
    <s v="Ritika Ghosh"/>
    <x v="2"/>
    <x v="2"/>
    <s v="Audio Devices"/>
    <s v="Sony Wh-Ch520"/>
    <x v="1"/>
    <s v="Delivered"/>
    <n v="3"/>
    <n v="4490"/>
    <n v="0.2"/>
    <n v="2950"/>
    <n v="13469.8"/>
    <n v="8850"/>
    <n v="4619.7999999999993"/>
    <n v="0.34297465441209218"/>
  </r>
  <r>
    <s v="ORD-114800"/>
    <x v="374"/>
    <x v="1"/>
    <s v="March"/>
    <x v="4"/>
    <s v="Chennai"/>
    <s v="Rahul Singh"/>
    <x v="2"/>
    <x v="0"/>
    <s v="Apparel"/>
    <s v="Men'S Casual Shirt"/>
    <x v="0"/>
    <s v="Pending"/>
    <n v="14"/>
    <n v="1899"/>
    <n v="0.2"/>
    <n v="1080"/>
    <n v="26585.8"/>
    <n v="15120"/>
    <n v="11465.8"/>
    <n v="0.43127534247605864"/>
  </r>
  <r>
    <s v="ORD-114903"/>
    <x v="375"/>
    <x v="1"/>
    <s v="March"/>
    <x v="0"/>
    <s v="Patna"/>
    <s v="Simran Kaur"/>
    <x v="2"/>
    <x v="2"/>
    <s v="Audio Devices"/>
    <s v="Jbl Tune 510Bt"/>
    <x v="2"/>
    <s v="Pending"/>
    <n v="13"/>
    <n v="3299"/>
    <n v="0.18"/>
    <n v="2050"/>
    <n v="42886.82"/>
    <n v="26650"/>
    <n v="16236.82"/>
    <n v="0.37859696755320166"/>
  </r>
  <r>
    <s v="ORD-115183"/>
    <x v="375"/>
    <x v="1"/>
    <s v="March"/>
    <x v="3"/>
    <s v="Jaipur"/>
    <s v="Aditya Verma"/>
    <x v="0"/>
    <x v="1"/>
    <s v="Sofas"/>
    <s v="L-Shape Sofa"/>
    <x v="1"/>
    <s v="Returned"/>
    <n v="20"/>
    <n v="52990"/>
    <n v="0.1"/>
    <n v="35100"/>
    <n v="1059799.8999999999"/>
    <n v="702000"/>
    <n v="357799.89999999991"/>
    <n v="0.33761080747412786"/>
  </r>
  <r>
    <s v="ORD-115200"/>
    <x v="375"/>
    <x v="1"/>
    <s v="March"/>
    <x v="1"/>
    <s v="Ahmedabad"/>
    <s v="Rahul Singh"/>
    <x v="2"/>
    <x v="1"/>
    <s v="Tables"/>
    <s v="Office Work Table"/>
    <x v="1"/>
    <s v="Delivered"/>
    <n v="18"/>
    <n v="12490"/>
    <n v="0.18"/>
    <n v="7900"/>
    <n v="224819.82"/>
    <n v="142200"/>
    <n v="82619.820000000007"/>
    <n v="0.36749348878581972"/>
  </r>
  <r>
    <s v="ORD-115358"/>
    <x v="375"/>
    <x v="1"/>
    <s v="March"/>
    <x v="1"/>
    <s v="Pune"/>
    <s v="Simran Kaur"/>
    <x v="0"/>
    <x v="4"/>
    <s v="Fitness Equipment"/>
    <s v="Dumbbell Set"/>
    <x v="1"/>
    <s v="Pending"/>
    <n v="33"/>
    <n v="3499"/>
    <n v="0.12"/>
    <n v="2190"/>
    <n v="115466.88"/>
    <n v="72270"/>
    <n v="43196.880000000005"/>
    <n v="0.37410623721711372"/>
  </r>
  <r>
    <s v="ORD-115392"/>
    <x v="375"/>
    <x v="1"/>
    <s v="March"/>
    <x v="1"/>
    <s v="Ahmedabad"/>
    <s v="Neha Deshpande"/>
    <x v="2"/>
    <x v="0"/>
    <s v="Apparel"/>
    <s v="Men'S Casual Shirt"/>
    <x v="2"/>
    <s v="Pending"/>
    <n v="24"/>
    <n v="1899"/>
    <n v="0.08"/>
    <n v="1080"/>
    <n v="45575.92"/>
    <n v="25920"/>
    <n v="19655.919999999998"/>
    <n v="0.43127862257086635"/>
  </r>
  <r>
    <s v="ORD-115498"/>
    <x v="376"/>
    <x v="1"/>
    <s v="March"/>
    <x v="0"/>
    <s v="Patna"/>
    <s v="Ritika Ghosh"/>
    <x v="0"/>
    <x v="4"/>
    <s v="Fitness Equipment"/>
    <s v="Dumbbell Set"/>
    <x v="1"/>
    <s v="Pending"/>
    <n v="6"/>
    <n v="3499"/>
    <n v="0.18"/>
    <n v="2190"/>
    <n v="20993.82"/>
    <n v="13140"/>
    <n v="7853.82"/>
    <n v="0.37410152130484114"/>
  </r>
  <r>
    <s v="ORD-115436"/>
    <x v="377"/>
    <x v="1"/>
    <s v="March"/>
    <x v="2"/>
    <s v="Indore"/>
    <s v="Aditya Verma"/>
    <x v="0"/>
    <x v="4"/>
    <s v="Fitness Equipment"/>
    <s v="Yoga Mat"/>
    <x v="2"/>
    <s v="Pending"/>
    <n v="7"/>
    <n v="1299"/>
    <n v="0.12"/>
    <n v="720"/>
    <n v="9092.8799999999992"/>
    <n v="5040"/>
    <n v="4052.8799999999992"/>
    <n v="0.44572016786760627"/>
  </r>
  <r>
    <s v="ORD-115003"/>
    <x v="378"/>
    <x v="1"/>
    <s v="March"/>
    <x v="0"/>
    <s v="Patna"/>
    <s v="Neha Deshpande"/>
    <x v="1"/>
    <x v="2"/>
    <s v="Mobiles"/>
    <s v="Samsung Galaxy M34"/>
    <x v="0"/>
    <s v="Pending"/>
    <n v="7"/>
    <n v="22999"/>
    <n v="0.15"/>
    <n v="15100"/>
    <n v="160992.85"/>
    <n v="105700"/>
    <n v="55292.850000000006"/>
    <n v="0.34344910348503055"/>
  </r>
  <r>
    <s v="ORD-115020"/>
    <x v="379"/>
    <x v="1"/>
    <s v="March"/>
    <x v="2"/>
    <s v="Indore"/>
    <s v="Ritika Ghosh"/>
    <x v="2"/>
    <x v="4"/>
    <s v="Fitness Equipment"/>
    <s v="Dumbbell Set"/>
    <x v="0"/>
    <s v="Returned"/>
    <n v="21"/>
    <n v="3499"/>
    <n v="0.05"/>
    <n v="2190"/>
    <n v="73478.95"/>
    <n v="45990"/>
    <n v="27488.949999999997"/>
    <n v="0.37410646178259216"/>
  </r>
  <r>
    <s v="ORD-115292"/>
    <x v="379"/>
    <x v="1"/>
    <s v="March"/>
    <x v="0"/>
    <s v="Patna"/>
    <s v="Rahul Singh"/>
    <x v="1"/>
    <x v="0"/>
    <s v="Footwear"/>
    <s v="Puma Sneakers"/>
    <x v="1"/>
    <s v="Delivered"/>
    <n v="27"/>
    <n v="4499"/>
    <n v="0.2"/>
    <n v="2910"/>
    <n v="121472.8"/>
    <n v="78570"/>
    <n v="42902.8"/>
    <n v="0.35318853274148615"/>
  </r>
  <r>
    <s v="ORD-115332"/>
    <x v="379"/>
    <x v="1"/>
    <s v="March"/>
    <x v="4"/>
    <s v="Chennai"/>
    <s v="Neha Deshpande"/>
    <x v="1"/>
    <x v="3"/>
    <s v="Washing Machines"/>
    <s v="Samsung 7Kg Washing Machine"/>
    <x v="2"/>
    <s v="Delivered"/>
    <n v="38"/>
    <n v="32800"/>
    <n v="0.18"/>
    <n v="23100"/>
    <n v="1246399.82"/>
    <n v="877800"/>
    <n v="368599.82000000007"/>
    <n v="0.29573160560950662"/>
  </r>
  <r>
    <s v="ORD-115452"/>
    <x v="379"/>
    <x v="1"/>
    <s v="March"/>
    <x v="2"/>
    <s v="Raipur"/>
    <s v="Pooja Chouhan"/>
    <x v="0"/>
    <x v="2"/>
    <s v="Audio Devices"/>
    <s v="Jbl Tune 510Bt"/>
    <x v="0"/>
    <s v="Delivered"/>
    <n v="26"/>
    <n v="3299"/>
    <n v="0.08"/>
    <n v="2050"/>
    <n v="85773.92"/>
    <n v="53300"/>
    <n v="32473.919999999998"/>
    <n v="0.37859899605847558"/>
  </r>
  <r>
    <s v="ORD-114883"/>
    <x v="380"/>
    <x v="1"/>
    <s v="March"/>
    <x v="1"/>
    <s v="Surat"/>
    <s v="Anjali Mehta"/>
    <x v="0"/>
    <x v="2"/>
    <s v="Mobiles"/>
    <s v="Samsung Galaxy M34"/>
    <x v="1"/>
    <s v="Delivered"/>
    <n v="39"/>
    <n v="22999"/>
    <n v="0.15"/>
    <n v="15100"/>
    <n v="896960.85"/>
    <n v="588900"/>
    <n v="308060.84999999998"/>
    <n v="0.34344960540919928"/>
  </r>
  <r>
    <s v="ORD-115334"/>
    <x v="380"/>
    <x v="1"/>
    <s v="March"/>
    <x v="3"/>
    <s v="Jaipur"/>
    <s v="Aditya Verma"/>
    <x v="2"/>
    <x v="0"/>
    <s v="Apparel"/>
    <s v="Men'S Casual Shirt"/>
    <x v="0"/>
    <s v="Returned"/>
    <n v="40"/>
    <n v="1899"/>
    <n v="0.12"/>
    <n v="1080"/>
    <n v="75959.88"/>
    <n v="43200"/>
    <n v="32759.880000000005"/>
    <n v="0.43127872239924553"/>
  </r>
  <r>
    <s v="ORD-115250"/>
    <x v="381"/>
    <x v="1"/>
    <s v="March"/>
    <x v="3"/>
    <s v="Chandigarh"/>
    <s v="Kartik Raman"/>
    <x v="0"/>
    <x v="1"/>
    <s v="Sofas"/>
    <s v="3-Seater Sofa"/>
    <x v="2"/>
    <s v="Returned"/>
    <n v="30"/>
    <n v="38990"/>
    <n v="0.05"/>
    <n v="25400"/>
    <n v="1169699.95"/>
    <n v="762000"/>
    <n v="407699.94999999995"/>
    <n v="0.34855088264302309"/>
  </r>
  <r>
    <s v="ORD-115270"/>
    <x v="381"/>
    <x v="1"/>
    <s v="March"/>
    <x v="4"/>
    <s v="Bengaluru"/>
    <s v="Rahul Singh"/>
    <x v="0"/>
    <x v="4"/>
    <s v="Fitness Equipment"/>
    <s v="Dumbbell Set"/>
    <x v="0"/>
    <s v="Delivered"/>
    <n v="23"/>
    <n v="3499"/>
    <n v="0.18"/>
    <n v="2190"/>
    <n v="80476.820000000007"/>
    <n v="50370"/>
    <n v="30106.820000000007"/>
    <n v="0.37410548776653951"/>
  </r>
  <r>
    <s v="ORD-115284"/>
    <x v="381"/>
    <x v="1"/>
    <s v="March"/>
    <x v="0"/>
    <s v="Bhubaneswar"/>
    <s v="Kartik Raman"/>
    <x v="0"/>
    <x v="2"/>
    <s v="Audio Devices"/>
    <s v="Jbl Tune 510Bt"/>
    <x v="0"/>
    <s v="Delivered"/>
    <n v="37"/>
    <n v="3299"/>
    <n v="0.18"/>
    <n v="2050"/>
    <n v="122062.82"/>
    <n v="75850"/>
    <n v="46212.820000000007"/>
    <n v="0.37859865928052461"/>
  </r>
  <r>
    <s v="ORD-114768"/>
    <x v="382"/>
    <x v="1"/>
    <s v="March"/>
    <x v="3"/>
    <s v="Delhi"/>
    <s v="Kartik Raman"/>
    <x v="1"/>
    <x v="4"/>
    <s v="Fitness Equipment"/>
    <s v="Yoga Mat"/>
    <x v="0"/>
    <s v="Delivered"/>
    <n v="14"/>
    <n v="1299"/>
    <n v="0.1"/>
    <n v="720"/>
    <n v="18185.900000000001"/>
    <n v="10080"/>
    <n v="8105.9000000000015"/>
    <n v="0.44572443486437302"/>
  </r>
  <r>
    <s v="ORD-115162"/>
    <x v="382"/>
    <x v="1"/>
    <s v="March"/>
    <x v="3"/>
    <s v="Chandigarh"/>
    <s v="Rahul Singh"/>
    <x v="2"/>
    <x v="2"/>
    <s v="Mobiles"/>
    <s v="Oneplus Nord Ce 3"/>
    <x v="0"/>
    <s v="Delivered"/>
    <n v="5"/>
    <n v="25999"/>
    <n v="0.1"/>
    <n v="17800"/>
    <n v="129994.9"/>
    <n v="89000"/>
    <n v="40994.899999999994"/>
    <n v="0.31535775634274882"/>
  </r>
  <r>
    <s v="ORD-115311"/>
    <x v="382"/>
    <x v="1"/>
    <s v="March"/>
    <x v="1"/>
    <s v="Mumbai"/>
    <s v="Pooja Chouhan"/>
    <x v="2"/>
    <x v="3"/>
    <s v="Refrigerators"/>
    <s v="Whirlpool 265L Refrigerator"/>
    <x v="2"/>
    <s v="Delivered"/>
    <n v="40"/>
    <n v="27890"/>
    <n v="0.12"/>
    <n v="18800"/>
    <n v="1115599.8799999999"/>
    <n v="752000"/>
    <n v="363599.87999999989"/>
    <n v="0.32592319748187848"/>
  </r>
  <r>
    <s v="ORD-115429"/>
    <x v="383"/>
    <x v="1"/>
    <s v="March"/>
    <x v="3"/>
    <s v="Delhi"/>
    <s v="Sourav Das"/>
    <x v="0"/>
    <x v="3"/>
    <s v="Washing Machines"/>
    <s v="Lg 6.5Kg Washing Machine"/>
    <x v="1"/>
    <s v="Delivered"/>
    <n v="32"/>
    <n v="29010"/>
    <n v="0.12"/>
    <n v="19150"/>
    <n v="928319.88"/>
    <n v="612800"/>
    <n v="315519.88"/>
    <n v="0.339882713704246"/>
  </r>
  <r>
    <s v="ORD-114889"/>
    <x v="384"/>
    <x v="1"/>
    <s v="March"/>
    <x v="3"/>
    <s v="Chandigarh"/>
    <s v="Rahul Singh"/>
    <x v="2"/>
    <x v="0"/>
    <s v="Footwear"/>
    <s v="Adidas Sports Shoes"/>
    <x v="1"/>
    <s v="Pending"/>
    <n v="38"/>
    <n v="5999"/>
    <n v="0.18"/>
    <n v="3890"/>
    <n v="227961.82"/>
    <n v="147820"/>
    <n v="80141.820000000007"/>
    <n v="0.35155808108568359"/>
  </r>
  <r>
    <s v="ORD-114951"/>
    <x v="384"/>
    <x v="1"/>
    <s v="March"/>
    <x v="4"/>
    <s v="Bengaluru"/>
    <s v="Aditya Verma"/>
    <x v="0"/>
    <x v="2"/>
    <s v="Laptops"/>
    <s v="Dell Inspiron 3511"/>
    <x v="2"/>
    <s v="Returned"/>
    <n v="22"/>
    <n v="55230"/>
    <n v="0.05"/>
    <n v="33800"/>
    <n v="1215059.95"/>
    <n v="743600"/>
    <n v="471459.94999999995"/>
    <n v="0.38801373545395845"/>
  </r>
  <r>
    <s v="ORD-115108"/>
    <x v="384"/>
    <x v="1"/>
    <s v="March"/>
    <x v="2"/>
    <s v="Indore"/>
    <s v="Aditya Verma"/>
    <x v="0"/>
    <x v="0"/>
    <s v="Apparel"/>
    <s v="Denim Jeans"/>
    <x v="2"/>
    <s v="Delivered"/>
    <n v="13"/>
    <n v="2499"/>
    <n v="0.18"/>
    <n v="1510"/>
    <n v="32486.82"/>
    <n v="19630"/>
    <n v="12856.82"/>
    <n v="0.39575495539421834"/>
  </r>
  <r>
    <s v="ORD-115175"/>
    <x v="384"/>
    <x v="1"/>
    <s v="March"/>
    <x v="2"/>
    <s v="Indore"/>
    <s v="Neha Deshpande"/>
    <x v="2"/>
    <x v="3"/>
    <s v="Kitchen Appliances"/>
    <s v="Bajaj Otg"/>
    <x v="2"/>
    <s v="Returned"/>
    <n v="15"/>
    <n v="5890"/>
    <n v="0.1"/>
    <n v="3980"/>
    <n v="88349.9"/>
    <n v="59700"/>
    <n v="28649.899999999994"/>
    <n v="0.32427767320619488"/>
  </r>
  <r>
    <s v="ORD-115343"/>
    <x v="384"/>
    <x v="1"/>
    <s v="March"/>
    <x v="0"/>
    <s v="Bhubaneswar"/>
    <s v="Neha Deshpande"/>
    <x v="1"/>
    <x v="1"/>
    <s v="Sofas"/>
    <s v="Single Seater Recliner"/>
    <x v="2"/>
    <s v="Cancelled"/>
    <n v="17"/>
    <n v="43500"/>
    <n v="0.2"/>
    <n v="29520"/>
    <n v="739499.8"/>
    <n v="501840"/>
    <n v="237659.80000000005"/>
    <n v="0.32137912680977065"/>
  </r>
  <r>
    <s v="ORD-114783"/>
    <x v="385"/>
    <x v="1"/>
    <s v="March"/>
    <x v="2"/>
    <s v="Raipur"/>
    <s v="Rahul Singh"/>
    <x v="2"/>
    <x v="0"/>
    <s v="Apparel"/>
    <s v="Women'S Kurti"/>
    <x v="0"/>
    <s v="Cancelled"/>
    <n v="27"/>
    <n v="1599"/>
    <n v="0.2"/>
    <n v="920"/>
    <n v="43172.800000000003"/>
    <n v="24840"/>
    <n v="18332.800000000003"/>
    <n v="0.42463773487010342"/>
  </r>
  <r>
    <s v="ORD-115132"/>
    <x v="385"/>
    <x v="1"/>
    <s v="March"/>
    <x v="3"/>
    <s v="Jaipur"/>
    <s v="Rahul Singh"/>
    <x v="2"/>
    <x v="0"/>
    <s v="Apparel"/>
    <s v="Denim Jeans"/>
    <x v="0"/>
    <s v="Pending"/>
    <n v="34"/>
    <n v="2499"/>
    <n v="0.1"/>
    <n v="1510"/>
    <n v="84965.9"/>
    <n v="51340"/>
    <n v="33625.899999999994"/>
    <n v="0.39575759216344436"/>
  </r>
  <r>
    <s v="ORD-115312"/>
    <x v="385"/>
    <x v="1"/>
    <s v="March"/>
    <x v="1"/>
    <s v="Pune"/>
    <s v="Anjali Mehta"/>
    <x v="2"/>
    <x v="3"/>
    <s v="Refrigerators"/>
    <s v="Whirlpool 265L Refrigerator"/>
    <x v="1"/>
    <s v="Delivered"/>
    <n v="8"/>
    <n v="27890"/>
    <n v="0.2"/>
    <n v="18800"/>
    <n v="223119.8"/>
    <n v="150400"/>
    <n v="72719.799999999988"/>
    <n v="0.32592266576072582"/>
  </r>
  <r>
    <s v="ORD-114940"/>
    <x v="386"/>
    <x v="1"/>
    <s v="March"/>
    <x v="0"/>
    <s v="Kolkata"/>
    <s v="Rahul Singh"/>
    <x v="0"/>
    <x v="1"/>
    <s v="Tables"/>
    <s v="Office Work Table"/>
    <x v="1"/>
    <s v="Delivered"/>
    <n v="16"/>
    <n v="12490"/>
    <n v="0.05"/>
    <n v="7900"/>
    <n v="199839.95"/>
    <n v="126400"/>
    <n v="73439.950000000012"/>
    <n v="0.36749383694301369"/>
  </r>
  <r>
    <s v="ORD-115486"/>
    <x v="386"/>
    <x v="1"/>
    <s v="March"/>
    <x v="3"/>
    <s v="Lucknow"/>
    <s v="Anjali Mehta"/>
    <x v="1"/>
    <x v="1"/>
    <s v="Sofas"/>
    <s v="Single Seater Recliner"/>
    <x v="0"/>
    <s v="Cancelled"/>
    <n v="8"/>
    <n v="43500"/>
    <n v="0.05"/>
    <n v="29520"/>
    <n v="347999.95"/>
    <n v="236160"/>
    <n v="111839.95000000001"/>
    <n v="0.32137921284184096"/>
  </r>
  <r>
    <s v="ORD-114837"/>
    <x v="387"/>
    <x v="1"/>
    <s v="March"/>
    <x v="0"/>
    <s v="Ranchi"/>
    <s v="Kartik Raman"/>
    <x v="2"/>
    <x v="0"/>
    <s v="Footwear"/>
    <s v="Puma Sneakers"/>
    <x v="1"/>
    <s v="Cancelled"/>
    <n v="40"/>
    <n v="4499"/>
    <n v="0.05"/>
    <n v="2910"/>
    <n v="179959.95"/>
    <n v="116400"/>
    <n v="63559.950000000012"/>
    <n v="0.35318941797883369"/>
  </r>
  <r>
    <s v="ORD-115335"/>
    <x v="388"/>
    <x v="1"/>
    <s v="March"/>
    <x v="3"/>
    <s v="Lucknow"/>
    <s v="Rahul Singh"/>
    <x v="1"/>
    <x v="0"/>
    <s v="Apparel"/>
    <s v="Men'S Casual Shirt"/>
    <x v="0"/>
    <s v="Cancelled"/>
    <n v="28"/>
    <n v="1899"/>
    <n v="0.15"/>
    <n v="1080"/>
    <n v="53171.85"/>
    <n v="30240"/>
    <n v="22931.85"/>
    <n v="0.43127801646924074"/>
  </r>
  <r>
    <s v="ORD-115051"/>
    <x v="389"/>
    <x v="1"/>
    <s v="March"/>
    <x v="4"/>
    <s v="Chennai"/>
    <s v="Pooja Chouhan"/>
    <x v="0"/>
    <x v="0"/>
    <s v="Footwear"/>
    <s v="Adidas Sports Shoes"/>
    <x v="2"/>
    <s v="Delivered"/>
    <n v="8"/>
    <n v="5999"/>
    <n v="0.12"/>
    <n v="3890"/>
    <n v="47991.88"/>
    <n v="31120"/>
    <n v="16871.879999999997"/>
    <n v="0.35155697172104944"/>
  </r>
  <r>
    <s v="ORD-114995"/>
    <x v="390"/>
    <x v="1"/>
    <s v="March"/>
    <x v="0"/>
    <s v="Patna"/>
    <s v="Pooja Chouhan"/>
    <x v="0"/>
    <x v="2"/>
    <s v="Laptops"/>
    <s v="Hp 15S"/>
    <x v="0"/>
    <s v="Delivered"/>
    <n v="39"/>
    <n v="48500"/>
    <n v="0.2"/>
    <n v="30200"/>
    <n v="1891499.8"/>
    <n v="1177800"/>
    <n v="713699.8"/>
    <n v="0.37731952178900574"/>
  </r>
  <r>
    <s v="ORD-115205"/>
    <x v="390"/>
    <x v="1"/>
    <s v="March"/>
    <x v="0"/>
    <s v="Bhubaneswar"/>
    <s v="Pooja Chouhan"/>
    <x v="2"/>
    <x v="2"/>
    <s v="Audio Devices"/>
    <s v="Jbl Tune 510Bt"/>
    <x v="0"/>
    <s v="Returned"/>
    <n v="30"/>
    <n v="3299"/>
    <n v="0.12"/>
    <n v="2050"/>
    <n v="98969.88"/>
    <n v="61500"/>
    <n v="37469.880000000005"/>
    <n v="0.37859882218711394"/>
  </r>
  <r>
    <s v="ORD-115224"/>
    <x v="390"/>
    <x v="1"/>
    <s v="March"/>
    <x v="3"/>
    <s v="Lucknow"/>
    <s v="Anjali Mehta"/>
    <x v="0"/>
    <x v="0"/>
    <s v="Apparel"/>
    <s v="Men'S Casual Shirt"/>
    <x v="2"/>
    <s v="Delivered"/>
    <n v="10"/>
    <n v="1899"/>
    <n v="0.08"/>
    <n v="1080"/>
    <n v="18989.919999999998"/>
    <n v="10800"/>
    <n v="8189.9199999999983"/>
    <n v="0.43127722496987869"/>
  </r>
  <r>
    <s v="ORD-114811"/>
    <x v="391"/>
    <x v="1"/>
    <s v="March"/>
    <x v="2"/>
    <s v="Raipur"/>
    <s v="Anjali Mehta"/>
    <x v="2"/>
    <x v="3"/>
    <s v="Refrigerators"/>
    <s v="Whirlpool 265L Refrigerator"/>
    <x v="0"/>
    <s v="Returned"/>
    <n v="39"/>
    <n v="27890"/>
    <n v="0.15"/>
    <n v="18800"/>
    <n v="1087709.8500000001"/>
    <n v="733200"/>
    <n v="354509.85000000009"/>
    <n v="0.32592317703108054"/>
  </r>
  <r>
    <s v="ORD-114858"/>
    <x v="391"/>
    <x v="1"/>
    <s v="March"/>
    <x v="2"/>
    <s v="Ujjain"/>
    <s v="Ritika Ghosh"/>
    <x v="0"/>
    <x v="0"/>
    <s v="Apparel"/>
    <s v="Denim Jeans"/>
    <x v="0"/>
    <s v="Delivered"/>
    <n v="26"/>
    <n v="2499"/>
    <n v="0.15"/>
    <n v="1510"/>
    <n v="64973.85"/>
    <n v="39260"/>
    <n v="25713.85"/>
    <n v="0.39575690835620791"/>
  </r>
  <r>
    <s v="ORD-114873"/>
    <x v="391"/>
    <x v="1"/>
    <s v="March"/>
    <x v="2"/>
    <s v="Indore"/>
    <s v="Rahul Singh"/>
    <x v="1"/>
    <x v="4"/>
    <s v="Fitness Equipment"/>
    <s v="Resistance Bands"/>
    <x v="0"/>
    <s v="Cancelled"/>
    <n v="9"/>
    <n v="999"/>
    <n v="0.1"/>
    <n v="540"/>
    <n v="8990.9"/>
    <n v="4860"/>
    <n v="4130.8999999999996"/>
    <n v="0.45945344737456761"/>
  </r>
  <r>
    <s v="ORD-114943"/>
    <x v="391"/>
    <x v="1"/>
    <s v="March"/>
    <x v="1"/>
    <s v="Ahmedabad"/>
    <s v="Aditya Verma"/>
    <x v="2"/>
    <x v="4"/>
    <s v="Fitness Equipment"/>
    <s v="Resistance Bands"/>
    <x v="2"/>
    <s v="Delivered"/>
    <n v="34"/>
    <n v="999"/>
    <n v="0.08"/>
    <n v="540"/>
    <n v="33965.919999999998"/>
    <n v="18360"/>
    <n v="15605.919999999998"/>
    <n v="0.45945818632323221"/>
  </r>
  <r>
    <s v="ORD-114893"/>
    <x v="392"/>
    <x v="1"/>
    <s v="April"/>
    <x v="3"/>
    <s v="Delhi"/>
    <s v="Ritika Ghosh"/>
    <x v="2"/>
    <x v="0"/>
    <s v="Apparel"/>
    <s v="Denim Jeans"/>
    <x v="2"/>
    <s v="Returned"/>
    <n v="28"/>
    <n v="2499"/>
    <n v="0.08"/>
    <n v="1510"/>
    <n v="69971.92"/>
    <n v="42280"/>
    <n v="27691.919999999998"/>
    <n v="0.39575761248226432"/>
  </r>
  <r>
    <s v="ORD-114976"/>
    <x v="392"/>
    <x v="1"/>
    <s v="April"/>
    <x v="4"/>
    <s v="Chennai"/>
    <s v="Aditya Verma"/>
    <x v="2"/>
    <x v="0"/>
    <s v="Footwear"/>
    <s v="Puma Sneakers"/>
    <x v="2"/>
    <s v="Delivered"/>
    <n v="20"/>
    <n v="4499"/>
    <n v="0.08"/>
    <n v="2910"/>
    <n v="89979.92"/>
    <n v="58200"/>
    <n v="31779.919999999998"/>
    <n v="0.35318902261749063"/>
  </r>
  <r>
    <s v="ORD-115156"/>
    <x v="393"/>
    <x v="1"/>
    <s v="April"/>
    <x v="1"/>
    <s v="Ahmedabad"/>
    <s v="Pooja Chouhan"/>
    <x v="2"/>
    <x v="4"/>
    <s v="Fitness Equipment"/>
    <s v="Dumbbell Set"/>
    <x v="2"/>
    <s v="Cancelled"/>
    <n v="21"/>
    <n v="3499"/>
    <n v="0.2"/>
    <n v="2190"/>
    <n v="73478.8"/>
    <n v="45990"/>
    <n v="27488.800000000003"/>
    <n v="0.37410518408030619"/>
  </r>
  <r>
    <s v="ORD-115202"/>
    <x v="393"/>
    <x v="1"/>
    <s v="April"/>
    <x v="0"/>
    <s v="Patna"/>
    <s v="Neha Deshpande"/>
    <x v="2"/>
    <x v="0"/>
    <s v="Footwear"/>
    <s v="Puma Sneakers"/>
    <x v="0"/>
    <s v="Delivered"/>
    <n v="25"/>
    <n v="4499"/>
    <n v="0.1"/>
    <n v="2910"/>
    <n v="112474.9"/>
    <n v="72750"/>
    <n v="39724.899999999994"/>
    <n v="0.35318902261749063"/>
  </r>
  <r>
    <s v="ORD-115231"/>
    <x v="393"/>
    <x v="1"/>
    <s v="April"/>
    <x v="4"/>
    <s v="Kochi"/>
    <s v="Anjali Mehta"/>
    <x v="0"/>
    <x v="1"/>
    <s v="Sofas"/>
    <s v="L-Shape Sofa"/>
    <x v="2"/>
    <s v="Delivered"/>
    <n v="17"/>
    <n v="52990"/>
    <n v="0.12"/>
    <n v="35100"/>
    <n v="900829.88"/>
    <n v="596700"/>
    <n v="304129.88"/>
    <n v="0.33761078173827891"/>
  </r>
  <r>
    <s v="ORD-114984"/>
    <x v="394"/>
    <x v="1"/>
    <s v="April"/>
    <x v="3"/>
    <s v="Lucknow"/>
    <s v="Ritika Ghosh"/>
    <x v="1"/>
    <x v="4"/>
    <s v="Fitness Equipment"/>
    <s v="Yoga Mat"/>
    <x v="2"/>
    <s v="Pending"/>
    <n v="22"/>
    <n v="1299"/>
    <n v="0.15"/>
    <n v="720"/>
    <n v="28577.85"/>
    <n v="15840"/>
    <n v="12737.849999999999"/>
    <n v="0.44572457340212784"/>
  </r>
  <r>
    <s v="ORD-114795"/>
    <x v="395"/>
    <x v="1"/>
    <s v="April"/>
    <x v="2"/>
    <s v="Bhopal"/>
    <s v="Sourav Das"/>
    <x v="0"/>
    <x v="2"/>
    <s v="Laptops"/>
    <s v="Hp 15S"/>
    <x v="0"/>
    <s v="Delivered"/>
    <n v="19"/>
    <n v="48500"/>
    <n v="0.08"/>
    <n v="30200"/>
    <n v="921499.92"/>
    <n v="573800"/>
    <n v="347699.92000000004"/>
    <n v="0.3773195335708765"/>
  </r>
  <r>
    <s v="ORD-115211"/>
    <x v="395"/>
    <x v="1"/>
    <s v="April"/>
    <x v="2"/>
    <s v="Bhopal"/>
    <s v="Ritika Ghosh"/>
    <x v="0"/>
    <x v="0"/>
    <s v="Footwear"/>
    <s v="Puma Sneakers"/>
    <x v="2"/>
    <s v="Delivered"/>
    <n v="8"/>
    <n v="4499"/>
    <n v="0.05"/>
    <n v="2910"/>
    <n v="35991.949999999997"/>
    <n v="23280"/>
    <n v="12711.949999999997"/>
    <n v="0.35318869913966866"/>
  </r>
  <r>
    <s v="ORD-115345"/>
    <x v="396"/>
    <x v="1"/>
    <s v="April"/>
    <x v="0"/>
    <s v="Bhubaneswar"/>
    <s v="Ritika Ghosh"/>
    <x v="2"/>
    <x v="2"/>
    <s v="Audio Devices"/>
    <s v="Jbl Tune 510Bt"/>
    <x v="2"/>
    <s v="Pending"/>
    <n v="32"/>
    <n v="3299"/>
    <n v="0.18"/>
    <n v="2050"/>
    <n v="105567.82"/>
    <n v="65600"/>
    <n v="39967.820000000007"/>
    <n v="0.37859851610083456"/>
  </r>
  <r>
    <s v="ORD-115420"/>
    <x v="397"/>
    <x v="1"/>
    <s v="April"/>
    <x v="1"/>
    <s v="Pune"/>
    <s v="Kartik Raman"/>
    <x v="1"/>
    <x v="2"/>
    <s v="Laptops"/>
    <s v="Hp 15S"/>
    <x v="2"/>
    <s v="Delivered"/>
    <n v="35"/>
    <n v="48500"/>
    <n v="0.15"/>
    <n v="30200"/>
    <n v="1697499.85"/>
    <n v="1057000"/>
    <n v="640499.85000000009"/>
    <n v="0.37731953260555517"/>
  </r>
  <r>
    <s v="ORD-115465"/>
    <x v="397"/>
    <x v="1"/>
    <s v="April"/>
    <x v="3"/>
    <s v="Lucknow"/>
    <s v="Rahul Singh"/>
    <x v="2"/>
    <x v="0"/>
    <s v="Footwear"/>
    <s v="Adidas Sports Shoes"/>
    <x v="1"/>
    <s v="Returned"/>
    <n v="18"/>
    <n v="5999"/>
    <n v="0.2"/>
    <n v="3890"/>
    <n v="107981.8"/>
    <n v="70020"/>
    <n v="37961.800000000003"/>
    <n v="0.35155739207903558"/>
  </r>
  <r>
    <s v="ORD-115110"/>
    <x v="398"/>
    <x v="1"/>
    <s v="April"/>
    <x v="3"/>
    <s v="Lucknow"/>
    <s v="Sourav Das"/>
    <x v="2"/>
    <x v="4"/>
    <s v="Fitness Equipment"/>
    <s v="Dumbbell Set"/>
    <x v="1"/>
    <s v="Returned"/>
    <n v="34"/>
    <n v="3499"/>
    <n v="0.12"/>
    <n v="2190"/>
    <n v="118965.88"/>
    <n v="74460"/>
    <n v="44505.880000000005"/>
    <n v="0.37410625634845895"/>
  </r>
  <r>
    <s v="ORD-114868"/>
    <x v="399"/>
    <x v="1"/>
    <s v="April"/>
    <x v="4"/>
    <s v="Chennai"/>
    <s v="Neha Deshpande"/>
    <x v="1"/>
    <x v="3"/>
    <s v="Kitchen Appliances"/>
    <s v="Prestige Mixer Grinder"/>
    <x v="2"/>
    <s v="Delivered"/>
    <n v="1"/>
    <n v="4680"/>
    <n v="0.1"/>
    <n v="3250"/>
    <n v="4679.8999999999996"/>
    <n v="3250"/>
    <n v="1429.8999999999996"/>
    <n v="0.30554071668198035"/>
  </r>
  <r>
    <s v="ORD-114879"/>
    <x v="399"/>
    <x v="1"/>
    <s v="April"/>
    <x v="4"/>
    <s v="Kochi"/>
    <s v="Kartik Raman"/>
    <x v="0"/>
    <x v="3"/>
    <s v="Washing Machines"/>
    <s v="Ifb 7Kg Washing Machine"/>
    <x v="1"/>
    <s v="Delivered"/>
    <n v="32"/>
    <n v="31990"/>
    <n v="0.05"/>
    <n v="21800"/>
    <n v="1023679.95"/>
    <n v="697600"/>
    <n v="326079.94999999995"/>
    <n v="0.3185370095409214"/>
  </r>
  <r>
    <s v="ORD-115040"/>
    <x v="399"/>
    <x v="1"/>
    <s v="April"/>
    <x v="3"/>
    <s v="Lucknow"/>
    <s v="Neha Deshpande"/>
    <x v="0"/>
    <x v="4"/>
    <s v="Fitness Equipment"/>
    <s v="Yoga Mat"/>
    <x v="0"/>
    <s v="Returned"/>
    <n v="17"/>
    <n v="1299"/>
    <n v="0.05"/>
    <n v="720"/>
    <n v="22082.95"/>
    <n v="12240"/>
    <n v="9842.9500000000007"/>
    <n v="0.44572622770055631"/>
  </r>
  <r>
    <s v="ORD-114915"/>
    <x v="400"/>
    <x v="1"/>
    <s v="April"/>
    <x v="1"/>
    <s v="Surat"/>
    <s v="Neha Deshpande"/>
    <x v="0"/>
    <x v="0"/>
    <s v="Footwear"/>
    <s v="Puma Sneakers"/>
    <x v="0"/>
    <s v="Delivered"/>
    <n v="19"/>
    <n v="4499"/>
    <n v="0.18"/>
    <n v="2910"/>
    <n v="85480.82"/>
    <n v="55290"/>
    <n v="30190.820000000007"/>
    <n v="0.35318823567672847"/>
  </r>
  <r>
    <s v="ORD-115002"/>
    <x v="400"/>
    <x v="1"/>
    <s v="April"/>
    <x v="1"/>
    <s v="Mumbai"/>
    <s v="Pooja Chouhan"/>
    <x v="0"/>
    <x v="2"/>
    <s v="Mobiles"/>
    <s v="Oneplus Nord Ce 3"/>
    <x v="2"/>
    <s v="Delivered"/>
    <n v="26"/>
    <n v="25999"/>
    <n v="0.15"/>
    <n v="17800"/>
    <n v="675973.85"/>
    <n v="462800"/>
    <n v="213173.84999999998"/>
    <n v="0.31535813108746735"/>
  </r>
  <r>
    <s v="ORD-115207"/>
    <x v="400"/>
    <x v="1"/>
    <s v="April"/>
    <x v="3"/>
    <s v="Jaipur"/>
    <s v="Ritika Ghosh"/>
    <x v="1"/>
    <x v="0"/>
    <s v="Footwear"/>
    <s v="Adidas Sports Shoes"/>
    <x v="1"/>
    <s v="Pending"/>
    <n v="18"/>
    <n v="5999"/>
    <n v="0.2"/>
    <n v="3890"/>
    <n v="107981.8"/>
    <n v="70020"/>
    <n v="37961.800000000003"/>
    <n v="0.35155739207903558"/>
  </r>
  <r>
    <s v="ORD-114844"/>
    <x v="401"/>
    <x v="1"/>
    <s v="April"/>
    <x v="3"/>
    <s v="Lucknow"/>
    <s v="Aditya Verma"/>
    <x v="1"/>
    <x v="2"/>
    <s v="Laptops"/>
    <s v="Dell Inspiron 3511"/>
    <x v="1"/>
    <s v="Pending"/>
    <n v="13"/>
    <n v="55230"/>
    <n v="0.1"/>
    <n v="33800"/>
    <n v="717989.9"/>
    <n v="439400"/>
    <n v="278589.90000000002"/>
    <n v="0.38801367540128351"/>
  </r>
  <r>
    <s v="ORD-115084"/>
    <x v="401"/>
    <x v="1"/>
    <s v="April"/>
    <x v="4"/>
    <s v="Hyderabad"/>
    <s v="Rahul Singh"/>
    <x v="2"/>
    <x v="4"/>
    <s v="Fitness Equipment"/>
    <s v="Yoga Mat"/>
    <x v="0"/>
    <s v="Delivered"/>
    <n v="10"/>
    <n v="1299"/>
    <n v="0.18"/>
    <n v="720"/>
    <n v="12989.82"/>
    <n v="7200"/>
    <n v="5789.82"/>
    <n v="0.44571980212196932"/>
  </r>
  <r>
    <s v="ORD-115043"/>
    <x v="402"/>
    <x v="1"/>
    <s v="April"/>
    <x v="2"/>
    <s v="Bhopal"/>
    <s v="Simran Kaur"/>
    <x v="2"/>
    <x v="0"/>
    <s v="Apparel"/>
    <s v="Denim Jeans"/>
    <x v="2"/>
    <s v="Delivered"/>
    <n v="17"/>
    <n v="2499"/>
    <n v="0.08"/>
    <n v="1510"/>
    <n v="42482.92"/>
    <n v="25670"/>
    <n v="16812.919999999998"/>
    <n v="0.3957571654679104"/>
  </r>
  <r>
    <s v="ORD-115165"/>
    <x v="402"/>
    <x v="1"/>
    <s v="April"/>
    <x v="4"/>
    <s v="Chennai"/>
    <s v="Rahul Singh"/>
    <x v="0"/>
    <x v="3"/>
    <s v="Washing Machines"/>
    <s v="Samsung 7Kg Washing Machine"/>
    <x v="0"/>
    <s v="Cancelled"/>
    <n v="19"/>
    <n v="32800"/>
    <n v="0.08"/>
    <n v="23100"/>
    <n v="623199.92000000004"/>
    <n v="438900"/>
    <n v="184299.92000000004"/>
    <n v="0.29573161691034883"/>
  </r>
  <r>
    <s v="ORD-114757"/>
    <x v="403"/>
    <x v="1"/>
    <s v="April"/>
    <x v="3"/>
    <s v="Delhi"/>
    <s v="Anjali Mehta"/>
    <x v="1"/>
    <x v="0"/>
    <s v="Apparel"/>
    <s v="Women'S Kurti"/>
    <x v="1"/>
    <s v="Cancelled"/>
    <n v="38"/>
    <n v="1599"/>
    <n v="0.08"/>
    <n v="920"/>
    <n v="60761.919999999998"/>
    <n v="34960"/>
    <n v="25801.919999999998"/>
    <n v="0.42463964272360055"/>
  </r>
  <r>
    <s v="ORD-114769"/>
    <x v="403"/>
    <x v="1"/>
    <s v="April"/>
    <x v="0"/>
    <s v="Patna"/>
    <s v="Kartik Raman"/>
    <x v="0"/>
    <x v="2"/>
    <s v="Laptops"/>
    <s v="Lenovo Ideapad 3"/>
    <x v="2"/>
    <s v="Delivered"/>
    <n v="9"/>
    <n v="48990"/>
    <n v="0.05"/>
    <n v="30100"/>
    <n v="440909.95"/>
    <n v="270900"/>
    <n v="170009.95"/>
    <n v="0.38558882601764827"/>
  </r>
  <r>
    <s v="ORD-114797"/>
    <x v="403"/>
    <x v="1"/>
    <s v="April"/>
    <x v="0"/>
    <s v="Patna"/>
    <s v="Ritika Ghosh"/>
    <x v="0"/>
    <x v="3"/>
    <s v="Washing Machines"/>
    <s v="Lg 6.5Kg Washing Machine"/>
    <x v="2"/>
    <s v="Cancelled"/>
    <n v="8"/>
    <n v="29010"/>
    <n v="0.05"/>
    <n v="19150"/>
    <n v="232079.95"/>
    <n v="153200"/>
    <n v="78879.950000000012"/>
    <n v="0.33988265681718738"/>
  </r>
  <r>
    <s v="ORD-114856"/>
    <x v="403"/>
    <x v="1"/>
    <s v="April"/>
    <x v="1"/>
    <s v="Pune"/>
    <s v="Imran Sheikh"/>
    <x v="2"/>
    <x v="1"/>
    <s v="Tables"/>
    <s v="Office Work Table"/>
    <x v="0"/>
    <s v="Returned"/>
    <n v="30"/>
    <n v="12490"/>
    <n v="0.1"/>
    <n v="7900"/>
    <n v="374699.9"/>
    <n v="237000"/>
    <n v="137699.90000000002"/>
    <n v="0.36749382639280131"/>
  </r>
  <r>
    <s v="ORD-115070"/>
    <x v="404"/>
    <x v="1"/>
    <s v="April"/>
    <x v="1"/>
    <s v="Surat"/>
    <s v="Sourav Das"/>
    <x v="1"/>
    <x v="3"/>
    <s v="Refrigerators"/>
    <s v="Whirlpool 265L Refrigerator"/>
    <x v="2"/>
    <s v="Cancelled"/>
    <n v="14"/>
    <n v="27890"/>
    <n v="0.08"/>
    <n v="18800"/>
    <n v="390459.92"/>
    <n v="263200"/>
    <n v="127259.91999999998"/>
    <n v="0.32592313187996347"/>
  </r>
  <r>
    <s v="ORD-114968"/>
    <x v="405"/>
    <x v="1"/>
    <s v="April"/>
    <x v="2"/>
    <s v="Ujjain"/>
    <s v="Anjali Mehta"/>
    <x v="0"/>
    <x v="4"/>
    <s v="Fitness Equipment"/>
    <s v="Resistance Bands"/>
    <x v="2"/>
    <s v="Cancelled"/>
    <n v="39"/>
    <n v="999"/>
    <n v="0.1"/>
    <n v="540"/>
    <n v="38960.9"/>
    <n v="21060"/>
    <n v="17900.900000000001"/>
    <n v="0.45945807206712375"/>
  </r>
  <r>
    <s v="ORD-115129"/>
    <x v="405"/>
    <x v="1"/>
    <s v="April"/>
    <x v="3"/>
    <s v="Lucknow"/>
    <s v="Imran Sheikh"/>
    <x v="0"/>
    <x v="0"/>
    <s v="Footwear"/>
    <s v="Adidas Sports Shoes"/>
    <x v="2"/>
    <s v="Cancelled"/>
    <n v="3"/>
    <n v="5999"/>
    <n v="0.08"/>
    <n v="3890"/>
    <n v="17996.919999999998"/>
    <n v="11670"/>
    <n v="6326.9199999999983"/>
    <n v="0.35155571064382124"/>
  </r>
  <r>
    <s v="ORD-114861"/>
    <x v="406"/>
    <x v="1"/>
    <s v="April"/>
    <x v="2"/>
    <s v="Ujjain"/>
    <s v="Neha Deshpande"/>
    <x v="1"/>
    <x v="2"/>
    <s v="Audio Devices"/>
    <s v="Jbl Tune 510Bt"/>
    <x v="2"/>
    <s v="Cancelled"/>
    <n v="11"/>
    <n v="3299"/>
    <n v="0.1"/>
    <n v="2050"/>
    <n v="36288.9"/>
    <n v="22550"/>
    <n v="13738.900000000001"/>
    <n v="0.37859786325846195"/>
  </r>
  <r>
    <s v="ORD-115006"/>
    <x v="406"/>
    <x v="1"/>
    <s v="April"/>
    <x v="0"/>
    <s v="Patna"/>
    <s v="Anjali Mehta"/>
    <x v="0"/>
    <x v="1"/>
    <s v="Sofas"/>
    <s v="L-Shape Sofa"/>
    <x v="2"/>
    <s v="Delivered"/>
    <n v="25"/>
    <n v="52990"/>
    <n v="0.08"/>
    <n v="35100"/>
    <n v="1324749.92"/>
    <n v="877500"/>
    <n v="447249.91999999993"/>
    <n v="0.33761082997461134"/>
  </r>
  <r>
    <s v="ORD-114764"/>
    <x v="407"/>
    <x v="1"/>
    <s v="April"/>
    <x v="4"/>
    <s v="Chennai"/>
    <s v="Aditya Verma"/>
    <x v="1"/>
    <x v="4"/>
    <s v="Fitness Equipment"/>
    <s v="Yoga Mat"/>
    <x v="2"/>
    <s v="Cancelled"/>
    <n v="20"/>
    <n v="1299"/>
    <n v="0.08"/>
    <n v="720"/>
    <n v="25979.919999999998"/>
    <n v="14400"/>
    <n v="11579.919999999998"/>
    <n v="0.44572577590693119"/>
  </r>
  <r>
    <s v="ORD-114971"/>
    <x v="407"/>
    <x v="1"/>
    <s v="April"/>
    <x v="4"/>
    <s v="Hyderabad"/>
    <s v="Pooja Chouhan"/>
    <x v="2"/>
    <x v="3"/>
    <s v="Washing Machines"/>
    <s v="Samsung 7Kg Washing Machine"/>
    <x v="2"/>
    <s v="Delivered"/>
    <n v="16"/>
    <n v="32800"/>
    <n v="0.2"/>
    <n v="23100"/>
    <n v="524799.80000000005"/>
    <n v="369600"/>
    <n v="155199.80000000005"/>
    <n v="0.29573143892204234"/>
  </r>
  <r>
    <s v="ORD-114784"/>
    <x v="408"/>
    <x v="1"/>
    <s v="April"/>
    <x v="4"/>
    <s v="Chennai"/>
    <s v="Simran Kaur"/>
    <x v="2"/>
    <x v="0"/>
    <s v="Footwear"/>
    <s v="Puma Sneakers"/>
    <x v="0"/>
    <s v="Pending"/>
    <n v="8"/>
    <n v="4499"/>
    <n v="0.18"/>
    <n v="2910"/>
    <n v="35991.82"/>
    <n v="23280"/>
    <n v="12711.82"/>
    <n v="0.35318636290134814"/>
  </r>
  <r>
    <s v="ORD-114894"/>
    <x v="408"/>
    <x v="1"/>
    <s v="April"/>
    <x v="0"/>
    <s v="Ranchi"/>
    <s v="Anjali Mehta"/>
    <x v="1"/>
    <x v="0"/>
    <s v="Footwear"/>
    <s v="Puma Sneakers"/>
    <x v="1"/>
    <s v="Cancelled"/>
    <n v="37"/>
    <n v="4499"/>
    <n v="0.2"/>
    <n v="2910"/>
    <n v="166462.79999999999"/>
    <n v="107670"/>
    <n v="58792.799999999988"/>
    <n v="0.35318882056531548"/>
  </r>
  <r>
    <s v="ORD-114897"/>
    <x v="408"/>
    <x v="1"/>
    <s v="April"/>
    <x v="1"/>
    <s v="Surat"/>
    <s v="Ritika Ghosh"/>
    <x v="1"/>
    <x v="2"/>
    <s v="Mobiles"/>
    <s v="Oneplus Nord Ce 3"/>
    <x v="0"/>
    <s v="Pending"/>
    <n v="3"/>
    <n v="25999"/>
    <n v="0.05"/>
    <n v="17800"/>
    <n v="77996.95"/>
    <n v="53400"/>
    <n v="24596.949999999997"/>
    <n v="0.31535784412082779"/>
  </r>
  <r>
    <s v="ORD-115226"/>
    <x v="408"/>
    <x v="1"/>
    <s v="April"/>
    <x v="2"/>
    <s v="Bhopal"/>
    <s v="Pooja Chouhan"/>
    <x v="0"/>
    <x v="3"/>
    <s v="Washing Machines"/>
    <s v="Samsung 7Kg Washing Machine"/>
    <x v="2"/>
    <s v="Pending"/>
    <n v="26"/>
    <n v="32800"/>
    <n v="0.18"/>
    <n v="23100"/>
    <n v="852799.82"/>
    <n v="600600"/>
    <n v="252199.81999999995"/>
    <n v="0.2957315586675428"/>
  </r>
  <r>
    <s v="ORD-114829"/>
    <x v="409"/>
    <x v="1"/>
    <s v="April"/>
    <x v="1"/>
    <s v="Mumbai"/>
    <s v="Simran Kaur"/>
    <x v="1"/>
    <x v="2"/>
    <s v="Audio Devices"/>
    <s v="Boat Airdopes 131"/>
    <x v="0"/>
    <s v="Delivered"/>
    <n v="30"/>
    <n v="1930"/>
    <n v="0.15"/>
    <n v="1120"/>
    <n v="57899.85"/>
    <n v="33600"/>
    <n v="24299.85"/>
    <n v="0.41968761577102531"/>
  </r>
  <r>
    <s v="ORD-115022"/>
    <x v="410"/>
    <x v="1"/>
    <s v="April"/>
    <x v="1"/>
    <s v="Mumbai"/>
    <s v="Pooja Chouhan"/>
    <x v="1"/>
    <x v="3"/>
    <s v="Washing Machines"/>
    <s v="Ifb 7Kg Washing Machine"/>
    <x v="0"/>
    <s v="Delivered"/>
    <n v="39"/>
    <n v="31990"/>
    <n v="0.12"/>
    <n v="21800"/>
    <n v="1247609.8799999999"/>
    <n v="850200"/>
    <n v="397409.87999999989"/>
    <n v="0.31853697728010932"/>
  </r>
  <r>
    <s v="ORD-115195"/>
    <x v="410"/>
    <x v="1"/>
    <s v="April"/>
    <x v="0"/>
    <s v="Patna"/>
    <s v="Rahul Singh"/>
    <x v="2"/>
    <x v="4"/>
    <s v="Fitness Equipment"/>
    <s v="Yoga Mat"/>
    <x v="0"/>
    <s v="Delivered"/>
    <n v="7"/>
    <n v="1299"/>
    <n v="0.18"/>
    <n v="720"/>
    <n v="9092.82"/>
    <n v="5040"/>
    <n v="4052.8199999999997"/>
    <n v="0.4457165103895161"/>
  </r>
  <r>
    <s v="ORD-115350"/>
    <x v="410"/>
    <x v="1"/>
    <s v="April"/>
    <x v="4"/>
    <s v="Hyderabad"/>
    <s v="Pooja Chouhan"/>
    <x v="0"/>
    <x v="3"/>
    <s v="Refrigerators"/>
    <s v="Lg 260L Double Door"/>
    <x v="1"/>
    <s v="Delivered"/>
    <n v="29"/>
    <n v="29010"/>
    <n v="0.18"/>
    <n v="19100"/>
    <n v="841289.82"/>
    <n v="553900"/>
    <n v="287389.81999999995"/>
    <n v="0.34160620177241652"/>
  </r>
  <r>
    <s v="ORD-115431"/>
    <x v="410"/>
    <x v="1"/>
    <s v="April"/>
    <x v="0"/>
    <s v="Kolkata"/>
    <s v="Ritika Ghosh"/>
    <x v="0"/>
    <x v="0"/>
    <s v="Apparel"/>
    <s v="Men'S Casual Shirt"/>
    <x v="1"/>
    <s v="Pending"/>
    <n v="32"/>
    <n v="1899"/>
    <n v="0.2"/>
    <n v="1080"/>
    <n v="60767.8"/>
    <n v="34560"/>
    <n v="26207.800000000003"/>
    <n v="0.4312777490710541"/>
  </r>
  <r>
    <s v="ORD-115428"/>
    <x v="411"/>
    <x v="1"/>
    <s v="April"/>
    <x v="1"/>
    <s v="Pune"/>
    <s v="Sourav Das"/>
    <x v="0"/>
    <x v="2"/>
    <s v="Mobiles"/>
    <s v="Iphone 13"/>
    <x v="1"/>
    <s v="Delivered"/>
    <n v="38"/>
    <n v="52990"/>
    <n v="0.08"/>
    <n v="39500"/>
    <n v="2013619.92"/>
    <n v="1501000"/>
    <n v="512619.91999999993"/>
    <n v="0.25457630554230909"/>
  </r>
  <r>
    <s v="ORD-114839"/>
    <x v="412"/>
    <x v="1"/>
    <s v="April"/>
    <x v="1"/>
    <s v="Surat"/>
    <s v="Simran Kaur"/>
    <x v="0"/>
    <x v="4"/>
    <s v="Fitness Equipment"/>
    <s v="Resistance Bands"/>
    <x v="0"/>
    <s v="Returned"/>
    <n v="3"/>
    <n v="999"/>
    <n v="0.08"/>
    <n v="540"/>
    <n v="2996.92"/>
    <n v="1620"/>
    <n v="1376.92"/>
    <n v="0.45944503023103722"/>
  </r>
  <r>
    <s v="ORD-115317"/>
    <x v="412"/>
    <x v="1"/>
    <s v="April"/>
    <x v="2"/>
    <s v="Bhopal"/>
    <s v="Imran Sheikh"/>
    <x v="2"/>
    <x v="2"/>
    <s v="Mobiles"/>
    <s v="Samsung Galaxy M34"/>
    <x v="0"/>
    <s v="Pending"/>
    <n v="13"/>
    <n v="22999"/>
    <n v="0.08"/>
    <n v="15100"/>
    <n v="298986.92"/>
    <n v="196300"/>
    <n v="102686.91999999998"/>
    <n v="0.34344953953169588"/>
  </r>
  <r>
    <s v="ORD-114808"/>
    <x v="413"/>
    <x v="1"/>
    <s v="April"/>
    <x v="2"/>
    <s v="Bhopal"/>
    <s v="Sourav Das"/>
    <x v="1"/>
    <x v="2"/>
    <s v="Laptops"/>
    <s v="Dell Inspiron 3511"/>
    <x v="2"/>
    <s v="Delivered"/>
    <n v="29"/>
    <n v="55230"/>
    <n v="0.05"/>
    <n v="33800"/>
    <n v="1601669.95"/>
    <n v="980200"/>
    <n v="621469.94999999995"/>
    <n v="0.38801374153270463"/>
  </r>
  <r>
    <s v="ORD-114910"/>
    <x v="413"/>
    <x v="1"/>
    <s v="April"/>
    <x v="2"/>
    <s v="Indore"/>
    <s v="Sourav Das"/>
    <x v="0"/>
    <x v="1"/>
    <s v="Sofas"/>
    <s v="L-Shape Sofa"/>
    <x v="1"/>
    <s v="Pending"/>
    <n v="39"/>
    <n v="52990"/>
    <n v="0.15"/>
    <n v="35100"/>
    <n v="2066609.85"/>
    <n v="1368900"/>
    <n v="697709.85000000009"/>
    <n v="0.33761082189751496"/>
  </r>
  <r>
    <s v="ORD-115228"/>
    <x v="413"/>
    <x v="1"/>
    <s v="April"/>
    <x v="0"/>
    <s v="Patna"/>
    <s v="Imran Sheikh"/>
    <x v="0"/>
    <x v="4"/>
    <s v="Fitness Equipment"/>
    <s v="Dumbbell Set"/>
    <x v="2"/>
    <s v="Returned"/>
    <n v="38"/>
    <n v="3499"/>
    <n v="0.05"/>
    <n v="2190"/>
    <n v="132961.95000000001"/>
    <n v="83220"/>
    <n v="49741.950000000012"/>
    <n v="0.37410665231669665"/>
  </r>
  <r>
    <s v="ORD-114814"/>
    <x v="414"/>
    <x v="1"/>
    <s v="April"/>
    <x v="1"/>
    <s v="Surat"/>
    <s v="Rahul Singh"/>
    <x v="1"/>
    <x v="4"/>
    <s v="Fitness Equipment"/>
    <s v="Dumbbell Set"/>
    <x v="2"/>
    <s v="Pending"/>
    <n v="3"/>
    <n v="3499"/>
    <n v="0.18"/>
    <n v="2190"/>
    <n v="10496.82"/>
    <n v="6570"/>
    <n v="3926.8199999999997"/>
    <n v="0.37409615483546443"/>
  </r>
  <r>
    <s v="ORD-114991"/>
    <x v="414"/>
    <x v="1"/>
    <s v="April"/>
    <x v="3"/>
    <s v="Lucknow"/>
    <s v="Neha Deshpande"/>
    <x v="1"/>
    <x v="1"/>
    <s v="Sofas"/>
    <s v="Single Seater Recliner"/>
    <x v="0"/>
    <s v="Cancelled"/>
    <n v="16"/>
    <n v="43500"/>
    <n v="0.08"/>
    <n v="29520"/>
    <n v="695999.92"/>
    <n v="472320"/>
    <n v="223679.92000000004"/>
    <n v="0.32137923234244054"/>
  </r>
  <r>
    <s v="ORD-115144"/>
    <x v="414"/>
    <x v="1"/>
    <s v="April"/>
    <x v="0"/>
    <s v="Ranchi"/>
    <s v="Sourav Das"/>
    <x v="2"/>
    <x v="2"/>
    <s v="Audio Devices"/>
    <s v="Sony Wh-Ch520"/>
    <x v="1"/>
    <s v="Cancelled"/>
    <n v="6"/>
    <n v="4490"/>
    <n v="0.05"/>
    <n v="2950"/>
    <n v="26939.95"/>
    <n v="17700"/>
    <n v="9239.9500000000007"/>
    <n v="0.34298319039196434"/>
  </r>
  <r>
    <s v="ORD-115390"/>
    <x v="414"/>
    <x v="1"/>
    <s v="April"/>
    <x v="4"/>
    <s v="Bengaluru"/>
    <s v="Aditya Verma"/>
    <x v="1"/>
    <x v="0"/>
    <s v="Footwear"/>
    <s v="Puma Sneakers"/>
    <x v="1"/>
    <s v="Cancelled"/>
    <n v="37"/>
    <n v="4499"/>
    <n v="0.05"/>
    <n v="2910"/>
    <n v="166462.95000000001"/>
    <n v="107670"/>
    <n v="58792.950000000012"/>
    <n v="0.35318940340778537"/>
  </r>
  <r>
    <s v="ORD-114913"/>
    <x v="415"/>
    <x v="1"/>
    <s v="April"/>
    <x v="2"/>
    <s v="Raipur"/>
    <s v="Aditya Verma"/>
    <x v="0"/>
    <x v="1"/>
    <s v="Sofas"/>
    <s v="Single Seater Recliner"/>
    <x v="2"/>
    <s v="Delivered"/>
    <n v="14"/>
    <n v="43500"/>
    <n v="0.2"/>
    <n v="29520"/>
    <n v="608999.80000000005"/>
    <n v="413280"/>
    <n v="195719.80000000005"/>
    <n v="0.32137908748081695"/>
  </r>
  <r>
    <s v="ORD-115074"/>
    <x v="416"/>
    <x v="1"/>
    <s v="April"/>
    <x v="1"/>
    <s v="Mumbai"/>
    <s v="Simran Kaur"/>
    <x v="1"/>
    <x v="0"/>
    <s v="Footwear"/>
    <s v="Nike Running Shoes"/>
    <x v="1"/>
    <s v="Pending"/>
    <n v="19"/>
    <n v="6499"/>
    <n v="0.2"/>
    <n v="4210"/>
    <n v="123480.8"/>
    <n v="79990"/>
    <n v="43490.8"/>
    <n v="0.35220698278598778"/>
  </r>
  <r>
    <s v="ORD-115118"/>
    <x v="416"/>
    <x v="1"/>
    <s v="April"/>
    <x v="3"/>
    <s v="Delhi"/>
    <s v="Simran Kaur"/>
    <x v="2"/>
    <x v="3"/>
    <s v="Refrigerators"/>
    <s v="Samsung 253L Refrigerator"/>
    <x v="2"/>
    <s v="Cancelled"/>
    <n v="20"/>
    <n v="31490"/>
    <n v="0.2"/>
    <n v="21300"/>
    <n v="629799.80000000005"/>
    <n v="426000"/>
    <n v="203799.80000000005"/>
    <n v="0.32359457719738882"/>
  </r>
  <r>
    <s v="ORD-115344"/>
    <x v="416"/>
    <x v="1"/>
    <s v="April"/>
    <x v="4"/>
    <s v="Hyderabad"/>
    <s v="Sourav Das"/>
    <x v="0"/>
    <x v="3"/>
    <s v="Washing Machines"/>
    <s v="Samsung 7Kg Washing Machine"/>
    <x v="2"/>
    <s v="Delivered"/>
    <n v="40"/>
    <n v="32800"/>
    <n v="0.15"/>
    <n v="23100"/>
    <n v="1311999.8500000001"/>
    <n v="924000"/>
    <n v="387999.85000000009"/>
    <n v="0.29573162679858545"/>
  </r>
  <r>
    <s v="ORD-114939"/>
    <x v="417"/>
    <x v="1"/>
    <s v="April"/>
    <x v="1"/>
    <s v="Surat"/>
    <s v="Anjali Mehta"/>
    <x v="0"/>
    <x v="1"/>
    <s v="Sofas"/>
    <s v="L-Shape Sofa"/>
    <x v="2"/>
    <s v="Delivered"/>
    <n v="28"/>
    <n v="52990"/>
    <n v="0.15"/>
    <n v="35100"/>
    <n v="1483719.85"/>
    <n v="982800"/>
    <n v="500919.85000000009"/>
    <n v="0.33761080300974611"/>
  </r>
  <r>
    <s v="ORD-115451"/>
    <x v="417"/>
    <x v="1"/>
    <s v="April"/>
    <x v="0"/>
    <s v="Patna"/>
    <s v="Pooja Chouhan"/>
    <x v="2"/>
    <x v="0"/>
    <s v="Footwear"/>
    <s v="Nike Running Shoes"/>
    <x v="1"/>
    <s v="Pending"/>
    <n v="3"/>
    <n v="6499"/>
    <n v="0.08"/>
    <n v="4210"/>
    <n v="19496.919999999998"/>
    <n v="12630"/>
    <n v="6866.9199999999983"/>
    <n v="0.35220537397701784"/>
  </r>
  <r>
    <s v="ORD-115167"/>
    <x v="418"/>
    <x v="1"/>
    <s v="April"/>
    <x v="0"/>
    <s v="Patna"/>
    <s v="Imran Sheikh"/>
    <x v="1"/>
    <x v="1"/>
    <s v="Sofas"/>
    <s v="L-Shape Sofa"/>
    <x v="0"/>
    <s v="Delivered"/>
    <n v="20"/>
    <n v="52990"/>
    <n v="0.2"/>
    <n v="35100"/>
    <n v="1059799.8"/>
    <n v="702000"/>
    <n v="357799.80000000005"/>
    <n v="0.33761074497277699"/>
  </r>
  <r>
    <s v="ORD-115466"/>
    <x v="418"/>
    <x v="1"/>
    <s v="April"/>
    <x v="4"/>
    <s v="Kochi"/>
    <s v="Pooja Chouhan"/>
    <x v="2"/>
    <x v="2"/>
    <s v="Audio Devices"/>
    <s v="Jbl Tune 510Bt"/>
    <x v="0"/>
    <s v="Returned"/>
    <n v="32"/>
    <n v="3299"/>
    <n v="0.2"/>
    <n v="2050"/>
    <n v="105567.8"/>
    <n v="65600"/>
    <n v="39967.800000000003"/>
    <n v="0.37859839837526216"/>
  </r>
  <r>
    <s v="ORD-114874"/>
    <x v="419"/>
    <x v="1"/>
    <s v="April"/>
    <x v="0"/>
    <s v="Patna"/>
    <s v="Ritika Ghosh"/>
    <x v="0"/>
    <x v="2"/>
    <s v="Audio Devices"/>
    <s v="Sony Wh-Ch520"/>
    <x v="2"/>
    <s v="Cancelled"/>
    <n v="33"/>
    <n v="4490"/>
    <n v="0.18"/>
    <n v="2950"/>
    <n v="148169.82"/>
    <n v="97350"/>
    <n v="50819.820000000007"/>
    <n v="0.3429836116423709"/>
  </r>
  <r>
    <s v="ORD-114896"/>
    <x v="420"/>
    <x v="1"/>
    <s v="May"/>
    <x v="4"/>
    <s v="Bengaluru"/>
    <s v="Rahul Singh"/>
    <x v="1"/>
    <x v="0"/>
    <s v="Footwear"/>
    <s v="Adidas Sports Shoes"/>
    <x v="1"/>
    <s v="Delivered"/>
    <n v="2"/>
    <n v="5999"/>
    <n v="0.15"/>
    <n v="3890"/>
    <n v="11997.85"/>
    <n v="7780"/>
    <n v="4217.8500000000004"/>
    <n v="0.35155048612876477"/>
  </r>
  <r>
    <s v="ORD-115186"/>
    <x v="420"/>
    <x v="1"/>
    <s v="May"/>
    <x v="2"/>
    <s v="Raipur"/>
    <s v="Pooja Chouhan"/>
    <x v="0"/>
    <x v="3"/>
    <s v="Refrigerators"/>
    <s v="Samsung 253L Refrigerator"/>
    <x v="0"/>
    <s v="Cancelled"/>
    <n v="21"/>
    <n v="31490"/>
    <n v="0.18"/>
    <n v="21300"/>
    <n v="661289.81999999995"/>
    <n v="447300"/>
    <n v="213989.81999999995"/>
    <n v="0.32359460788312144"/>
  </r>
  <r>
    <s v="ORD-115446"/>
    <x v="420"/>
    <x v="1"/>
    <s v="May"/>
    <x v="3"/>
    <s v="Chandigarh"/>
    <s v="Simran Kaur"/>
    <x v="1"/>
    <x v="2"/>
    <s v="Laptops"/>
    <s v="Hp 15S"/>
    <x v="1"/>
    <s v="Pending"/>
    <n v="11"/>
    <n v="48500"/>
    <n v="0.18"/>
    <n v="30200"/>
    <n v="533499.81999999995"/>
    <n v="332200"/>
    <n v="201299.81999999995"/>
    <n v="0.37731937753980865"/>
  </r>
  <r>
    <s v="ORD-114826"/>
    <x v="421"/>
    <x v="1"/>
    <s v="May"/>
    <x v="2"/>
    <s v="Bhopal"/>
    <s v="Rahul Singh"/>
    <x v="0"/>
    <x v="2"/>
    <s v="Audio Devices"/>
    <s v="Sony Wh-Ch520"/>
    <x v="0"/>
    <s v="Returned"/>
    <n v="10"/>
    <n v="4490"/>
    <n v="0.05"/>
    <n v="2950"/>
    <n v="44899.95"/>
    <n v="29500"/>
    <n v="15399.949999999997"/>
    <n v="0.34298367815554354"/>
  </r>
  <r>
    <s v="ORD-115105"/>
    <x v="421"/>
    <x v="1"/>
    <s v="May"/>
    <x v="4"/>
    <s v="Chennai"/>
    <s v="Ritika Ghosh"/>
    <x v="2"/>
    <x v="2"/>
    <s v="Mobiles"/>
    <s v="Iphone 13"/>
    <x v="2"/>
    <s v="Delivered"/>
    <n v="15"/>
    <n v="52990"/>
    <n v="0.2"/>
    <n v="39500"/>
    <n v="794849.8"/>
    <n v="592500"/>
    <n v="202349.80000000005"/>
    <n v="0.25457614759417446"/>
  </r>
  <r>
    <s v="ORD-115391"/>
    <x v="421"/>
    <x v="1"/>
    <s v="May"/>
    <x v="3"/>
    <s v="Delhi"/>
    <s v="Pooja Chouhan"/>
    <x v="2"/>
    <x v="0"/>
    <s v="Apparel"/>
    <s v="Women'S Kurti"/>
    <x v="0"/>
    <s v="Pending"/>
    <n v="25"/>
    <n v="1599"/>
    <n v="0.12"/>
    <n v="920"/>
    <n v="39974.879999999997"/>
    <n v="23000"/>
    <n v="16974.879999999997"/>
    <n v="0.42463867308669839"/>
  </r>
  <r>
    <s v="ORD-114919"/>
    <x v="422"/>
    <x v="1"/>
    <s v="May"/>
    <x v="2"/>
    <s v="Bhopal"/>
    <s v="Imran Sheikh"/>
    <x v="0"/>
    <x v="3"/>
    <s v="Refrigerators"/>
    <s v="Whirlpool 265L Refrigerator"/>
    <x v="2"/>
    <s v="Delivered"/>
    <n v="3"/>
    <n v="27890"/>
    <n v="0.05"/>
    <n v="18800"/>
    <n v="83669.95"/>
    <n v="56400"/>
    <n v="27269.949999999997"/>
    <n v="0.32592286717035207"/>
  </r>
  <r>
    <s v="ORD-114875"/>
    <x v="423"/>
    <x v="1"/>
    <s v="May"/>
    <x v="2"/>
    <s v="Ujjain"/>
    <s v="Aditya Verma"/>
    <x v="1"/>
    <x v="4"/>
    <s v="Fitness Equipment"/>
    <s v="Dumbbell Set"/>
    <x v="1"/>
    <s v="Returned"/>
    <n v="28"/>
    <n v="3499"/>
    <n v="0.2"/>
    <n v="2190"/>
    <n v="97971.8"/>
    <n v="61320"/>
    <n v="36651.800000000003"/>
    <n v="0.37410560998164782"/>
  </r>
  <r>
    <s v="ORD-114980"/>
    <x v="423"/>
    <x v="1"/>
    <s v="May"/>
    <x v="3"/>
    <s v="Chandigarh"/>
    <s v="Anjali Mehta"/>
    <x v="0"/>
    <x v="4"/>
    <s v="Fitness Equipment"/>
    <s v="Yoga Mat"/>
    <x v="2"/>
    <s v="Delivered"/>
    <n v="31"/>
    <n v="1299"/>
    <n v="0.08"/>
    <n v="720"/>
    <n v="40268.92"/>
    <n v="22320"/>
    <n v="17948.919999999998"/>
    <n v="0.44572638153692723"/>
  </r>
  <r>
    <s v="ORD-115181"/>
    <x v="424"/>
    <x v="1"/>
    <s v="May"/>
    <x v="1"/>
    <s v="Mumbai"/>
    <s v="Aditya Verma"/>
    <x v="0"/>
    <x v="4"/>
    <s v="Fitness Equipment"/>
    <s v="Dumbbell Set"/>
    <x v="2"/>
    <s v="Returned"/>
    <n v="35"/>
    <n v="3499"/>
    <n v="0.15"/>
    <n v="2190"/>
    <n v="122464.85"/>
    <n v="76650"/>
    <n v="45814.850000000006"/>
    <n v="0.37410612106249264"/>
  </r>
  <r>
    <s v="ORD-114955"/>
    <x v="425"/>
    <x v="1"/>
    <s v="May"/>
    <x v="1"/>
    <s v="Pune"/>
    <s v="Imran Sheikh"/>
    <x v="1"/>
    <x v="4"/>
    <s v="Fitness Equipment"/>
    <s v="Yoga Mat"/>
    <x v="2"/>
    <s v="Delivered"/>
    <n v="17"/>
    <n v="1299"/>
    <n v="0.18"/>
    <n v="720"/>
    <n v="22082.82"/>
    <n v="12240"/>
    <n v="9842.82"/>
    <n v="0.44572296473004808"/>
  </r>
  <r>
    <s v="ORD-114878"/>
    <x v="426"/>
    <x v="1"/>
    <s v="May"/>
    <x v="0"/>
    <s v="Kolkata"/>
    <s v="Aditya Verma"/>
    <x v="2"/>
    <x v="1"/>
    <s v="Sofas"/>
    <s v="Single Seater Recliner"/>
    <x v="1"/>
    <s v="Pending"/>
    <n v="4"/>
    <n v="43500"/>
    <n v="0.18"/>
    <n v="29520"/>
    <n v="173999.82"/>
    <n v="118080"/>
    <n v="55919.820000000007"/>
    <n v="0.32137860832269827"/>
  </r>
  <r>
    <s v="ORD-114978"/>
    <x v="426"/>
    <x v="1"/>
    <s v="May"/>
    <x v="4"/>
    <s v="Bengaluru"/>
    <s v="Imran Sheikh"/>
    <x v="1"/>
    <x v="0"/>
    <s v="Apparel"/>
    <s v="Men'S Casual Shirt"/>
    <x v="1"/>
    <s v="Delivered"/>
    <n v="3"/>
    <n v="1899"/>
    <n v="0.08"/>
    <n v="1080"/>
    <n v="5696.92"/>
    <n v="3240"/>
    <n v="2456.92"/>
    <n v="0.4312716344972371"/>
  </r>
  <r>
    <s v="ORD-115083"/>
    <x v="427"/>
    <x v="1"/>
    <s v="May"/>
    <x v="2"/>
    <s v="Ujjain"/>
    <s v="Pooja Chouhan"/>
    <x v="0"/>
    <x v="1"/>
    <s v="Tables"/>
    <s v="Study Table"/>
    <x v="2"/>
    <s v="Returned"/>
    <n v="1"/>
    <n v="6999"/>
    <n v="0.05"/>
    <n v="4320"/>
    <n v="6998.95"/>
    <n v="4320"/>
    <n v="2678.95"/>
    <n v="0.38276455754077393"/>
  </r>
  <r>
    <s v="ORD-115016"/>
    <x v="428"/>
    <x v="1"/>
    <s v="May"/>
    <x v="1"/>
    <s v="Mumbai"/>
    <s v="Neha Deshpande"/>
    <x v="0"/>
    <x v="0"/>
    <s v="Footwear"/>
    <s v="Nike Running Shoes"/>
    <x v="1"/>
    <s v="Delivered"/>
    <n v="28"/>
    <n v="6499"/>
    <n v="0.1"/>
    <n v="4210"/>
    <n v="181971.9"/>
    <n v="117880"/>
    <n v="64091.899999999994"/>
    <n v="0.35220767602030861"/>
  </r>
  <r>
    <s v="ORD-115342"/>
    <x v="428"/>
    <x v="1"/>
    <s v="May"/>
    <x v="4"/>
    <s v="Chennai"/>
    <s v="Pooja Chouhan"/>
    <x v="2"/>
    <x v="1"/>
    <s v="Tables"/>
    <s v="Study Table"/>
    <x v="2"/>
    <s v="Delivered"/>
    <n v="30"/>
    <n v="6999"/>
    <n v="0.2"/>
    <n v="4320"/>
    <n v="209969.8"/>
    <n v="129600"/>
    <n v="80369.799999999988"/>
    <n v="0.38276837907165695"/>
  </r>
  <r>
    <s v="ORD-115456"/>
    <x v="428"/>
    <x v="1"/>
    <s v="May"/>
    <x v="0"/>
    <s v="Ranchi"/>
    <s v="Imran Sheikh"/>
    <x v="0"/>
    <x v="1"/>
    <s v="Sofas"/>
    <s v="Single Seater Recliner"/>
    <x v="0"/>
    <s v="Returned"/>
    <n v="15"/>
    <n v="43500"/>
    <n v="0.15"/>
    <n v="29520"/>
    <n v="652499.85"/>
    <n v="442800"/>
    <n v="209699.84999999998"/>
    <n v="0.32137915434003544"/>
  </r>
  <r>
    <s v="ORD-115035"/>
    <x v="429"/>
    <x v="1"/>
    <s v="May"/>
    <x v="0"/>
    <s v="Ranchi"/>
    <s v="Aditya Verma"/>
    <x v="2"/>
    <x v="3"/>
    <s v="Washing Machines"/>
    <s v="Samsung 7Kg Washing Machine"/>
    <x v="0"/>
    <s v="Delivered"/>
    <n v="25"/>
    <n v="32800"/>
    <n v="0.2"/>
    <n v="23100"/>
    <n v="819999.8"/>
    <n v="577500"/>
    <n v="242499.80000000005"/>
    <n v="0.295731535544277"/>
  </r>
  <r>
    <s v="ORD-115362"/>
    <x v="429"/>
    <x v="1"/>
    <s v="May"/>
    <x v="4"/>
    <s v="Bengaluru"/>
    <s v="Rahul Singh"/>
    <x v="0"/>
    <x v="3"/>
    <s v="Refrigerators"/>
    <s v="Samsung 253L Refrigerator"/>
    <x v="2"/>
    <s v="Cancelled"/>
    <n v="6"/>
    <n v="31490"/>
    <n v="0.08"/>
    <n v="21300"/>
    <n v="188939.92"/>
    <n v="127800"/>
    <n v="61139.920000000013"/>
    <n v="0.32359450559733488"/>
  </r>
  <r>
    <s v="ORD-115448"/>
    <x v="429"/>
    <x v="1"/>
    <s v="May"/>
    <x v="2"/>
    <s v="Raipur"/>
    <s v="Sourav Das"/>
    <x v="2"/>
    <x v="3"/>
    <s v="Refrigerators"/>
    <s v="Lg 260L Double Door"/>
    <x v="1"/>
    <s v="Cancelled"/>
    <n v="11"/>
    <n v="29010"/>
    <n v="0.05"/>
    <n v="19100"/>
    <n v="319109.95"/>
    <n v="210100"/>
    <n v="109009.95000000001"/>
    <n v="0.3416062394795274"/>
  </r>
  <r>
    <s v="ORD-115161"/>
    <x v="430"/>
    <x v="1"/>
    <s v="May"/>
    <x v="2"/>
    <s v="Indore"/>
    <s v="Simran Kaur"/>
    <x v="0"/>
    <x v="2"/>
    <s v="Audio Devices"/>
    <s v="Sony Wh-Ch520"/>
    <x v="1"/>
    <s v="Cancelled"/>
    <n v="28"/>
    <n v="4490"/>
    <n v="0.12"/>
    <n v="2950"/>
    <n v="125719.88"/>
    <n v="82600"/>
    <n v="43119.880000000005"/>
    <n v="0.34298378267621638"/>
  </r>
  <r>
    <s v="ORD-115495"/>
    <x v="430"/>
    <x v="1"/>
    <s v="May"/>
    <x v="1"/>
    <s v="Mumbai"/>
    <s v="Imran Sheikh"/>
    <x v="1"/>
    <x v="3"/>
    <s v="Refrigerators"/>
    <s v="Samsung 253L Refrigerator"/>
    <x v="0"/>
    <s v="Delivered"/>
    <n v="15"/>
    <n v="31490"/>
    <n v="0.2"/>
    <n v="21300"/>
    <n v="472349.8"/>
    <n v="319500"/>
    <n v="152849.79999999999"/>
    <n v="0.32359450559733482"/>
  </r>
  <r>
    <s v="ORD-114751"/>
    <x v="431"/>
    <x v="1"/>
    <s v="May"/>
    <x v="1"/>
    <s v="Mumbai"/>
    <s v="Ritika Ghosh"/>
    <x v="0"/>
    <x v="1"/>
    <s v="Sofas"/>
    <s v="L-Shape Sofa"/>
    <x v="0"/>
    <s v="Cancelled"/>
    <n v="29"/>
    <n v="52990"/>
    <n v="0.15"/>
    <n v="35100"/>
    <n v="1536709.85"/>
    <n v="1017900"/>
    <n v="518809.85000000009"/>
    <n v="0.33761080531890914"/>
  </r>
  <r>
    <s v="ORD-115177"/>
    <x v="432"/>
    <x v="1"/>
    <s v="May"/>
    <x v="1"/>
    <s v="Surat"/>
    <s v="Pooja Chouhan"/>
    <x v="1"/>
    <x v="1"/>
    <s v="Sofas"/>
    <s v="Single Seater Recliner"/>
    <x v="1"/>
    <s v="Returned"/>
    <n v="16"/>
    <n v="43500"/>
    <n v="0.05"/>
    <n v="29520"/>
    <n v="695999.95"/>
    <n v="472320"/>
    <n v="223679.94999999995"/>
    <n v="0.32137926159333774"/>
  </r>
  <r>
    <s v="ORD-114966"/>
    <x v="433"/>
    <x v="1"/>
    <s v="May"/>
    <x v="1"/>
    <s v="Mumbai"/>
    <s v="Sourav Das"/>
    <x v="1"/>
    <x v="0"/>
    <s v="Apparel"/>
    <s v="Denim Jeans"/>
    <x v="0"/>
    <s v="Delivered"/>
    <n v="11"/>
    <n v="2499"/>
    <n v="0.15"/>
    <n v="1510"/>
    <n v="27488.85"/>
    <n v="16610"/>
    <n v="10878.849999999999"/>
    <n v="0.39575500612066344"/>
  </r>
  <r>
    <s v="ORD-115210"/>
    <x v="433"/>
    <x v="1"/>
    <s v="May"/>
    <x v="3"/>
    <s v="Lucknow"/>
    <s v="Imran Sheikh"/>
    <x v="1"/>
    <x v="4"/>
    <s v="Fitness Equipment"/>
    <s v="Yoga Mat"/>
    <x v="0"/>
    <s v="Returned"/>
    <n v="1"/>
    <n v="1299"/>
    <n v="0.1"/>
    <n v="720"/>
    <n v="1298.9000000000001"/>
    <n v="720"/>
    <n v="578.90000000000009"/>
    <n v="0.44568481022403578"/>
  </r>
  <r>
    <s v="ORD-115266"/>
    <x v="433"/>
    <x v="1"/>
    <s v="May"/>
    <x v="1"/>
    <s v="Pune"/>
    <s v="Rahul Singh"/>
    <x v="0"/>
    <x v="1"/>
    <s v="Sofas"/>
    <s v="3-Seater Sofa"/>
    <x v="2"/>
    <s v="Returned"/>
    <n v="17"/>
    <n v="38990"/>
    <n v="0.15"/>
    <n v="25400"/>
    <n v="662829.85"/>
    <n v="431800"/>
    <n v="231029.84999999998"/>
    <n v="0.34855076306536281"/>
  </r>
  <r>
    <s v="ORD-115289"/>
    <x v="433"/>
    <x v="1"/>
    <s v="May"/>
    <x v="3"/>
    <s v="Lucknow"/>
    <s v="Sourav Das"/>
    <x v="0"/>
    <x v="1"/>
    <s v="Tables"/>
    <s v="6-Seater Dining Table"/>
    <x v="0"/>
    <s v="Pending"/>
    <n v="29"/>
    <n v="25110"/>
    <n v="0.2"/>
    <n v="16730"/>
    <n v="728189.8"/>
    <n v="485170"/>
    <n v="243019.80000000005"/>
    <n v="0.33373139805034352"/>
  </r>
  <r>
    <s v="ORD-115067"/>
    <x v="434"/>
    <x v="1"/>
    <s v="May"/>
    <x v="3"/>
    <s v="Delhi"/>
    <s v="Sourav Das"/>
    <x v="2"/>
    <x v="0"/>
    <s v="Footwear"/>
    <s v="Adidas Sports Shoes"/>
    <x v="1"/>
    <s v="Cancelled"/>
    <n v="12"/>
    <n v="5999"/>
    <n v="0.15"/>
    <n v="3890"/>
    <n v="71987.850000000006"/>
    <n v="46680"/>
    <n v="25307.850000000006"/>
    <n v="0.35155724195124599"/>
  </r>
  <r>
    <s v="ORD-114810"/>
    <x v="435"/>
    <x v="1"/>
    <s v="May"/>
    <x v="0"/>
    <s v="Kolkata"/>
    <s v="Rahul Singh"/>
    <x v="0"/>
    <x v="4"/>
    <s v="Fitness Equipment"/>
    <s v="Yoga Mat"/>
    <x v="1"/>
    <s v="Returned"/>
    <n v="26"/>
    <n v="1299"/>
    <n v="0.05"/>
    <n v="720"/>
    <n v="33773.949999999997"/>
    <n v="18720"/>
    <n v="15053.949999999997"/>
    <n v="0.44572666211680889"/>
  </r>
  <r>
    <s v="ORD-114864"/>
    <x v="435"/>
    <x v="1"/>
    <s v="May"/>
    <x v="1"/>
    <s v="Surat"/>
    <s v="Ritika Ghosh"/>
    <x v="1"/>
    <x v="4"/>
    <s v="Fitness Equipment"/>
    <s v="Resistance Bands"/>
    <x v="2"/>
    <s v="Delivered"/>
    <n v="31"/>
    <n v="999"/>
    <n v="0.2"/>
    <n v="540"/>
    <n v="30968.799999999999"/>
    <n v="16740"/>
    <n v="14228.8"/>
    <n v="0.4594559685877399"/>
  </r>
  <r>
    <s v="ORD-115014"/>
    <x v="435"/>
    <x v="1"/>
    <s v="May"/>
    <x v="4"/>
    <s v="Kochi"/>
    <s v="Neha Deshpande"/>
    <x v="1"/>
    <x v="1"/>
    <s v="Sofas"/>
    <s v="L-Shape Sofa"/>
    <x v="2"/>
    <s v="Delivered"/>
    <n v="31"/>
    <n v="52990"/>
    <n v="0.05"/>
    <n v="35100"/>
    <n v="1642689.95"/>
    <n v="1088100"/>
    <n v="554589.94999999995"/>
    <n v="0.33761084981374601"/>
  </r>
  <r>
    <s v="ORD-115213"/>
    <x v="435"/>
    <x v="1"/>
    <s v="May"/>
    <x v="4"/>
    <s v="Hyderabad"/>
    <s v="Aditya Verma"/>
    <x v="2"/>
    <x v="3"/>
    <s v="Washing Machines"/>
    <s v="Samsung 7Kg Washing Machine"/>
    <x v="2"/>
    <s v="Returned"/>
    <n v="19"/>
    <n v="32800"/>
    <n v="0.08"/>
    <n v="23100"/>
    <n v="623199.92000000004"/>
    <n v="438900"/>
    <n v="184299.92000000004"/>
    <n v="0.29573161691034883"/>
  </r>
  <r>
    <s v="ORD-114774"/>
    <x v="436"/>
    <x v="1"/>
    <s v="May"/>
    <x v="2"/>
    <s v="Bhopal"/>
    <s v="Sourav Das"/>
    <x v="0"/>
    <x v="4"/>
    <s v="Fitness Equipment"/>
    <s v="Resistance Bands"/>
    <x v="0"/>
    <s v="Delivered"/>
    <n v="23"/>
    <n v="999"/>
    <n v="0.05"/>
    <n v="540"/>
    <n v="22976.95"/>
    <n v="12420"/>
    <n v="10556.95"/>
    <n v="0.45945828319250381"/>
  </r>
  <r>
    <s v="ORD-115460"/>
    <x v="436"/>
    <x v="1"/>
    <s v="May"/>
    <x v="4"/>
    <s v="Bengaluru"/>
    <s v="Pooja Chouhan"/>
    <x v="0"/>
    <x v="3"/>
    <s v="Refrigerators"/>
    <s v="Lg 260L Double Door"/>
    <x v="2"/>
    <s v="Returned"/>
    <n v="24"/>
    <n v="29010"/>
    <n v="0.05"/>
    <n v="19100"/>
    <n v="696239.95"/>
    <n v="458400"/>
    <n v="237839.94999999995"/>
    <n v="0.34160629535837461"/>
  </r>
  <r>
    <s v="ORD-114935"/>
    <x v="437"/>
    <x v="1"/>
    <s v="May"/>
    <x v="3"/>
    <s v="Delhi"/>
    <s v="Anjali Mehta"/>
    <x v="2"/>
    <x v="1"/>
    <s v="Sofas"/>
    <s v="Single Seater Recliner"/>
    <x v="0"/>
    <s v="Delivered"/>
    <n v="37"/>
    <n v="43500"/>
    <n v="0.2"/>
    <n v="29520"/>
    <n v="1609499.8"/>
    <n v="1092240"/>
    <n v="517259.80000000005"/>
    <n v="0.32137922601792185"/>
  </r>
  <r>
    <s v="ORD-115082"/>
    <x v="437"/>
    <x v="1"/>
    <s v="May"/>
    <x v="2"/>
    <s v="Indore"/>
    <s v="Rahul Singh"/>
    <x v="0"/>
    <x v="1"/>
    <s v="Tables"/>
    <s v="Study Table"/>
    <x v="1"/>
    <s v="Cancelled"/>
    <n v="3"/>
    <n v="6999"/>
    <n v="0.08"/>
    <n v="4320"/>
    <n v="20996.92"/>
    <n v="12960"/>
    <n v="8036.9199999999983"/>
    <n v="0.38276661529405259"/>
  </r>
  <r>
    <s v="ORD-115157"/>
    <x v="438"/>
    <x v="1"/>
    <s v="May"/>
    <x v="4"/>
    <s v="Bengaluru"/>
    <s v="Aditya Verma"/>
    <x v="0"/>
    <x v="4"/>
    <s v="Fitness Equipment"/>
    <s v="Resistance Bands"/>
    <x v="0"/>
    <s v="Delivered"/>
    <n v="7"/>
    <n v="999"/>
    <n v="0.1"/>
    <n v="540"/>
    <n v="6992.9"/>
    <n v="3780"/>
    <n v="3212.8999999999996"/>
    <n v="0.45945172961146302"/>
  </r>
  <r>
    <s v="ORD-114881"/>
    <x v="439"/>
    <x v="1"/>
    <s v="May"/>
    <x v="1"/>
    <s v="Surat"/>
    <s v="Rahul Singh"/>
    <x v="1"/>
    <x v="3"/>
    <s v="Kitchen Appliances"/>
    <s v="Philips Air Fryer"/>
    <x v="1"/>
    <s v="Pending"/>
    <n v="16"/>
    <n v="7299"/>
    <n v="0.1"/>
    <n v="5010"/>
    <n v="116783.9"/>
    <n v="80160"/>
    <n v="36623.899999999994"/>
    <n v="0.31360401562201634"/>
  </r>
  <r>
    <s v="ORD-114960"/>
    <x v="439"/>
    <x v="1"/>
    <s v="May"/>
    <x v="1"/>
    <s v="Pune"/>
    <s v="Neha Deshpande"/>
    <x v="1"/>
    <x v="3"/>
    <s v="Kitchen Appliances"/>
    <s v="Prestige Mixer Grinder"/>
    <x v="1"/>
    <s v="Returned"/>
    <n v="21"/>
    <n v="4680"/>
    <n v="0.08"/>
    <n v="3250"/>
    <n v="98279.92"/>
    <n v="68250"/>
    <n v="30029.919999999998"/>
    <n v="0.30555499027675237"/>
  </r>
  <r>
    <s v="ORD-115027"/>
    <x v="440"/>
    <x v="1"/>
    <s v="May"/>
    <x v="3"/>
    <s v="Jaipur"/>
    <s v="Imran Sheikh"/>
    <x v="2"/>
    <x v="2"/>
    <s v="Audio Devices"/>
    <s v="Jbl Tune 510Bt"/>
    <x v="0"/>
    <s v="Pending"/>
    <n v="3"/>
    <n v="3299"/>
    <n v="0.18"/>
    <n v="2050"/>
    <n v="9896.82"/>
    <n v="6150"/>
    <n v="3746.8199999999997"/>
    <n v="0.37858827380916293"/>
  </r>
  <r>
    <s v="ORD-115081"/>
    <x v="440"/>
    <x v="1"/>
    <s v="May"/>
    <x v="1"/>
    <s v="Ahmedabad"/>
    <s v="Rahul Singh"/>
    <x v="1"/>
    <x v="2"/>
    <s v="Mobiles"/>
    <s v="Iphone 13"/>
    <x v="1"/>
    <s v="Cancelled"/>
    <n v="10"/>
    <n v="52990"/>
    <n v="0.15"/>
    <n v="39500"/>
    <n v="529899.85"/>
    <n v="395000"/>
    <n v="134899.84999999998"/>
    <n v="0.25457612414874242"/>
  </r>
  <r>
    <s v="ORD-115170"/>
    <x v="440"/>
    <x v="1"/>
    <s v="May"/>
    <x v="3"/>
    <s v="Lucknow"/>
    <s v="Sourav Das"/>
    <x v="2"/>
    <x v="3"/>
    <s v="Washing Machines"/>
    <s v="Lg 6.5Kg Washing Machine"/>
    <x v="0"/>
    <s v="Cancelled"/>
    <n v="16"/>
    <n v="29010"/>
    <n v="0.05"/>
    <n v="19150"/>
    <n v="464159.95"/>
    <n v="306400"/>
    <n v="157759.95000000001"/>
    <n v="0.33988272792600915"/>
  </r>
  <r>
    <s v="ORD-115180"/>
    <x v="441"/>
    <x v="1"/>
    <s v="May"/>
    <x v="3"/>
    <s v="Lucknow"/>
    <s v="Rahul Singh"/>
    <x v="0"/>
    <x v="3"/>
    <s v="Kitchen Appliances"/>
    <s v="Philips Air Fryer"/>
    <x v="0"/>
    <s v="Pending"/>
    <n v="31"/>
    <n v="7299"/>
    <n v="0.12"/>
    <n v="5010"/>
    <n v="226268.88"/>
    <n v="155310"/>
    <n v="70958.880000000005"/>
    <n v="0.31360423934568465"/>
  </r>
  <r>
    <s v="ORD-115267"/>
    <x v="441"/>
    <x v="1"/>
    <s v="May"/>
    <x v="2"/>
    <s v="Ujjain"/>
    <s v="Anjali Mehta"/>
    <x v="1"/>
    <x v="4"/>
    <s v="Fitness Equipment"/>
    <s v="Yoga Mat"/>
    <x v="1"/>
    <s v="Delivered"/>
    <n v="37"/>
    <n v="1299"/>
    <n v="0.1"/>
    <n v="720"/>
    <n v="48062.9"/>
    <n v="26640"/>
    <n v="21422.9"/>
    <n v="0.44572632945577567"/>
  </r>
  <r>
    <s v="ORD-114762"/>
    <x v="442"/>
    <x v="1"/>
    <s v="May"/>
    <x v="1"/>
    <s v="Pune"/>
    <s v="Kartik Raman"/>
    <x v="1"/>
    <x v="4"/>
    <s v="Fitness Equipment"/>
    <s v="Resistance Bands"/>
    <x v="0"/>
    <s v="Returned"/>
    <n v="30"/>
    <n v="999"/>
    <n v="0.08"/>
    <n v="540"/>
    <n v="29969.919999999998"/>
    <n v="16200"/>
    <n v="13769.919999999998"/>
    <n v="0.4594580165712821"/>
  </r>
  <r>
    <s v="ORD-114820"/>
    <x v="442"/>
    <x v="1"/>
    <s v="May"/>
    <x v="3"/>
    <s v="Lucknow"/>
    <s v="Imran Sheikh"/>
    <x v="2"/>
    <x v="0"/>
    <s v="Footwear"/>
    <s v="Nike Running Shoes"/>
    <x v="0"/>
    <s v="Delivered"/>
    <n v="36"/>
    <n v="6499"/>
    <n v="0.05"/>
    <n v="4210"/>
    <n v="233963.95"/>
    <n v="151560"/>
    <n v="82403.950000000012"/>
    <n v="0.35220789356650889"/>
  </r>
  <r>
    <s v="ORD-115189"/>
    <x v="442"/>
    <x v="1"/>
    <s v="May"/>
    <x v="4"/>
    <s v="Kochi"/>
    <s v="Anjali Mehta"/>
    <x v="2"/>
    <x v="4"/>
    <s v="Fitness Equipment"/>
    <s v="Dumbbell Set"/>
    <x v="1"/>
    <s v="Delivered"/>
    <n v="8"/>
    <n v="3499"/>
    <n v="0.12"/>
    <n v="2190"/>
    <n v="27991.88"/>
    <n v="17520"/>
    <n v="10471.880000000001"/>
    <n v="0.37410420450502074"/>
  </r>
  <r>
    <s v="ORD-115155"/>
    <x v="443"/>
    <x v="1"/>
    <s v="June"/>
    <x v="1"/>
    <s v="Surat"/>
    <s v="Neha Deshpande"/>
    <x v="0"/>
    <x v="3"/>
    <s v="Refrigerators"/>
    <s v="Whirlpool 265L Refrigerator"/>
    <x v="0"/>
    <s v="Delivered"/>
    <n v="7"/>
    <n v="27890"/>
    <n v="0.08"/>
    <n v="18800"/>
    <n v="195229.92"/>
    <n v="131600"/>
    <n v="63629.920000000013"/>
    <n v="0.325922993770627"/>
  </r>
  <r>
    <s v="ORD-114754"/>
    <x v="444"/>
    <x v="1"/>
    <s v="June"/>
    <x v="2"/>
    <s v="Raipur"/>
    <s v="Rahul Singh"/>
    <x v="2"/>
    <x v="4"/>
    <s v="Fitness Equipment"/>
    <s v="Resistance Bands"/>
    <x v="0"/>
    <s v="Returned"/>
    <n v="26"/>
    <n v="999"/>
    <n v="0.2"/>
    <n v="540"/>
    <n v="25973.8"/>
    <n v="14040"/>
    <n v="11933.8"/>
    <n v="0.45945529726108614"/>
  </r>
  <r>
    <s v="ORD-115411"/>
    <x v="444"/>
    <x v="1"/>
    <s v="June"/>
    <x v="1"/>
    <s v="Mumbai"/>
    <s v="Neha Deshpande"/>
    <x v="2"/>
    <x v="2"/>
    <s v="Laptops"/>
    <s v="Lenovo Ideapad 3"/>
    <x v="1"/>
    <s v="Returned"/>
    <n v="37"/>
    <n v="48990"/>
    <n v="0.05"/>
    <n v="30100"/>
    <n v="1812629.95"/>
    <n v="1113700"/>
    <n v="698929.95"/>
    <n v="0.38558887874494185"/>
  </r>
  <r>
    <s v="ORD-115269"/>
    <x v="445"/>
    <x v="1"/>
    <s v="June"/>
    <x v="4"/>
    <s v="Chennai"/>
    <s v="Imran Sheikh"/>
    <x v="0"/>
    <x v="0"/>
    <s v="Apparel"/>
    <s v="Denim Jeans"/>
    <x v="1"/>
    <s v="Delivered"/>
    <n v="14"/>
    <n v="2499"/>
    <n v="0.15"/>
    <n v="1510"/>
    <n v="34985.85"/>
    <n v="21140"/>
    <n v="13845.849999999999"/>
    <n v="0.39575571266669235"/>
  </r>
  <r>
    <s v="ORD-115303"/>
    <x v="445"/>
    <x v="1"/>
    <s v="June"/>
    <x v="3"/>
    <s v="Delhi"/>
    <s v="Anjali Mehta"/>
    <x v="2"/>
    <x v="1"/>
    <s v="Tables"/>
    <s v="Study Table"/>
    <x v="2"/>
    <s v="Delivered"/>
    <n v="14"/>
    <n v="6999"/>
    <n v="0.08"/>
    <n v="4320"/>
    <n v="97985.919999999998"/>
    <n v="60480"/>
    <n v="37505.919999999998"/>
    <n v="0.38276846306081524"/>
  </r>
  <r>
    <s v="ORD-114996"/>
    <x v="446"/>
    <x v="1"/>
    <s v="June"/>
    <x v="2"/>
    <s v="Indore"/>
    <s v="Pooja Chouhan"/>
    <x v="0"/>
    <x v="0"/>
    <s v="Apparel"/>
    <s v="Denim Jeans"/>
    <x v="0"/>
    <s v="Delivered"/>
    <n v="37"/>
    <n v="2499"/>
    <n v="0.15"/>
    <n v="1510"/>
    <n v="92462.85"/>
    <n v="55870"/>
    <n v="36592.850000000006"/>
    <n v="0.39575732307624095"/>
  </r>
  <r>
    <s v="ORD-115071"/>
    <x v="446"/>
    <x v="1"/>
    <s v="June"/>
    <x v="0"/>
    <s v="Bhubaneswar"/>
    <s v="Imran Sheikh"/>
    <x v="0"/>
    <x v="2"/>
    <s v="Laptops"/>
    <s v="Hp 15S"/>
    <x v="0"/>
    <s v="Returned"/>
    <n v="40"/>
    <n v="48500"/>
    <n v="0.12"/>
    <n v="30200"/>
    <n v="1939999.88"/>
    <n v="1208000"/>
    <n v="731999.87999999989"/>
    <n v="0.37731954911254939"/>
  </r>
  <r>
    <s v="ORD-115194"/>
    <x v="446"/>
    <x v="1"/>
    <s v="June"/>
    <x v="2"/>
    <s v="Indore"/>
    <s v="Neha Deshpande"/>
    <x v="2"/>
    <x v="2"/>
    <s v="Laptops"/>
    <s v="Dell Inspiron 3511"/>
    <x v="2"/>
    <s v="Cancelled"/>
    <n v="38"/>
    <n v="55230"/>
    <n v="0.18"/>
    <n v="33800"/>
    <n v="2098739.8199999998"/>
    <n v="1284400"/>
    <n v="814339.81999999983"/>
    <n v="0.3880137081498744"/>
  </r>
  <r>
    <s v="ORD-115364"/>
    <x v="446"/>
    <x v="1"/>
    <s v="June"/>
    <x v="3"/>
    <s v="Delhi"/>
    <s v="Neha Deshpande"/>
    <x v="1"/>
    <x v="3"/>
    <s v="Kitchen Appliances"/>
    <s v="Bajaj Otg"/>
    <x v="1"/>
    <s v="Delivered"/>
    <n v="21"/>
    <n v="5890"/>
    <n v="0.12"/>
    <n v="3980"/>
    <n v="123689.88"/>
    <n v="83580"/>
    <n v="40109.880000000005"/>
    <n v="0.32427778246692457"/>
  </r>
  <r>
    <s v="ORD-114825"/>
    <x v="447"/>
    <x v="1"/>
    <s v="June"/>
    <x v="0"/>
    <s v="Patna"/>
    <s v="Kartik Raman"/>
    <x v="2"/>
    <x v="1"/>
    <s v="Sofas"/>
    <s v="L-Shape Sofa"/>
    <x v="0"/>
    <s v="Delivered"/>
    <n v="10"/>
    <n v="52990"/>
    <n v="0.12"/>
    <n v="35100"/>
    <n v="529899.88"/>
    <n v="351000"/>
    <n v="178899.88"/>
    <n v="0.33761071997223324"/>
  </r>
  <r>
    <s v="ORD-115281"/>
    <x v="447"/>
    <x v="1"/>
    <s v="June"/>
    <x v="2"/>
    <s v="Bhopal"/>
    <s v="Rahul Singh"/>
    <x v="0"/>
    <x v="4"/>
    <s v="Fitness Equipment"/>
    <s v="Dumbbell Set"/>
    <x v="2"/>
    <s v="Returned"/>
    <n v="36"/>
    <n v="3499"/>
    <n v="0.15"/>
    <n v="2190"/>
    <n v="125963.85"/>
    <n v="78840"/>
    <n v="47123.850000000006"/>
    <n v="0.37410614235750972"/>
  </r>
  <r>
    <s v="ORD-114772"/>
    <x v="448"/>
    <x v="1"/>
    <s v="June"/>
    <x v="2"/>
    <s v="Bhopal"/>
    <s v="Pooja Chouhan"/>
    <x v="0"/>
    <x v="3"/>
    <s v="Kitchen Appliances"/>
    <s v="Bajaj Otg"/>
    <x v="0"/>
    <s v="Delivered"/>
    <n v="6"/>
    <n v="5890"/>
    <n v="0.1"/>
    <n v="3980"/>
    <n v="35339.9"/>
    <n v="23880"/>
    <n v="11459.900000000001"/>
    <n v="0.32427652596640061"/>
  </r>
  <r>
    <s v="ORD-115146"/>
    <x v="448"/>
    <x v="1"/>
    <s v="June"/>
    <x v="0"/>
    <s v="Bhubaneswar"/>
    <s v="Aditya Verma"/>
    <x v="2"/>
    <x v="1"/>
    <s v="Tables"/>
    <s v="Study Table"/>
    <x v="1"/>
    <s v="Delivered"/>
    <n v="15"/>
    <n v="6999"/>
    <n v="0.12"/>
    <n v="4320"/>
    <n v="104984.88"/>
    <n v="64800"/>
    <n v="40184.880000000005"/>
    <n v="0.38276826148679699"/>
  </r>
  <r>
    <s v="ORD-115427"/>
    <x v="449"/>
    <x v="1"/>
    <s v="June"/>
    <x v="1"/>
    <s v="Surat"/>
    <s v="Simran Kaur"/>
    <x v="1"/>
    <x v="3"/>
    <s v="Refrigerators"/>
    <s v="Samsung 253L Refrigerator"/>
    <x v="2"/>
    <s v="Delivered"/>
    <n v="9"/>
    <n v="31490"/>
    <n v="0.2"/>
    <n v="21300"/>
    <n v="283409.8"/>
    <n v="191700"/>
    <n v="91709.799999999988"/>
    <n v="0.32359431466378363"/>
  </r>
  <r>
    <s v="ORD-115050"/>
    <x v="450"/>
    <x v="1"/>
    <s v="June"/>
    <x v="4"/>
    <s v="Bengaluru"/>
    <s v="Kartik Raman"/>
    <x v="0"/>
    <x v="4"/>
    <s v="Fitness Equipment"/>
    <s v="Resistance Bands"/>
    <x v="0"/>
    <s v="Cancelled"/>
    <n v="28"/>
    <n v="999"/>
    <n v="0.1"/>
    <n v="540"/>
    <n v="27971.9"/>
    <n v="15120"/>
    <n v="12851.900000000001"/>
    <n v="0.45945752701818615"/>
  </r>
  <r>
    <s v="ORD-115253"/>
    <x v="450"/>
    <x v="1"/>
    <s v="June"/>
    <x v="0"/>
    <s v="Ranchi"/>
    <s v="Anjali Mehta"/>
    <x v="2"/>
    <x v="0"/>
    <s v="Apparel"/>
    <s v="Women'S Kurti"/>
    <x v="1"/>
    <s v="Cancelled"/>
    <n v="39"/>
    <n v="1599"/>
    <n v="0.1"/>
    <n v="920"/>
    <n v="62360.9"/>
    <n v="35880"/>
    <n v="26480.9"/>
    <n v="0.4246394776213942"/>
  </r>
  <r>
    <s v="ORD-115409"/>
    <x v="450"/>
    <x v="1"/>
    <s v="June"/>
    <x v="3"/>
    <s v="Jaipur"/>
    <s v="Anjali Mehta"/>
    <x v="0"/>
    <x v="1"/>
    <s v="Tables"/>
    <s v="Office Work Table"/>
    <x v="2"/>
    <s v="Pending"/>
    <n v="2"/>
    <n v="12490"/>
    <n v="0.12"/>
    <n v="7900"/>
    <n v="24979.88"/>
    <n v="15800"/>
    <n v="9179.880000000001"/>
    <n v="0.36749095672196985"/>
  </r>
  <r>
    <s v="ORD-115059"/>
    <x v="451"/>
    <x v="1"/>
    <s v="June"/>
    <x v="1"/>
    <s v="Surat"/>
    <s v="Ritika Ghosh"/>
    <x v="2"/>
    <x v="4"/>
    <s v="Fitness Equipment"/>
    <s v="Resistance Bands"/>
    <x v="2"/>
    <s v="Returned"/>
    <n v="32"/>
    <n v="999"/>
    <n v="0.1"/>
    <n v="540"/>
    <n v="31967.9"/>
    <n v="17280"/>
    <n v="14687.900000000001"/>
    <n v="0.45945776857410092"/>
  </r>
  <r>
    <s v="ORD-115185"/>
    <x v="451"/>
    <x v="1"/>
    <s v="June"/>
    <x v="1"/>
    <s v="Pune"/>
    <s v="Pooja Chouhan"/>
    <x v="0"/>
    <x v="1"/>
    <s v="Sofas"/>
    <s v="3-Seater Sofa"/>
    <x v="0"/>
    <s v="Delivered"/>
    <n v="10"/>
    <n v="38990"/>
    <n v="0.05"/>
    <n v="25400"/>
    <n v="389899.95"/>
    <n v="254000"/>
    <n v="135899.95000000001"/>
    <n v="0.34855082694932382"/>
  </r>
  <r>
    <s v="ORD-115329"/>
    <x v="451"/>
    <x v="1"/>
    <s v="June"/>
    <x v="1"/>
    <s v="Pune"/>
    <s v="Rahul Singh"/>
    <x v="1"/>
    <x v="0"/>
    <s v="Apparel"/>
    <s v="Women'S Kurti"/>
    <x v="0"/>
    <s v="Cancelled"/>
    <n v="31"/>
    <n v="1599"/>
    <n v="0.12"/>
    <n v="920"/>
    <n v="49568.88"/>
    <n v="28520"/>
    <n v="21048.879999999997"/>
    <n v="0.42463900737720922"/>
  </r>
  <r>
    <s v="ORD-114813"/>
    <x v="452"/>
    <x v="1"/>
    <s v="June"/>
    <x v="3"/>
    <s v="Lucknow"/>
    <s v="Kartik Raman"/>
    <x v="0"/>
    <x v="2"/>
    <s v="Mobiles"/>
    <s v="Iphone 13"/>
    <x v="0"/>
    <s v="Returned"/>
    <n v="4"/>
    <n v="52990"/>
    <n v="0.2"/>
    <n v="39500"/>
    <n v="211959.8"/>
    <n v="158000"/>
    <n v="53959.799999999988"/>
    <n v="0.25457563179433079"/>
  </r>
  <r>
    <s v="ORD-115346"/>
    <x v="452"/>
    <x v="1"/>
    <s v="June"/>
    <x v="1"/>
    <s v="Pune"/>
    <s v="Rahul Singh"/>
    <x v="2"/>
    <x v="0"/>
    <s v="Apparel"/>
    <s v="Women'S Kurti"/>
    <x v="2"/>
    <s v="Delivered"/>
    <n v="11"/>
    <n v="1599"/>
    <n v="0.08"/>
    <n v="920"/>
    <n v="17588.919999999998"/>
    <n v="10120"/>
    <n v="7468.9199999999983"/>
    <n v="0.42463778333177926"/>
  </r>
  <r>
    <s v="ORD-115444"/>
    <x v="452"/>
    <x v="1"/>
    <s v="June"/>
    <x v="0"/>
    <s v="Patna"/>
    <s v="Neha Deshpande"/>
    <x v="1"/>
    <x v="1"/>
    <s v="Sofas"/>
    <s v="L-Shape Sofa"/>
    <x v="1"/>
    <s v="Returned"/>
    <n v="28"/>
    <n v="52990"/>
    <n v="0.18"/>
    <n v="35100"/>
    <n v="1483719.82"/>
    <n v="982800"/>
    <n v="500919.82000000007"/>
    <n v="0.33761078961660029"/>
  </r>
  <r>
    <s v="ORD-115238"/>
    <x v="453"/>
    <x v="1"/>
    <s v="June"/>
    <x v="0"/>
    <s v="Bhubaneswar"/>
    <s v="Pooja Chouhan"/>
    <x v="2"/>
    <x v="1"/>
    <s v="Tables"/>
    <s v="Study Table"/>
    <x v="2"/>
    <s v="Cancelled"/>
    <n v="2"/>
    <n v="6999"/>
    <n v="0.12"/>
    <n v="4320"/>
    <n v="13997.88"/>
    <n v="8640"/>
    <n v="5357.8799999999992"/>
    <n v="0.38276367564231151"/>
  </r>
  <r>
    <s v="ORD-115246"/>
    <x v="453"/>
    <x v="1"/>
    <s v="June"/>
    <x v="4"/>
    <s v="Hyderabad"/>
    <s v="Rahul Singh"/>
    <x v="0"/>
    <x v="4"/>
    <s v="Fitness Equipment"/>
    <s v="Yoga Mat"/>
    <x v="1"/>
    <s v="Delivered"/>
    <n v="2"/>
    <n v="1299"/>
    <n v="0.18"/>
    <n v="720"/>
    <n v="2597.8200000000002"/>
    <n v="1440"/>
    <n v="1157.8200000000002"/>
    <n v="0.44568907776520317"/>
  </r>
  <r>
    <s v="ORD-114780"/>
    <x v="454"/>
    <x v="1"/>
    <s v="June"/>
    <x v="4"/>
    <s v="Chennai"/>
    <s v="Neha Deshpande"/>
    <x v="0"/>
    <x v="1"/>
    <s v="Tables"/>
    <s v="Office Work Table"/>
    <x v="2"/>
    <s v="Pending"/>
    <n v="16"/>
    <n v="12490"/>
    <n v="0.05"/>
    <n v="7900"/>
    <n v="199839.95"/>
    <n v="126400"/>
    <n v="73439.950000000012"/>
    <n v="0.36749383694301369"/>
  </r>
  <r>
    <s v="ORD-114869"/>
    <x v="454"/>
    <x v="1"/>
    <s v="June"/>
    <x v="3"/>
    <s v="Chandigarh"/>
    <s v="Ritika Ghosh"/>
    <x v="2"/>
    <x v="3"/>
    <s v="Refrigerators"/>
    <s v="Lg 260L Double Door"/>
    <x v="1"/>
    <s v="Cancelled"/>
    <n v="33"/>
    <n v="29010"/>
    <n v="0.05"/>
    <n v="19100"/>
    <n v="957329.95"/>
    <n v="630300"/>
    <n v="327029.94999999995"/>
    <n v="0.34160630825349186"/>
  </r>
  <r>
    <s v="ORD-115041"/>
    <x v="454"/>
    <x v="1"/>
    <s v="June"/>
    <x v="2"/>
    <s v="Ujjain"/>
    <s v="Kartik Raman"/>
    <x v="1"/>
    <x v="4"/>
    <s v="Fitness Equipment"/>
    <s v="Yoga Mat"/>
    <x v="2"/>
    <s v="Delivered"/>
    <n v="14"/>
    <n v="1299"/>
    <n v="0.05"/>
    <n v="720"/>
    <n v="18185.95"/>
    <n v="10080"/>
    <n v="8105.9500000000007"/>
    <n v="0.44572595877586818"/>
  </r>
  <r>
    <s v="ORD-115227"/>
    <x v="454"/>
    <x v="1"/>
    <s v="June"/>
    <x v="1"/>
    <s v="Surat"/>
    <s v="Simran Kaur"/>
    <x v="2"/>
    <x v="3"/>
    <s v="Kitchen Appliances"/>
    <s v="Philips Air Fryer"/>
    <x v="1"/>
    <s v="Delivered"/>
    <n v="9"/>
    <n v="7299"/>
    <n v="0.12"/>
    <n v="5010"/>
    <n v="65690.880000000005"/>
    <n v="45090"/>
    <n v="20600.880000000005"/>
    <n v="0.31360334950605018"/>
  </r>
  <r>
    <s v="ORD-115301"/>
    <x v="454"/>
    <x v="1"/>
    <s v="June"/>
    <x v="1"/>
    <s v="Mumbai"/>
    <s v="Pooja Chouhan"/>
    <x v="1"/>
    <x v="1"/>
    <s v="Sofas"/>
    <s v="Single Seater Recliner"/>
    <x v="2"/>
    <s v="Delivered"/>
    <n v="38"/>
    <n v="43500"/>
    <n v="0.18"/>
    <n v="29520"/>
    <n v="1652999.82"/>
    <n v="1121760"/>
    <n v="531239.82000000007"/>
    <n v="0.32137923644782979"/>
  </r>
  <r>
    <s v="ORD-115381"/>
    <x v="454"/>
    <x v="1"/>
    <s v="June"/>
    <x v="1"/>
    <s v="Pune"/>
    <s v="Aditya Verma"/>
    <x v="1"/>
    <x v="2"/>
    <s v="Laptops"/>
    <s v="Hp 15S"/>
    <x v="2"/>
    <s v="Delivered"/>
    <n v="12"/>
    <n v="48500"/>
    <n v="0.15"/>
    <n v="30200"/>
    <n v="581999.85"/>
    <n v="362400"/>
    <n v="219599.84999999998"/>
    <n v="0.37731942714418221"/>
  </r>
  <r>
    <s v="ORD-115457"/>
    <x v="454"/>
    <x v="1"/>
    <s v="June"/>
    <x v="4"/>
    <s v="Bengaluru"/>
    <s v="Rahul Singh"/>
    <x v="1"/>
    <x v="3"/>
    <s v="Kitchen Appliances"/>
    <s v="Philips Air Fryer"/>
    <x v="1"/>
    <s v="Cancelled"/>
    <n v="25"/>
    <n v="7299"/>
    <n v="0.18"/>
    <n v="5010"/>
    <n v="182474.82"/>
    <n v="125250"/>
    <n v="57224.820000000007"/>
    <n v="0.31360392628418543"/>
  </r>
  <r>
    <s v="ORD-115499"/>
    <x v="454"/>
    <x v="1"/>
    <s v="June"/>
    <x v="3"/>
    <s v="Lucknow"/>
    <s v="Rahul Singh"/>
    <x v="0"/>
    <x v="1"/>
    <s v="Sofas"/>
    <s v="L-Shape Sofa"/>
    <x v="2"/>
    <s v="Delivered"/>
    <n v="35"/>
    <n v="52990"/>
    <n v="0.15"/>
    <n v="35100"/>
    <n v="1854649.85"/>
    <n v="1228500"/>
    <n v="626149.85000000009"/>
    <n v="0.33761081640289137"/>
  </r>
  <r>
    <s v="ORD-114822"/>
    <x v="455"/>
    <x v="1"/>
    <s v="June"/>
    <x v="1"/>
    <s v="Surat"/>
    <s v="Imran Sheikh"/>
    <x v="2"/>
    <x v="2"/>
    <s v="Mobiles"/>
    <s v="Iphone 13"/>
    <x v="0"/>
    <s v="Delivered"/>
    <n v="30"/>
    <n v="52990"/>
    <n v="0.15"/>
    <n v="39500"/>
    <n v="1589699.85"/>
    <n v="1185000"/>
    <n v="404699.85000000009"/>
    <n v="0.25457626482131207"/>
  </r>
  <r>
    <s v="ORD-114851"/>
    <x v="455"/>
    <x v="1"/>
    <s v="June"/>
    <x v="2"/>
    <s v="Raipur"/>
    <s v="Sourav Das"/>
    <x v="1"/>
    <x v="0"/>
    <s v="Footwear"/>
    <s v="Puma Sneakers"/>
    <x v="2"/>
    <s v="Delivered"/>
    <n v="31"/>
    <n v="4499"/>
    <n v="0.05"/>
    <n v="2910"/>
    <n v="139468.95000000001"/>
    <n v="90210"/>
    <n v="49258.950000000012"/>
    <n v="0.35318936580507709"/>
  </r>
  <r>
    <s v="ORD-114933"/>
    <x v="455"/>
    <x v="1"/>
    <s v="June"/>
    <x v="2"/>
    <s v="Indore"/>
    <s v="Ritika Ghosh"/>
    <x v="0"/>
    <x v="2"/>
    <s v="Audio Devices"/>
    <s v="Boat Airdopes 131"/>
    <x v="0"/>
    <s v="Pending"/>
    <n v="27"/>
    <n v="1930"/>
    <n v="0.05"/>
    <n v="1120"/>
    <n v="52109.95"/>
    <n v="30240"/>
    <n v="21869.949999999997"/>
    <n v="0.41968856235709301"/>
  </r>
  <r>
    <s v="ORD-115048"/>
    <x v="455"/>
    <x v="1"/>
    <s v="June"/>
    <x v="4"/>
    <s v="Hyderabad"/>
    <s v="Neha Deshpande"/>
    <x v="1"/>
    <x v="1"/>
    <s v="Tables"/>
    <s v="6-Seater Dining Table"/>
    <x v="2"/>
    <s v="Returned"/>
    <n v="1"/>
    <n v="25110"/>
    <n v="0.18"/>
    <n v="16730"/>
    <n v="25109.82"/>
    <n v="16730"/>
    <n v="8379.82"/>
    <n v="0.33372680489147272"/>
  </r>
  <r>
    <s v="ORD-114899"/>
    <x v="456"/>
    <x v="1"/>
    <s v="June"/>
    <x v="0"/>
    <s v="Bhubaneswar"/>
    <s v="Neha Deshpande"/>
    <x v="1"/>
    <x v="1"/>
    <s v="Sofas"/>
    <s v="3-Seater Sofa"/>
    <x v="0"/>
    <s v="Delivered"/>
    <n v="23"/>
    <n v="38990"/>
    <n v="0.2"/>
    <n v="25400"/>
    <n v="896769.8"/>
    <n v="584200"/>
    <n v="312569.80000000005"/>
    <n v="0.34855076520195039"/>
  </r>
  <r>
    <s v="ORD-115299"/>
    <x v="456"/>
    <x v="1"/>
    <s v="June"/>
    <x v="2"/>
    <s v="Indore"/>
    <s v="Ritika Ghosh"/>
    <x v="2"/>
    <x v="0"/>
    <s v="Apparel"/>
    <s v="Women'S Kurti"/>
    <x v="2"/>
    <s v="Returned"/>
    <n v="10"/>
    <n v="1599"/>
    <n v="0.18"/>
    <n v="920"/>
    <n v="15989.82"/>
    <n v="9200"/>
    <n v="6789.82"/>
    <n v="0.42463392333372108"/>
  </r>
  <r>
    <s v="ORD-115377"/>
    <x v="456"/>
    <x v="1"/>
    <s v="June"/>
    <x v="2"/>
    <s v="Ujjain"/>
    <s v="Pooja Chouhan"/>
    <x v="0"/>
    <x v="3"/>
    <s v="Refrigerators"/>
    <s v="Lg 260L Double Door"/>
    <x v="2"/>
    <s v="Delivered"/>
    <n v="16"/>
    <n v="29010"/>
    <n v="0.18"/>
    <n v="19100"/>
    <n v="464159.82"/>
    <n v="305600"/>
    <n v="158559.82"/>
    <n v="0.3416060873170797"/>
  </r>
  <r>
    <s v="ORD-114983"/>
    <x v="457"/>
    <x v="1"/>
    <s v="June"/>
    <x v="1"/>
    <s v="Mumbai"/>
    <s v="Simran Kaur"/>
    <x v="1"/>
    <x v="2"/>
    <s v="Laptops"/>
    <s v="Hp 15S"/>
    <x v="2"/>
    <s v="Delivered"/>
    <n v="5"/>
    <n v="48500"/>
    <n v="0.15"/>
    <n v="30200"/>
    <n v="242499.85"/>
    <n v="151000"/>
    <n v="91499.85"/>
    <n v="0.37731920246548606"/>
  </r>
  <r>
    <s v="ORD-115297"/>
    <x v="457"/>
    <x v="1"/>
    <s v="June"/>
    <x v="0"/>
    <s v="Kolkata"/>
    <s v="Imran Sheikh"/>
    <x v="0"/>
    <x v="2"/>
    <s v="Audio Devices"/>
    <s v="Jbl Tune 510Bt"/>
    <x v="0"/>
    <s v="Cancelled"/>
    <n v="19"/>
    <n v="3299"/>
    <n v="0.15"/>
    <n v="2050"/>
    <n v="62680.85"/>
    <n v="38950"/>
    <n v="23730.85"/>
    <n v="0.37859808857091121"/>
  </r>
  <r>
    <s v="ORD-115024"/>
    <x v="458"/>
    <x v="1"/>
    <s v="June"/>
    <x v="3"/>
    <s v="Jaipur"/>
    <s v="Simran Kaur"/>
    <x v="0"/>
    <x v="0"/>
    <s v="Apparel"/>
    <s v="Women'S Kurti"/>
    <x v="0"/>
    <s v="Cancelled"/>
    <n v="34"/>
    <n v="1599"/>
    <n v="0.2"/>
    <n v="920"/>
    <n v="54365.8"/>
    <n v="31280"/>
    <n v="23085.800000000003"/>
    <n v="0.42463828362683897"/>
  </r>
  <r>
    <s v="ORD-115030"/>
    <x v="458"/>
    <x v="1"/>
    <s v="June"/>
    <x v="4"/>
    <s v="Bengaluru"/>
    <s v="Sourav Das"/>
    <x v="1"/>
    <x v="2"/>
    <s v="Laptops"/>
    <s v="Hp 15S"/>
    <x v="2"/>
    <s v="Pending"/>
    <n v="39"/>
    <n v="48500"/>
    <n v="0.1"/>
    <n v="30200"/>
    <n v="1891499.9"/>
    <n v="1177800"/>
    <n v="713699.89999999991"/>
    <n v="0.37731955470893758"/>
  </r>
  <r>
    <s v="ORD-115219"/>
    <x v="458"/>
    <x v="1"/>
    <s v="June"/>
    <x v="1"/>
    <s v="Mumbai"/>
    <s v="Neha Deshpande"/>
    <x v="2"/>
    <x v="2"/>
    <s v="Audio Devices"/>
    <s v="Jbl Tune 510Bt"/>
    <x v="1"/>
    <s v="Delivered"/>
    <n v="27"/>
    <n v="3299"/>
    <n v="0.12"/>
    <n v="2050"/>
    <n v="89072.88"/>
    <n v="55350"/>
    <n v="33722.880000000005"/>
    <n v="0.37859873847123843"/>
  </r>
  <r>
    <s v="ORD-114898"/>
    <x v="459"/>
    <x v="1"/>
    <s v="June"/>
    <x v="2"/>
    <s v="Ujjain"/>
    <s v="Sourav Das"/>
    <x v="2"/>
    <x v="4"/>
    <s v="Fitness Equipment"/>
    <s v="Dumbbell Set"/>
    <x v="2"/>
    <s v="Delivered"/>
    <n v="39"/>
    <n v="3499"/>
    <n v="0.12"/>
    <n v="2190"/>
    <n v="136460.88"/>
    <n v="85410"/>
    <n v="51050.880000000005"/>
    <n v="0.37410633728875264"/>
  </r>
  <r>
    <s v="ORD-114914"/>
    <x v="459"/>
    <x v="1"/>
    <s v="June"/>
    <x v="3"/>
    <s v="Chandigarh"/>
    <s v="Simran Kaur"/>
    <x v="2"/>
    <x v="0"/>
    <s v="Apparel"/>
    <s v="Denim Jeans"/>
    <x v="1"/>
    <s v="Delivered"/>
    <n v="36"/>
    <n v="2499"/>
    <n v="0.12"/>
    <n v="1510"/>
    <n v="89963.88"/>
    <n v="54360"/>
    <n v="35603.880000000005"/>
    <n v="0.39575749734226673"/>
  </r>
  <r>
    <s v="ORD-115152"/>
    <x v="459"/>
    <x v="1"/>
    <s v="June"/>
    <x v="1"/>
    <s v="Surat"/>
    <s v="Neha Deshpande"/>
    <x v="1"/>
    <x v="0"/>
    <s v="Footwear"/>
    <s v="Puma Sneakers"/>
    <x v="2"/>
    <s v="Delivered"/>
    <n v="22"/>
    <n v="4499"/>
    <n v="0.2"/>
    <n v="2910"/>
    <n v="98977.8"/>
    <n v="64020"/>
    <n v="34957.800000000003"/>
    <n v="0.35318829070761326"/>
  </r>
  <r>
    <s v="ORD-114779"/>
    <x v="460"/>
    <x v="1"/>
    <s v="June"/>
    <x v="0"/>
    <s v="Kolkata"/>
    <s v="Pooja Chouhan"/>
    <x v="2"/>
    <x v="2"/>
    <s v="Mobiles"/>
    <s v="Samsung Galaxy M34"/>
    <x v="0"/>
    <s v="Returned"/>
    <n v="1"/>
    <n v="22999"/>
    <n v="0.12"/>
    <n v="15100"/>
    <n v="22998.880000000001"/>
    <n v="15100"/>
    <n v="7898.880000000001"/>
    <n v="0.34344628955844808"/>
  </r>
  <r>
    <s v="ORD-115470"/>
    <x v="461"/>
    <x v="1"/>
    <s v="June"/>
    <x v="0"/>
    <s v="Bhubaneswar"/>
    <s v="Simran Kaur"/>
    <x v="0"/>
    <x v="4"/>
    <s v="Fitness Equipment"/>
    <s v="Yoga Mat"/>
    <x v="2"/>
    <s v="Pending"/>
    <n v="10"/>
    <n v="1299"/>
    <n v="0.15"/>
    <n v="720"/>
    <n v="12989.85"/>
    <n v="7200"/>
    <n v="5789.85"/>
    <n v="0.44572108222958695"/>
  </r>
  <r>
    <s v="ORD-114862"/>
    <x v="462"/>
    <x v="1"/>
    <s v="June"/>
    <x v="2"/>
    <s v="Ujjain"/>
    <s v="Simran Kaur"/>
    <x v="1"/>
    <x v="2"/>
    <s v="Audio Devices"/>
    <s v="Sony Wh-Ch520"/>
    <x v="0"/>
    <s v="Returned"/>
    <n v="30"/>
    <n v="4490"/>
    <n v="0.12"/>
    <n v="2950"/>
    <n v="134699.88"/>
    <n v="88500"/>
    <n v="46199.880000000005"/>
    <n v="0.34298382448447617"/>
  </r>
  <r>
    <s v="ORD-115361"/>
    <x v="462"/>
    <x v="1"/>
    <s v="June"/>
    <x v="3"/>
    <s v="Lucknow"/>
    <s v="Ritika Ghosh"/>
    <x v="1"/>
    <x v="0"/>
    <s v="Apparel"/>
    <s v="Women'S Kurti"/>
    <x v="2"/>
    <s v="Returned"/>
    <n v="31"/>
    <n v="1599"/>
    <n v="0.08"/>
    <n v="920"/>
    <n v="49568.92"/>
    <n v="28520"/>
    <n v="21048.92"/>
    <n v="0.42463947166894089"/>
  </r>
  <r>
    <s v="ORD-114761"/>
    <x v="463"/>
    <x v="1"/>
    <s v="June"/>
    <x v="1"/>
    <s v="Ahmedabad"/>
    <s v="Simran Kaur"/>
    <x v="2"/>
    <x v="0"/>
    <s v="Footwear"/>
    <s v="Nike Running Shoes"/>
    <x v="2"/>
    <s v="Returned"/>
    <n v="13"/>
    <n v="6499"/>
    <n v="0.12"/>
    <n v="4210"/>
    <n v="84486.88"/>
    <n v="54730"/>
    <n v="29756.880000000005"/>
    <n v="0.3522071119208095"/>
  </r>
  <r>
    <s v="ORD-114775"/>
    <x v="463"/>
    <x v="1"/>
    <s v="June"/>
    <x v="2"/>
    <s v="Indore"/>
    <s v="Sourav Das"/>
    <x v="0"/>
    <x v="3"/>
    <s v="Refrigerators"/>
    <s v="Whirlpool 265L Refrigerator"/>
    <x v="0"/>
    <s v="Returned"/>
    <n v="29"/>
    <n v="27890"/>
    <n v="0.18"/>
    <n v="18800"/>
    <n v="808809.82"/>
    <n v="545200"/>
    <n v="263609.81999999995"/>
    <n v="0.32592311997398843"/>
  </r>
  <r>
    <s v="ORD-115249"/>
    <x v="463"/>
    <x v="1"/>
    <s v="June"/>
    <x v="4"/>
    <s v="Chennai"/>
    <s v="Sourav Das"/>
    <x v="0"/>
    <x v="0"/>
    <s v="Footwear"/>
    <s v="Puma Sneakers"/>
    <x v="0"/>
    <s v="Delivered"/>
    <n v="32"/>
    <n v="4499"/>
    <n v="0.15"/>
    <n v="2910"/>
    <n v="143967.85"/>
    <n v="93120"/>
    <n v="50847.850000000006"/>
    <n v="0.35318892377707944"/>
  </r>
  <r>
    <s v="ORD-115365"/>
    <x v="463"/>
    <x v="1"/>
    <s v="June"/>
    <x v="3"/>
    <s v="Lucknow"/>
    <s v="Ritika Ghosh"/>
    <x v="1"/>
    <x v="3"/>
    <s v="Refrigerators"/>
    <s v="Whirlpool 265L Refrigerator"/>
    <x v="2"/>
    <s v="Delivered"/>
    <n v="35"/>
    <n v="27890"/>
    <n v="0.08"/>
    <n v="18800"/>
    <n v="976149.92"/>
    <n v="658000"/>
    <n v="318149.92000000004"/>
    <n v="0.32592321474553831"/>
  </r>
  <r>
    <s v="ORD-115468"/>
    <x v="464"/>
    <x v="1"/>
    <s v="June"/>
    <x v="0"/>
    <s v="Ranchi"/>
    <s v="Neha Deshpande"/>
    <x v="2"/>
    <x v="1"/>
    <s v="Sofas"/>
    <s v="Single Seater Recliner"/>
    <x v="0"/>
    <s v="Cancelled"/>
    <n v="24"/>
    <n v="43500"/>
    <n v="0.12"/>
    <n v="29520"/>
    <n v="1043999.88"/>
    <n v="708480"/>
    <n v="335519.88"/>
    <n v="0.32137923234244048"/>
  </r>
  <r>
    <s v="ORD-115018"/>
    <x v="465"/>
    <x v="1"/>
    <s v="June"/>
    <x v="2"/>
    <s v="Indore"/>
    <s v="Rahul Singh"/>
    <x v="1"/>
    <x v="2"/>
    <s v="Laptops"/>
    <s v="Dell Inspiron 3511"/>
    <x v="2"/>
    <s v="Delivered"/>
    <n v="11"/>
    <n v="55230"/>
    <n v="0.08"/>
    <n v="33800"/>
    <n v="607529.92000000004"/>
    <n v="371800"/>
    <n v="235729.92000000004"/>
    <n v="0.38801368005052334"/>
  </r>
  <r>
    <s v="ORD-115075"/>
    <x v="466"/>
    <x v="1"/>
    <s v="June"/>
    <x v="2"/>
    <s v="Indore"/>
    <s v="Anjali Mehta"/>
    <x v="1"/>
    <x v="2"/>
    <s v="Mobiles"/>
    <s v="Iphone 13"/>
    <x v="2"/>
    <s v="Cancelled"/>
    <n v="32"/>
    <n v="52990"/>
    <n v="0.18"/>
    <n v="39500"/>
    <n v="1695679.82"/>
    <n v="1264000"/>
    <n v="431679.82000000007"/>
    <n v="0.25457625602927803"/>
  </r>
  <r>
    <s v="ORD-115008"/>
    <x v="467"/>
    <x v="1"/>
    <s v="June"/>
    <x v="1"/>
    <s v="Mumbai"/>
    <s v="Simran Kaur"/>
    <x v="0"/>
    <x v="3"/>
    <s v="Washing Machines"/>
    <s v="Samsung 7Kg Washing Machine"/>
    <x v="1"/>
    <s v="Delivered"/>
    <n v="37"/>
    <n v="32800"/>
    <n v="0.1"/>
    <n v="23100"/>
    <n v="1213599.8999999999"/>
    <n v="854700"/>
    <n v="358899.89999999991"/>
    <n v="0.29573164928573242"/>
  </r>
  <r>
    <s v="ORD-115073"/>
    <x v="467"/>
    <x v="1"/>
    <s v="June"/>
    <x v="1"/>
    <s v="Surat"/>
    <s v="Neha Deshpande"/>
    <x v="1"/>
    <x v="3"/>
    <s v="Washing Machines"/>
    <s v="Samsung 7Kg Washing Machine"/>
    <x v="1"/>
    <s v="Returned"/>
    <n v="1"/>
    <n v="32800"/>
    <n v="0.15"/>
    <n v="23100"/>
    <n v="32799.85"/>
    <n v="23100"/>
    <n v="9699.8499999999985"/>
    <n v="0.29572848656320072"/>
  </r>
  <r>
    <s v="ORD-115139"/>
    <x v="467"/>
    <x v="1"/>
    <s v="June"/>
    <x v="1"/>
    <s v="Ahmedabad"/>
    <s v="Pooja Chouhan"/>
    <x v="2"/>
    <x v="3"/>
    <s v="Kitchen Appliances"/>
    <s v="Bajaj Otg"/>
    <x v="2"/>
    <s v="Delivered"/>
    <n v="2"/>
    <n v="5890"/>
    <n v="0.18"/>
    <n v="3980"/>
    <n v="11779.82"/>
    <n v="7960"/>
    <n v="3819.8199999999997"/>
    <n v="0.32426811275554296"/>
  </r>
  <r>
    <s v="ORD-115374"/>
    <x v="467"/>
    <x v="1"/>
    <s v="June"/>
    <x v="2"/>
    <s v="Indore"/>
    <s v="Neha Deshpande"/>
    <x v="2"/>
    <x v="2"/>
    <s v="Audio Devices"/>
    <s v="Boat Airdopes 131"/>
    <x v="1"/>
    <s v="Delivered"/>
    <n v="25"/>
    <n v="1930"/>
    <n v="0.08"/>
    <n v="1120"/>
    <n v="48249.919999999998"/>
    <n v="28000"/>
    <n v="20249.919999999998"/>
    <n v="0.41968815699590795"/>
  </r>
  <r>
    <s v="ORD-114766"/>
    <x v="468"/>
    <x v="1"/>
    <s v="July"/>
    <x v="0"/>
    <s v="Patna"/>
    <s v="Ritika Ghosh"/>
    <x v="2"/>
    <x v="3"/>
    <s v="Kitchen Appliances"/>
    <s v="Bajaj Otg"/>
    <x v="1"/>
    <s v="Cancelled"/>
    <n v="17"/>
    <n v="5890"/>
    <n v="0.1"/>
    <n v="3980"/>
    <n v="100129.9"/>
    <n v="67660"/>
    <n v="32469.899999999994"/>
    <n v="0.32427776318562185"/>
  </r>
  <r>
    <s v="ORD-114947"/>
    <x v="468"/>
    <x v="1"/>
    <s v="July"/>
    <x v="2"/>
    <s v="Raipur"/>
    <s v="Neha Deshpande"/>
    <x v="0"/>
    <x v="1"/>
    <s v="Tables"/>
    <s v="6-Seater Dining Table"/>
    <x v="2"/>
    <s v="Returned"/>
    <n v="12"/>
    <n v="25110"/>
    <n v="0.12"/>
    <n v="16730"/>
    <n v="301319.88"/>
    <n v="200760"/>
    <n v="100559.88"/>
    <n v="0.33373131570343118"/>
  </r>
  <r>
    <s v="ORD-115065"/>
    <x v="468"/>
    <x v="1"/>
    <s v="July"/>
    <x v="1"/>
    <s v="Pune"/>
    <s v="Rahul Singh"/>
    <x v="1"/>
    <x v="0"/>
    <s v="Apparel"/>
    <s v="Women'S Kurti"/>
    <x v="2"/>
    <s v="Delivered"/>
    <n v="36"/>
    <n v="1599"/>
    <n v="0.05"/>
    <n v="920"/>
    <n v="57563.95"/>
    <n v="33120"/>
    <n v="24443.949999999997"/>
    <n v="0.42463990049327743"/>
  </r>
  <r>
    <s v="ORD-115286"/>
    <x v="468"/>
    <x v="1"/>
    <s v="July"/>
    <x v="2"/>
    <s v="Raipur"/>
    <s v="Rahul Singh"/>
    <x v="1"/>
    <x v="1"/>
    <s v="Sofas"/>
    <s v="3-Seater Sofa"/>
    <x v="2"/>
    <s v="Delivered"/>
    <n v="20"/>
    <n v="38990"/>
    <n v="0.1"/>
    <n v="25400"/>
    <n v="779799.9"/>
    <n v="508000"/>
    <n v="271799.90000000002"/>
    <n v="0.34855082694932382"/>
  </r>
  <r>
    <s v="ORD-115287"/>
    <x v="468"/>
    <x v="1"/>
    <s v="July"/>
    <x v="0"/>
    <s v="Patna"/>
    <s v="Rahul Singh"/>
    <x v="0"/>
    <x v="4"/>
    <s v="Fitness Equipment"/>
    <s v="Dumbbell Set"/>
    <x v="1"/>
    <s v="Cancelled"/>
    <n v="4"/>
    <n v="3499"/>
    <n v="0.12"/>
    <n v="2190"/>
    <n v="13995.88"/>
    <n v="8760"/>
    <n v="5235.8799999999992"/>
    <n v="0.37410152130484109"/>
  </r>
  <r>
    <s v="ORD-115326"/>
    <x v="468"/>
    <x v="1"/>
    <s v="July"/>
    <x v="1"/>
    <s v="Mumbai"/>
    <s v="Kartik Raman"/>
    <x v="1"/>
    <x v="0"/>
    <s v="Footwear"/>
    <s v="Nike Running Shoes"/>
    <x v="0"/>
    <s v="Delivered"/>
    <n v="2"/>
    <n v="6499"/>
    <n v="0.08"/>
    <n v="4210"/>
    <n v="12997.92"/>
    <n v="8420"/>
    <n v="4577.92"/>
    <n v="0.35220404495488511"/>
  </r>
  <r>
    <s v="ORD-115348"/>
    <x v="468"/>
    <x v="1"/>
    <s v="July"/>
    <x v="3"/>
    <s v="Chandigarh"/>
    <s v="Ritika Ghosh"/>
    <x v="1"/>
    <x v="4"/>
    <s v="Fitness Equipment"/>
    <s v="Dumbbell Set"/>
    <x v="1"/>
    <s v="Returned"/>
    <n v="22"/>
    <n v="3499"/>
    <n v="0.15"/>
    <n v="2190"/>
    <n v="76977.850000000006"/>
    <n v="48180"/>
    <n v="28797.850000000006"/>
    <n v="0.37410566805905859"/>
  </r>
  <r>
    <s v="ORD-114870"/>
    <x v="469"/>
    <x v="1"/>
    <s v="July"/>
    <x v="0"/>
    <s v="Ranchi"/>
    <s v="Imran Sheikh"/>
    <x v="1"/>
    <x v="4"/>
    <s v="Fitness Equipment"/>
    <s v="Dumbbell Set"/>
    <x v="1"/>
    <s v="Delivered"/>
    <n v="14"/>
    <n v="3499"/>
    <n v="0.05"/>
    <n v="2190"/>
    <n v="48985.95"/>
    <n v="30660"/>
    <n v="18325.949999999997"/>
    <n v="0.37410624883257337"/>
  </r>
  <r>
    <s v="ORD-115124"/>
    <x v="469"/>
    <x v="1"/>
    <s v="July"/>
    <x v="1"/>
    <s v="Surat"/>
    <s v="Ritika Ghosh"/>
    <x v="2"/>
    <x v="2"/>
    <s v="Laptops"/>
    <s v="Dell Inspiron 3511"/>
    <x v="0"/>
    <s v="Delivered"/>
    <n v="32"/>
    <n v="55230"/>
    <n v="0.18"/>
    <n v="33800"/>
    <n v="1767359.82"/>
    <n v="1081600"/>
    <n v="685759.82000000007"/>
    <n v="0.38801369830847465"/>
  </r>
  <r>
    <s v="ORD-115438"/>
    <x v="469"/>
    <x v="1"/>
    <s v="July"/>
    <x v="4"/>
    <s v="Hyderabad"/>
    <s v="Anjali Mehta"/>
    <x v="0"/>
    <x v="2"/>
    <s v="Mobiles"/>
    <s v="Oneplus Nord Ce 3"/>
    <x v="1"/>
    <s v="Returned"/>
    <n v="1"/>
    <n v="25999"/>
    <n v="0.1"/>
    <n v="17800"/>
    <n v="25998.9"/>
    <n v="17800"/>
    <n v="8198.9000000000015"/>
    <n v="0.31535564966210111"/>
  </r>
  <r>
    <s v="ORD-114950"/>
    <x v="470"/>
    <x v="1"/>
    <s v="July"/>
    <x v="0"/>
    <s v="Kolkata"/>
    <s v="Simran Kaur"/>
    <x v="2"/>
    <x v="0"/>
    <s v="Footwear"/>
    <s v="Nike Running Shoes"/>
    <x v="2"/>
    <s v="Returned"/>
    <n v="28"/>
    <n v="6499"/>
    <n v="0.05"/>
    <n v="4210"/>
    <n v="181971.95"/>
    <n v="117880"/>
    <n v="64091.950000000012"/>
    <n v="0.35220785401266519"/>
  </r>
  <r>
    <s v="ORD-114831"/>
    <x v="471"/>
    <x v="1"/>
    <s v="July"/>
    <x v="0"/>
    <s v="Kolkata"/>
    <s v="Kartik Raman"/>
    <x v="1"/>
    <x v="3"/>
    <s v="Washing Machines"/>
    <s v="Lg 6.5Kg Washing Machine"/>
    <x v="1"/>
    <s v="Returned"/>
    <n v="38"/>
    <n v="29010"/>
    <n v="0.2"/>
    <n v="19150"/>
    <n v="1102379.8"/>
    <n v="727700"/>
    <n v="374679.80000000005"/>
    <n v="0.33988267927260646"/>
  </r>
  <r>
    <s v="ORD-114888"/>
    <x v="472"/>
    <x v="1"/>
    <s v="July"/>
    <x v="1"/>
    <s v="Ahmedabad"/>
    <s v="Pooja Chouhan"/>
    <x v="2"/>
    <x v="0"/>
    <s v="Apparel"/>
    <s v="Denim Jeans"/>
    <x v="1"/>
    <s v="Delivered"/>
    <n v="31"/>
    <n v="2499"/>
    <n v="0.05"/>
    <n v="1510"/>
    <n v="77468.95"/>
    <n v="46810"/>
    <n v="30658.949999999997"/>
    <n v="0.39575791333172838"/>
  </r>
  <r>
    <s v="ORD-114999"/>
    <x v="472"/>
    <x v="1"/>
    <s v="July"/>
    <x v="1"/>
    <s v="Surat"/>
    <s v="Anjali Mehta"/>
    <x v="1"/>
    <x v="1"/>
    <s v="Sofas"/>
    <s v="Single Seater Recliner"/>
    <x v="2"/>
    <s v="Delivered"/>
    <n v="7"/>
    <n v="43500"/>
    <n v="0.05"/>
    <n v="29520"/>
    <n v="304499.95"/>
    <n v="206640"/>
    <n v="97859.950000000012"/>
    <n v="0.32137919891284056"/>
  </r>
  <r>
    <s v="ORD-115147"/>
    <x v="472"/>
    <x v="1"/>
    <s v="July"/>
    <x v="3"/>
    <s v="Chandigarh"/>
    <s v="Simran Kaur"/>
    <x v="2"/>
    <x v="0"/>
    <s v="Apparel"/>
    <s v="Men'S Casual Shirt"/>
    <x v="2"/>
    <s v="Pending"/>
    <n v="33"/>
    <n v="1899"/>
    <n v="0.05"/>
    <n v="1080"/>
    <n v="62666.95"/>
    <n v="35640"/>
    <n v="27026.949999999997"/>
    <n v="0.43127916708887215"/>
  </r>
  <r>
    <s v="ORD-114926"/>
    <x v="473"/>
    <x v="1"/>
    <s v="July"/>
    <x v="4"/>
    <s v="Chennai"/>
    <s v="Anjali Mehta"/>
    <x v="1"/>
    <x v="4"/>
    <s v="Fitness Equipment"/>
    <s v="Yoga Mat"/>
    <x v="1"/>
    <s v="Delivered"/>
    <n v="33"/>
    <n v="1299"/>
    <n v="0.1"/>
    <n v="720"/>
    <n v="42866.9"/>
    <n v="23760"/>
    <n v="19106.900000000001"/>
    <n v="0.44572618967081828"/>
  </r>
  <r>
    <s v="ORD-115352"/>
    <x v="473"/>
    <x v="1"/>
    <s v="July"/>
    <x v="4"/>
    <s v="Kochi"/>
    <s v="Anjali Mehta"/>
    <x v="2"/>
    <x v="4"/>
    <s v="Fitness Equipment"/>
    <s v="Resistance Bands"/>
    <x v="0"/>
    <s v="Cancelled"/>
    <n v="17"/>
    <n v="999"/>
    <n v="0.18"/>
    <n v="540"/>
    <n v="16982.82"/>
    <n v="9180"/>
    <n v="7802.82"/>
    <n v="0.45945373029920827"/>
  </r>
  <r>
    <s v="ORD-114965"/>
    <x v="474"/>
    <x v="1"/>
    <s v="July"/>
    <x v="4"/>
    <s v="Chennai"/>
    <s v="Pooja Chouhan"/>
    <x v="1"/>
    <x v="3"/>
    <s v="Washing Machines"/>
    <s v="Ifb 7Kg Washing Machine"/>
    <x v="0"/>
    <s v="Delivered"/>
    <n v="36"/>
    <n v="31990"/>
    <n v="0.1"/>
    <n v="21800"/>
    <n v="1151639.8999999999"/>
    <n v="784800"/>
    <n v="366839.89999999991"/>
    <n v="0.31853698365261568"/>
  </r>
  <r>
    <s v="ORD-115412"/>
    <x v="474"/>
    <x v="1"/>
    <s v="July"/>
    <x v="1"/>
    <s v="Pune"/>
    <s v="Simran Kaur"/>
    <x v="0"/>
    <x v="0"/>
    <s v="Footwear"/>
    <s v="Puma Sneakers"/>
    <x v="0"/>
    <s v="Delivered"/>
    <n v="25"/>
    <n v="4499"/>
    <n v="0.1"/>
    <n v="2910"/>
    <n v="112474.9"/>
    <n v="72750"/>
    <n v="39724.899999999994"/>
    <n v="0.35318902261749063"/>
  </r>
  <r>
    <s v="ORD-115203"/>
    <x v="475"/>
    <x v="1"/>
    <s v="July"/>
    <x v="3"/>
    <s v="Chandigarh"/>
    <s v="Simran Kaur"/>
    <x v="0"/>
    <x v="4"/>
    <s v="Fitness Equipment"/>
    <s v="Yoga Mat"/>
    <x v="0"/>
    <s v="Delivered"/>
    <n v="22"/>
    <n v="1299"/>
    <n v="0.05"/>
    <n v="720"/>
    <n v="28577.95"/>
    <n v="15840"/>
    <n v="12737.95"/>
    <n v="0.44572651292342524"/>
  </r>
  <r>
    <s v="ORD-115258"/>
    <x v="475"/>
    <x v="1"/>
    <s v="July"/>
    <x v="1"/>
    <s v="Mumbai"/>
    <s v="Neha Deshpande"/>
    <x v="1"/>
    <x v="4"/>
    <s v="Fitness Equipment"/>
    <s v="Resistance Bands"/>
    <x v="0"/>
    <s v="Delivered"/>
    <n v="11"/>
    <n v="999"/>
    <n v="0.12"/>
    <n v="540"/>
    <n v="10988.88"/>
    <n v="5940"/>
    <n v="5048.8799999999992"/>
    <n v="0.45945355668639565"/>
  </r>
  <r>
    <s v="ORD-115441"/>
    <x v="475"/>
    <x v="1"/>
    <s v="July"/>
    <x v="1"/>
    <s v="Mumbai"/>
    <s v="Rahul Singh"/>
    <x v="0"/>
    <x v="3"/>
    <s v="Kitchen Appliances"/>
    <s v="Philips Air Fryer"/>
    <x v="1"/>
    <s v="Delivered"/>
    <n v="27"/>
    <n v="7299"/>
    <n v="0.05"/>
    <n v="5010"/>
    <n v="197072.95"/>
    <n v="135270"/>
    <n v="61802.950000000012"/>
    <n v="0.31360442922278275"/>
  </r>
  <r>
    <s v="ORD-115066"/>
    <x v="476"/>
    <x v="1"/>
    <s v="July"/>
    <x v="1"/>
    <s v="Pune"/>
    <s v="Anjali Mehta"/>
    <x v="0"/>
    <x v="4"/>
    <s v="Fitness Equipment"/>
    <s v="Resistance Bands"/>
    <x v="2"/>
    <s v="Delivered"/>
    <n v="29"/>
    <n v="999"/>
    <n v="0.1"/>
    <n v="540"/>
    <n v="28970.9"/>
    <n v="15660"/>
    <n v="13310.900000000001"/>
    <n v="0.45945759365432215"/>
  </r>
  <r>
    <s v="ORD-115384"/>
    <x v="476"/>
    <x v="1"/>
    <s v="July"/>
    <x v="3"/>
    <s v="Chandigarh"/>
    <s v="Pooja Chouhan"/>
    <x v="0"/>
    <x v="3"/>
    <s v="Kitchen Appliances"/>
    <s v="Bajaj Otg"/>
    <x v="1"/>
    <s v="Delivered"/>
    <n v="28"/>
    <n v="5890"/>
    <n v="0.15"/>
    <n v="3980"/>
    <n v="164919.85"/>
    <n v="111440"/>
    <n v="53479.850000000006"/>
    <n v="0.32427782343968908"/>
  </r>
  <r>
    <s v="ORD-114770"/>
    <x v="477"/>
    <x v="1"/>
    <s v="July"/>
    <x v="1"/>
    <s v="Surat"/>
    <s v="Pooja Chouhan"/>
    <x v="1"/>
    <x v="0"/>
    <s v="Apparel"/>
    <s v="Women'S Kurti"/>
    <x v="0"/>
    <s v="Delivered"/>
    <n v="6"/>
    <n v="1599"/>
    <n v="0.1"/>
    <n v="920"/>
    <n v="9593.9"/>
    <n v="5520"/>
    <n v="4073.8999999999996"/>
    <n v="0.42463440311030964"/>
  </r>
  <r>
    <s v="ORD-114840"/>
    <x v="478"/>
    <x v="1"/>
    <s v="July"/>
    <x v="4"/>
    <s v="Kochi"/>
    <s v="Aditya Verma"/>
    <x v="0"/>
    <x v="3"/>
    <s v="Washing Machines"/>
    <s v="Lg 6.5Kg Washing Machine"/>
    <x v="2"/>
    <s v="Pending"/>
    <n v="11"/>
    <n v="29010"/>
    <n v="0.2"/>
    <n v="19150"/>
    <n v="319109.8"/>
    <n v="210650"/>
    <n v="108459.79999999999"/>
    <n v="0.33988238531063603"/>
  </r>
  <r>
    <s v="ORD-115045"/>
    <x v="478"/>
    <x v="1"/>
    <s v="July"/>
    <x v="1"/>
    <s v="Ahmedabad"/>
    <s v="Neha Deshpande"/>
    <x v="2"/>
    <x v="2"/>
    <s v="Audio Devices"/>
    <s v="Jbl Tune 510Bt"/>
    <x v="2"/>
    <s v="Delivered"/>
    <n v="37"/>
    <n v="3299"/>
    <n v="0.1"/>
    <n v="2050"/>
    <n v="122062.9"/>
    <n v="75850"/>
    <n v="46212.899999999994"/>
    <n v="0.37859906654683773"/>
  </r>
  <r>
    <s v="ORD-115288"/>
    <x v="478"/>
    <x v="1"/>
    <s v="July"/>
    <x v="4"/>
    <s v="Kochi"/>
    <s v="Rahul Singh"/>
    <x v="1"/>
    <x v="3"/>
    <s v="Kitchen Appliances"/>
    <s v="Bajaj Otg"/>
    <x v="0"/>
    <s v="Delivered"/>
    <n v="19"/>
    <n v="5890"/>
    <n v="0.2"/>
    <n v="3980"/>
    <n v="111909.8"/>
    <n v="75620"/>
    <n v="36289.800000000003"/>
    <n v="0.32427723041234996"/>
  </r>
  <r>
    <s v="ORD-114807"/>
    <x v="479"/>
    <x v="1"/>
    <s v="July"/>
    <x v="1"/>
    <s v="Surat"/>
    <s v="Kartik Raman"/>
    <x v="1"/>
    <x v="2"/>
    <s v="Audio Devices"/>
    <s v="Boat Airdopes 131"/>
    <x v="0"/>
    <s v="Cancelled"/>
    <n v="8"/>
    <n v="1930"/>
    <n v="0.1"/>
    <n v="1120"/>
    <n v="15439.9"/>
    <n v="8960"/>
    <n v="6479.9"/>
    <n v="0.41968536065648093"/>
  </r>
  <r>
    <s v="ORD-115164"/>
    <x v="479"/>
    <x v="1"/>
    <s v="July"/>
    <x v="2"/>
    <s v="Bhopal"/>
    <s v="Aditya Verma"/>
    <x v="2"/>
    <x v="2"/>
    <s v="Audio Devices"/>
    <s v="Sony Wh-Ch520"/>
    <x v="1"/>
    <s v="Delivered"/>
    <n v="9"/>
    <n v="4490"/>
    <n v="0.15"/>
    <n v="2950"/>
    <n v="40409.85"/>
    <n v="26550"/>
    <n v="13859.849999999999"/>
    <n v="0.34298197097984773"/>
  </r>
  <r>
    <s v="ORD-115304"/>
    <x v="479"/>
    <x v="1"/>
    <s v="July"/>
    <x v="4"/>
    <s v="Kochi"/>
    <s v="Rahul Singh"/>
    <x v="1"/>
    <x v="3"/>
    <s v="Washing Machines"/>
    <s v="Samsung 7Kg Washing Machine"/>
    <x v="1"/>
    <s v="Cancelled"/>
    <n v="8"/>
    <n v="32800"/>
    <n v="0.2"/>
    <n v="23100"/>
    <n v="262399.8"/>
    <n v="184800"/>
    <n v="77599.799999999988"/>
    <n v="0.29573117052680675"/>
  </r>
  <r>
    <s v="ORD-115440"/>
    <x v="479"/>
    <x v="1"/>
    <s v="July"/>
    <x v="4"/>
    <s v="Bengaluru"/>
    <s v="Rahul Singh"/>
    <x v="2"/>
    <x v="2"/>
    <s v="Audio Devices"/>
    <s v="Boat Airdopes 131"/>
    <x v="0"/>
    <s v="Pending"/>
    <n v="19"/>
    <n v="1930"/>
    <n v="0.08"/>
    <n v="1120"/>
    <n v="36669.919999999998"/>
    <n v="21280"/>
    <n v="15389.919999999998"/>
    <n v="0.41968785315048407"/>
  </r>
  <r>
    <s v="ORD-115485"/>
    <x v="479"/>
    <x v="1"/>
    <s v="July"/>
    <x v="4"/>
    <s v="Bengaluru"/>
    <s v="Aditya Verma"/>
    <x v="0"/>
    <x v="0"/>
    <s v="Footwear"/>
    <s v="Nike Running Shoes"/>
    <x v="2"/>
    <s v="Returned"/>
    <n v="12"/>
    <n v="6499"/>
    <n v="0.2"/>
    <n v="4210"/>
    <n v="77987.8"/>
    <n v="50520"/>
    <n v="27467.800000000003"/>
    <n v="0.35220637074003885"/>
  </r>
  <r>
    <s v="ORD-114867"/>
    <x v="480"/>
    <x v="1"/>
    <s v="July"/>
    <x v="3"/>
    <s v="Delhi"/>
    <s v="Sourav Das"/>
    <x v="2"/>
    <x v="1"/>
    <s v="Sofas"/>
    <s v="Single Seater Recliner"/>
    <x v="0"/>
    <s v="Delivered"/>
    <n v="4"/>
    <n v="43500"/>
    <n v="0.2"/>
    <n v="29520"/>
    <n v="173999.8"/>
    <n v="118080"/>
    <n v="55919.799999999988"/>
    <n v="0.32137853032014974"/>
  </r>
  <r>
    <s v="ORD-114934"/>
    <x v="480"/>
    <x v="1"/>
    <s v="July"/>
    <x v="3"/>
    <s v="Lucknow"/>
    <s v="Neha Deshpande"/>
    <x v="0"/>
    <x v="3"/>
    <s v="Kitchen Appliances"/>
    <s v="Philips Air Fryer"/>
    <x v="1"/>
    <s v="Delivered"/>
    <n v="25"/>
    <n v="7299"/>
    <n v="0.08"/>
    <n v="5010"/>
    <n v="182474.92"/>
    <n v="125250"/>
    <n v="57224.920000000013"/>
    <n v="0.31360430244331666"/>
  </r>
  <r>
    <s v="ORD-115305"/>
    <x v="481"/>
    <x v="1"/>
    <s v="July"/>
    <x v="3"/>
    <s v="Jaipur"/>
    <s v="Aditya Verma"/>
    <x v="0"/>
    <x v="2"/>
    <s v="Mobiles"/>
    <s v="Samsung Galaxy M34"/>
    <x v="2"/>
    <s v="Delivered"/>
    <n v="14"/>
    <n v="22999"/>
    <n v="0.2"/>
    <n v="15100"/>
    <n v="321985.8"/>
    <n v="211400"/>
    <n v="110585.79999999999"/>
    <n v="0.34344930739181662"/>
  </r>
  <r>
    <s v="ORD-115386"/>
    <x v="481"/>
    <x v="1"/>
    <s v="July"/>
    <x v="3"/>
    <s v="Chandigarh"/>
    <s v="Neha Deshpande"/>
    <x v="0"/>
    <x v="3"/>
    <s v="Washing Machines"/>
    <s v="Lg 6.5Kg Washing Machine"/>
    <x v="1"/>
    <s v="Returned"/>
    <n v="4"/>
    <n v="29010"/>
    <n v="0.12"/>
    <n v="19150"/>
    <n v="116039.88"/>
    <n v="76600"/>
    <n v="39439.880000000005"/>
    <n v="0.33988211638964122"/>
  </r>
  <r>
    <s v="ORD-115405"/>
    <x v="481"/>
    <x v="1"/>
    <s v="July"/>
    <x v="1"/>
    <s v="Ahmedabad"/>
    <s v="Aditya Verma"/>
    <x v="1"/>
    <x v="3"/>
    <s v="Washing Machines"/>
    <s v="Samsung 7Kg Washing Machine"/>
    <x v="1"/>
    <s v="Delivered"/>
    <n v="25"/>
    <n v="32800"/>
    <n v="0.12"/>
    <n v="23100"/>
    <n v="819999.88"/>
    <n v="577500"/>
    <n v="242499.88"/>
    <n v="0.2957316042534055"/>
  </r>
  <r>
    <s v="ORD-115480"/>
    <x v="481"/>
    <x v="1"/>
    <s v="July"/>
    <x v="3"/>
    <s v="Jaipur"/>
    <s v="Rahul Singh"/>
    <x v="2"/>
    <x v="2"/>
    <s v="Laptops"/>
    <s v="Hp 15S"/>
    <x v="0"/>
    <s v="Returned"/>
    <n v="7"/>
    <n v="48500"/>
    <n v="0.12"/>
    <n v="30200"/>
    <n v="339499.88"/>
    <n v="211400"/>
    <n v="128099.88"/>
    <n v="0.37731936753556439"/>
  </r>
  <r>
    <s v="ORD-114842"/>
    <x v="482"/>
    <x v="1"/>
    <s v="July"/>
    <x v="2"/>
    <s v="Bhopal"/>
    <s v="Sourav Das"/>
    <x v="0"/>
    <x v="0"/>
    <s v="Apparel"/>
    <s v="Women'S Kurti"/>
    <x v="2"/>
    <s v="Cancelled"/>
    <n v="21"/>
    <n v="1599"/>
    <n v="0.1"/>
    <n v="920"/>
    <n v="33578.9"/>
    <n v="19320"/>
    <n v="14258.900000000001"/>
    <n v="0.42463868679438577"/>
  </r>
  <r>
    <s v="ORD-114907"/>
    <x v="482"/>
    <x v="1"/>
    <s v="July"/>
    <x v="2"/>
    <s v="Raipur"/>
    <s v="Ritika Ghosh"/>
    <x v="2"/>
    <x v="1"/>
    <s v="Tables"/>
    <s v="Office Work Table"/>
    <x v="0"/>
    <s v="Delivered"/>
    <n v="22"/>
    <n v="12490"/>
    <n v="0.12"/>
    <n v="7900"/>
    <n v="274779.88"/>
    <n v="173800"/>
    <n v="100979.88"/>
    <n v="0.36749371897243716"/>
  </r>
  <r>
    <s v="ORD-115025"/>
    <x v="482"/>
    <x v="1"/>
    <s v="July"/>
    <x v="3"/>
    <s v="Chandigarh"/>
    <s v="Simran Kaur"/>
    <x v="0"/>
    <x v="1"/>
    <s v="Tables"/>
    <s v="Office Work Table"/>
    <x v="0"/>
    <s v="Delivered"/>
    <n v="35"/>
    <n v="12490"/>
    <n v="0.12"/>
    <n v="7900"/>
    <n v="437149.88"/>
    <n v="276500"/>
    <n v="160649.88"/>
    <n v="0.36749382156984695"/>
  </r>
  <r>
    <s v="ORD-114821"/>
    <x v="483"/>
    <x v="1"/>
    <s v="July"/>
    <x v="1"/>
    <s v="Surat"/>
    <s v="Ritika Ghosh"/>
    <x v="2"/>
    <x v="0"/>
    <s v="Footwear"/>
    <s v="Puma Sneakers"/>
    <x v="0"/>
    <s v="Pending"/>
    <n v="1"/>
    <n v="4499"/>
    <n v="0.12"/>
    <n v="2910"/>
    <n v="4498.88"/>
    <n v="2910"/>
    <n v="1588.88"/>
    <n v="0.3531723451170069"/>
  </r>
  <r>
    <s v="ORD-115230"/>
    <x v="483"/>
    <x v="1"/>
    <s v="July"/>
    <x v="3"/>
    <s v="Chandigarh"/>
    <s v="Anjali Mehta"/>
    <x v="0"/>
    <x v="3"/>
    <s v="Kitchen Appliances"/>
    <s v="Prestige Mixer Grinder"/>
    <x v="2"/>
    <s v="Cancelled"/>
    <n v="6"/>
    <n v="4680"/>
    <n v="0.1"/>
    <n v="3250"/>
    <n v="28079.9"/>
    <n v="19500"/>
    <n v="8579.9000000000015"/>
    <n v="0.30555308245399737"/>
  </r>
  <r>
    <s v="ORD-115235"/>
    <x v="483"/>
    <x v="1"/>
    <s v="July"/>
    <x v="2"/>
    <s v="Bhopal"/>
    <s v="Simran Kaur"/>
    <x v="2"/>
    <x v="1"/>
    <s v="Sofas"/>
    <s v="Single Seater Recliner"/>
    <x v="1"/>
    <s v="Cancelled"/>
    <n v="35"/>
    <n v="43500"/>
    <n v="0.2"/>
    <n v="29520"/>
    <n v="1522499.8"/>
    <n v="1033200"/>
    <n v="489299.80000000005"/>
    <n v="0.32137922119924089"/>
  </r>
  <r>
    <s v="ORD-115398"/>
    <x v="483"/>
    <x v="1"/>
    <s v="July"/>
    <x v="1"/>
    <s v="Ahmedabad"/>
    <s v="Imran Sheikh"/>
    <x v="0"/>
    <x v="2"/>
    <s v="Laptops"/>
    <s v="Hp 15S"/>
    <x v="2"/>
    <s v="Pending"/>
    <n v="11"/>
    <n v="48500"/>
    <n v="0.18"/>
    <n v="30200"/>
    <n v="533499.81999999995"/>
    <n v="332200"/>
    <n v="201299.81999999995"/>
    <n v="0.37731937753980865"/>
  </r>
  <r>
    <s v="ORD-115478"/>
    <x v="483"/>
    <x v="1"/>
    <s v="July"/>
    <x v="1"/>
    <s v="Mumbai"/>
    <s v="Simran Kaur"/>
    <x v="1"/>
    <x v="0"/>
    <s v="Apparel"/>
    <s v="Women'S Kurti"/>
    <x v="1"/>
    <s v="Delivered"/>
    <n v="31"/>
    <n v="1599"/>
    <n v="0.2"/>
    <n v="920"/>
    <n v="49568.800000000003"/>
    <n v="28520"/>
    <n v="21048.800000000003"/>
    <n v="0.4246380787914979"/>
  </r>
  <r>
    <s v="ORD-115199"/>
    <x v="484"/>
    <x v="1"/>
    <s v="July"/>
    <x v="1"/>
    <s v="Surat"/>
    <s v="Neha Deshpande"/>
    <x v="0"/>
    <x v="4"/>
    <s v="Fitness Equipment"/>
    <s v="Yoga Mat"/>
    <x v="0"/>
    <s v="Cancelled"/>
    <n v="25"/>
    <n v="1299"/>
    <n v="0.2"/>
    <n v="720"/>
    <n v="32474.799999999999"/>
    <n v="18000"/>
    <n v="14474.8"/>
    <n v="0.44572406912436718"/>
  </r>
  <r>
    <s v="ORD-115320"/>
    <x v="484"/>
    <x v="1"/>
    <s v="July"/>
    <x v="2"/>
    <s v="Bhopal"/>
    <s v="Anjali Mehta"/>
    <x v="0"/>
    <x v="0"/>
    <s v="Apparel"/>
    <s v="Denim Jeans"/>
    <x v="1"/>
    <s v="Pending"/>
    <n v="3"/>
    <n v="2499"/>
    <n v="0.18"/>
    <n v="1510"/>
    <n v="7496.82"/>
    <n v="4530"/>
    <n v="2966.8199999999997"/>
    <n v="0.39574379536923654"/>
  </r>
  <r>
    <s v="ORD-115012"/>
    <x v="485"/>
    <x v="1"/>
    <s v="July"/>
    <x v="4"/>
    <s v="Bengaluru"/>
    <s v="Anjali Mehta"/>
    <x v="1"/>
    <x v="1"/>
    <s v="Sofas"/>
    <s v="Single Seater Recliner"/>
    <x v="0"/>
    <s v="Cancelled"/>
    <n v="5"/>
    <n v="43500"/>
    <n v="0.08"/>
    <n v="29520"/>
    <n v="217499.92"/>
    <n v="147600"/>
    <n v="69899.920000000013"/>
    <n v="0.32137906073712585"/>
  </r>
  <r>
    <s v="ORD-115368"/>
    <x v="486"/>
    <x v="1"/>
    <s v="July"/>
    <x v="4"/>
    <s v="Bengaluru"/>
    <s v="Simran Kaur"/>
    <x v="1"/>
    <x v="4"/>
    <s v="Fitness Equipment"/>
    <s v="Resistance Bands"/>
    <x v="2"/>
    <s v="Cancelled"/>
    <n v="36"/>
    <n v="999"/>
    <n v="0.2"/>
    <n v="540"/>
    <n v="35963.800000000003"/>
    <n v="19440"/>
    <n v="16523.800000000003"/>
    <n v="0.45945645343373065"/>
  </r>
  <r>
    <s v="ORD-115437"/>
    <x v="486"/>
    <x v="1"/>
    <s v="July"/>
    <x v="2"/>
    <s v="Bhopal"/>
    <s v="Ritika Ghosh"/>
    <x v="2"/>
    <x v="0"/>
    <s v="Apparel"/>
    <s v="Denim Jeans"/>
    <x v="0"/>
    <s v="Delivered"/>
    <n v="5"/>
    <n v="2499"/>
    <n v="0.12"/>
    <n v="1510"/>
    <n v="12494.88"/>
    <n v="7550"/>
    <n v="4944.8799999999992"/>
    <n v="0.39575250022409175"/>
  </r>
  <r>
    <s v="ORD-115095"/>
    <x v="487"/>
    <x v="1"/>
    <s v="July"/>
    <x v="4"/>
    <s v="Bengaluru"/>
    <s v="Kartik Raman"/>
    <x v="1"/>
    <x v="3"/>
    <s v="Kitchen Appliances"/>
    <s v="Prestige Mixer Grinder"/>
    <x v="2"/>
    <s v="Delivered"/>
    <n v="33"/>
    <n v="4680"/>
    <n v="0.12"/>
    <n v="3250"/>
    <n v="154439.88"/>
    <n v="107250"/>
    <n v="47189.880000000005"/>
    <n v="0.30555501597126339"/>
  </r>
  <r>
    <s v="ORD-114859"/>
    <x v="488"/>
    <x v="1"/>
    <s v="July"/>
    <x v="1"/>
    <s v="Pune"/>
    <s v="Anjali Mehta"/>
    <x v="2"/>
    <x v="0"/>
    <s v="Apparel"/>
    <s v="Women'S Kurti"/>
    <x v="0"/>
    <s v="Delivered"/>
    <n v="37"/>
    <n v="1599"/>
    <n v="0.05"/>
    <n v="920"/>
    <n v="59162.95"/>
    <n v="34040"/>
    <n v="25122.949999999997"/>
    <n v="0.42463991400023154"/>
  </r>
  <r>
    <s v="ORD-115340"/>
    <x v="488"/>
    <x v="1"/>
    <s v="July"/>
    <x v="3"/>
    <s v="Delhi"/>
    <s v="Imran Sheikh"/>
    <x v="1"/>
    <x v="2"/>
    <s v="Laptops"/>
    <s v="Dell Inspiron 3511"/>
    <x v="0"/>
    <s v="Returned"/>
    <n v="39"/>
    <n v="55230"/>
    <n v="0.12"/>
    <n v="33800"/>
    <n v="2153969.88"/>
    <n v="1318200"/>
    <n v="835769.87999999989"/>
    <n v="0.3880137265429171"/>
  </r>
  <r>
    <s v="ORD-115407"/>
    <x v="488"/>
    <x v="1"/>
    <s v="July"/>
    <x v="2"/>
    <s v="Bhopal"/>
    <s v="Neha Deshpande"/>
    <x v="1"/>
    <x v="1"/>
    <s v="Tables"/>
    <s v="6-Seater Dining Table"/>
    <x v="1"/>
    <s v="Pending"/>
    <n v="20"/>
    <n v="25110"/>
    <n v="0.18"/>
    <n v="16730"/>
    <n v="502199.82"/>
    <n v="334600"/>
    <n v="167599.82"/>
    <n v="0.3337313422374385"/>
  </r>
  <r>
    <s v="ORD-114846"/>
    <x v="489"/>
    <x v="1"/>
    <s v="July"/>
    <x v="0"/>
    <s v="Bhubaneswar"/>
    <s v="Neha Deshpande"/>
    <x v="0"/>
    <x v="0"/>
    <s v="Footwear"/>
    <s v="Adidas Sports Shoes"/>
    <x v="0"/>
    <s v="Pending"/>
    <n v="10"/>
    <n v="5999"/>
    <n v="0.2"/>
    <n v="3890"/>
    <n v="59989.8"/>
    <n v="38900"/>
    <n v="21089.800000000003"/>
    <n v="0.35155643125998087"/>
  </r>
  <r>
    <s v="ORD-115229"/>
    <x v="489"/>
    <x v="1"/>
    <s v="July"/>
    <x v="2"/>
    <s v="Indore"/>
    <s v="Aditya Verma"/>
    <x v="0"/>
    <x v="1"/>
    <s v="Sofas"/>
    <s v="L-Shape Sofa"/>
    <x v="1"/>
    <s v="Pending"/>
    <n v="39"/>
    <n v="52990"/>
    <n v="0.2"/>
    <n v="35100"/>
    <n v="2066609.8"/>
    <n v="1368900"/>
    <n v="697709.8"/>
    <n v="0.33761080587152931"/>
  </r>
  <r>
    <s v="ORD-114952"/>
    <x v="490"/>
    <x v="1"/>
    <s v="July"/>
    <x v="4"/>
    <s v="Kochi"/>
    <s v="Rahul Singh"/>
    <x v="1"/>
    <x v="0"/>
    <s v="Apparel"/>
    <s v="Denim Jeans"/>
    <x v="2"/>
    <s v="Returned"/>
    <n v="9"/>
    <n v="2499"/>
    <n v="0.1"/>
    <n v="1510"/>
    <n v="22490.9"/>
    <n v="13590"/>
    <n v="8900.9000000000015"/>
    <n v="0.39575561671609411"/>
  </r>
  <r>
    <s v="ORD-115085"/>
    <x v="490"/>
    <x v="1"/>
    <s v="July"/>
    <x v="1"/>
    <s v="Mumbai"/>
    <s v="Rahul Singh"/>
    <x v="1"/>
    <x v="2"/>
    <s v="Mobiles"/>
    <s v="Samsung Galaxy M34"/>
    <x v="1"/>
    <s v="Returned"/>
    <n v="25"/>
    <n v="22999"/>
    <n v="0.12"/>
    <n v="15100"/>
    <n v="574974.88"/>
    <n v="377500"/>
    <n v="197474.88"/>
    <n v="0.34344957817983285"/>
  </r>
  <r>
    <s v="ORD-115369"/>
    <x v="491"/>
    <x v="1"/>
    <s v="July"/>
    <x v="1"/>
    <s v="Mumbai"/>
    <s v="Kartik Raman"/>
    <x v="1"/>
    <x v="1"/>
    <s v="Tables"/>
    <s v="Study Table"/>
    <x v="1"/>
    <s v="Delivered"/>
    <n v="32"/>
    <n v="6999"/>
    <n v="0.08"/>
    <n v="4320"/>
    <n v="223967.92"/>
    <n v="138240"/>
    <n v="85727.920000000013"/>
    <n v="0.38276874652405579"/>
  </r>
  <r>
    <s v="ORD-115426"/>
    <x v="491"/>
    <x v="1"/>
    <s v="July"/>
    <x v="4"/>
    <s v="Chennai"/>
    <s v="Imran Sheikh"/>
    <x v="1"/>
    <x v="2"/>
    <s v="Audio Devices"/>
    <s v="Jbl Tune 510Bt"/>
    <x v="2"/>
    <s v="Cancelled"/>
    <n v="30"/>
    <n v="3299"/>
    <n v="0.1"/>
    <n v="2050"/>
    <n v="98969.9"/>
    <n v="61500"/>
    <n v="37469.899999999994"/>
    <n v="0.37859894776088482"/>
  </r>
  <r>
    <s v="ORD-115232"/>
    <x v="492"/>
    <x v="1"/>
    <s v="July"/>
    <x v="4"/>
    <s v="Kochi"/>
    <s v="Kartik Raman"/>
    <x v="1"/>
    <x v="0"/>
    <s v="Footwear"/>
    <s v="Adidas Sports Shoes"/>
    <x v="0"/>
    <s v="Returned"/>
    <n v="7"/>
    <n v="5999"/>
    <n v="0.18"/>
    <n v="3890"/>
    <n v="41992.82"/>
    <n v="27230"/>
    <n v="14762.82"/>
    <n v="0.351555813589085"/>
  </r>
  <r>
    <s v="ORD-114886"/>
    <x v="493"/>
    <x v="1"/>
    <s v="July"/>
    <x v="0"/>
    <s v="Patna"/>
    <s v="Sourav Das"/>
    <x v="0"/>
    <x v="0"/>
    <s v="Apparel"/>
    <s v="Women'S Kurti"/>
    <x v="2"/>
    <s v="Delivered"/>
    <n v="38"/>
    <n v="1599"/>
    <n v="0.05"/>
    <n v="920"/>
    <n v="60761.95"/>
    <n v="34960"/>
    <n v="25801.949999999997"/>
    <n v="0.4246399267962927"/>
  </r>
  <r>
    <s v="ORD-114860"/>
    <x v="494"/>
    <x v="1"/>
    <s v="July"/>
    <x v="3"/>
    <s v="Chandigarh"/>
    <s v="Anjali Mehta"/>
    <x v="0"/>
    <x v="4"/>
    <s v="Fitness Equipment"/>
    <s v="Resistance Bands"/>
    <x v="1"/>
    <s v="Returned"/>
    <n v="14"/>
    <n v="999"/>
    <n v="0.12"/>
    <n v="540"/>
    <n v="13985.88"/>
    <n v="7560"/>
    <n v="6425.8799999999992"/>
    <n v="0.4594548215771907"/>
  </r>
  <r>
    <s v="ORD-114994"/>
    <x v="494"/>
    <x v="1"/>
    <s v="July"/>
    <x v="3"/>
    <s v="Jaipur"/>
    <s v="Anjali Mehta"/>
    <x v="1"/>
    <x v="0"/>
    <s v="Footwear"/>
    <s v="Puma Sneakers"/>
    <x v="0"/>
    <s v="Returned"/>
    <n v="20"/>
    <n v="4499"/>
    <n v="0.12"/>
    <n v="2910"/>
    <n v="89979.88"/>
    <n v="58200"/>
    <n v="31779.880000000005"/>
    <n v="0.35318873508166498"/>
  </r>
  <r>
    <s v="ORD-115026"/>
    <x v="494"/>
    <x v="1"/>
    <s v="July"/>
    <x v="0"/>
    <s v="Patna"/>
    <s v="Rahul Singh"/>
    <x v="2"/>
    <x v="4"/>
    <s v="Fitness Equipment"/>
    <s v="Yoga Mat"/>
    <x v="1"/>
    <s v="Delivered"/>
    <n v="2"/>
    <n v="1299"/>
    <n v="0.15"/>
    <n v="720"/>
    <n v="2597.85"/>
    <n v="1440"/>
    <n v="1157.8499999999999"/>
    <n v="0.44569547895375022"/>
  </r>
  <r>
    <s v="ORD-115264"/>
    <x v="495"/>
    <x v="1"/>
    <s v="July"/>
    <x v="1"/>
    <s v="Surat"/>
    <s v="Ritika Ghosh"/>
    <x v="1"/>
    <x v="3"/>
    <s v="Washing Machines"/>
    <s v="Ifb 7Kg Washing Machine"/>
    <x v="1"/>
    <s v="Returned"/>
    <n v="11"/>
    <n v="31990"/>
    <n v="0.1"/>
    <n v="21800"/>
    <n v="351889.9"/>
    <n v="239800"/>
    <n v="112089.90000000002"/>
    <n v="0.318536849167879"/>
  </r>
  <r>
    <s v="ORD-114877"/>
    <x v="496"/>
    <x v="1"/>
    <s v="August"/>
    <x v="3"/>
    <s v="Chandigarh"/>
    <s v="Imran Sheikh"/>
    <x v="0"/>
    <x v="1"/>
    <s v="Tables"/>
    <s v="Study Table"/>
    <x v="2"/>
    <s v="Returned"/>
    <n v="3"/>
    <n v="6999"/>
    <n v="0.15"/>
    <n v="4320"/>
    <n v="20996.85"/>
    <n v="12960"/>
    <n v="8036.8499999999985"/>
    <n v="0.38276455754077393"/>
  </r>
  <r>
    <s v="ORD-114981"/>
    <x v="496"/>
    <x v="1"/>
    <s v="August"/>
    <x v="3"/>
    <s v="Lucknow"/>
    <s v="Kartik Raman"/>
    <x v="1"/>
    <x v="2"/>
    <s v="Laptops"/>
    <s v="Hp 15S"/>
    <x v="0"/>
    <s v="Delivered"/>
    <n v="7"/>
    <n v="48500"/>
    <n v="0.15"/>
    <n v="30200"/>
    <n v="339499.85"/>
    <n v="211400"/>
    <n v="128099.84999999998"/>
    <n v="0.37731931251221462"/>
  </r>
  <r>
    <s v="ORD-115029"/>
    <x v="496"/>
    <x v="1"/>
    <s v="August"/>
    <x v="1"/>
    <s v="Surat"/>
    <s v="Pooja Chouhan"/>
    <x v="0"/>
    <x v="3"/>
    <s v="Refrigerators"/>
    <s v="Samsung 253L Refrigerator"/>
    <x v="2"/>
    <s v="Returned"/>
    <n v="17"/>
    <n v="31490"/>
    <n v="0.1"/>
    <n v="21300"/>
    <n v="535329.9"/>
    <n v="362100"/>
    <n v="173229.90000000002"/>
    <n v="0.32359466564449324"/>
  </r>
  <r>
    <s v="ORD-115245"/>
    <x v="496"/>
    <x v="1"/>
    <s v="August"/>
    <x v="3"/>
    <s v="Jaipur"/>
    <s v="Anjali Mehta"/>
    <x v="2"/>
    <x v="1"/>
    <s v="Sofas"/>
    <s v="Single Seater Recliner"/>
    <x v="2"/>
    <s v="Delivered"/>
    <n v="2"/>
    <n v="43500"/>
    <n v="0.2"/>
    <n v="29520"/>
    <n v="86999.8"/>
    <n v="59040"/>
    <n v="27959.800000000003"/>
    <n v="0.32137775029367888"/>
  </r>
  <r>
    <s v="ORD-115394"/>
    <x v="497"/>
    <x v="1"/>
    <s v="August"/>
    <x v="1"/>
    <s v="Surat"/>
    <s v="Kartik Raman"/>
    <x v="1"/>
    <x v="0"/>
    <s v="Footwear"/>
    <s v="Puma Sneakers"/>
    <x v="2"/>
    <s v="Delivered"/>
    <n v="26"/>
    <n v="4499"/>
    <n v="0.12"/>
    <n v="2910"/>
    <n v="116973.88"/>
    <n v="75660"/>
    <n v="41313.880000000005"/>
    <n v="0.35318893414495617"/>
  </r>
  <r>
    <s v="ORD-115017"/>
    <x v="498"/>
    <x v="1"/>
    <s v="August"/>
    <x v="4"/>
    <s v="Bengaluru"/>
    <s v="Anjali Mehta"/>
    <x v="1"/>
    <x v="1"/>
    <s v="Sofas"/>
    <s v="Single Seater Recliner"/>
    <x v="2"/>
    <s v="Returned"/>
    <n v="29"/>
    <n v="43500"/>
    <n v="0.2"/>
    <n v="29520"/>
    <n v="1261499.8"/>
    <n v="856080"/>
    <n v="405419.80000000005"/>
    <n v="0.3213792027553235"/>
  </r>
  <r>
    <s v="ORD-115166"/>
    <x v="498"/>
    <x v="1"/>
    <s v="August"/>
    <x v="3"/>
    <s v="Chandigarh"/>
    <s v="Pooja Chouhan"/>
    <x v="0"/>
    <x v="2"/>
    <s v="Mobiles"/>
    <s v="Iphone 13"/>
    <x v="0"/>
    <s v="Delivered"/>
    <n v="12"/>
    <n v="52990"/>
    <n v="0.05"/>
    <n v="39500"/>
    <n v="635879.94999999995"/>
    <n v="474000"/>
    <n v="161879.94999999995"/>
    <n v="0.25457627654402371"/>
  </r>
  <r>
    <s v="ORD-115089"/>
    <x v="499"/>
    <x v="1"/>
    <s v="August"/>
    <x v="0"/>
    <s v="Patna"/>
    <s v="Neha Deshpande"/>
    <x v="0"/>
    <x v="0"/>
    <s v="Apparel"/>
    <s v="Women'S Kurti"/>
    <x v="2"/>
    <s v="Delivered"/>
    <n v="36"/>
    <n v="1599"/>
    <n v="0.05"/>
    <n v="920"/>
    <n v="57563.95"/>
    <n v="33120"/>
    <n v="24443.949999999997"/>
    <n v="0.42463990049327743"/>
  </r>
  <r>
    <s v="ORD-114756"/>
    <x v="500"/>
    <x v="1"/>
    <s v="August"/>
    <x v="4"/>
    <s v="Chennai"/>
    <s v="Sourav Das"/>
    <x v="2"/>
    <x v="4"/>
    <s v="Fitness Equipment"/>
    <s v="Yoga Mat"/>
    <x v="2"/>
    <s v="Cancelled"/>
    <n v="10"/>
    <n v="1299"/>
    <n v="0.12"/>
    <n v="720"/>
    <n v="12989.88"/>
    <n v="7200"/>
    <n v="5789.8799999999992"/>
    <n v="0.4457223623312917"/>
  </r>
  <r>
    <s v="ORD-114890"/>
    <x v="500"/>
    <x v="1"/>
    <s v="August"/>
    <x v="3"/>
    <s v="Delhi"/>
    <s v="Ritika Ghosh"/>
    <x v="2"/>
    <x v="0"/>
    <s v="Apparel"/>
    <s v="Denim Jeans"/>
    <x v="0"/>
    <s v="Delivered"/>
    <n v="34"/>
    <n v="2499"/>
    <n v="0.08"/>
    <n v="1510"/>
    <n v="84965.92"/>
    <n v="51340"/>
    <n v="33625.919999999998"/>
    <n v="0.3957577343951551"/>
  </r>
  <r>
    <s v="ORD-115488"/>
    <x v="500"/>
    <x v="1"/>
    <s v="August"/>
    <x v="2"/>
    <s v="Bhopal"/>
    <s v="Kartik Raman"/>
    <x v="1"/>
    <x v="0"/>
    <s v="Apparel"/>
    <s v="Men'S Casual Shirt"/>
    <x v="2"/>
    <s v="Cancelled"/>
    <n v="36"/>
    <n v="1899"/>
    <n v="0.18"/>
    <n v="1080"/>
    <n v="68363.820000000007"/>
    <n v="38880"/>
    <n v="29483.820000000007"/>
    <n v="0.43127812342844513"/>
  </r>
  <r>
    <s v="ORD-114849"/>
    <x v="501"/>
    <x v="1"/>
    <s v="August"/>
    <x v="2"/>
    <s v="Indore"/>
    <s v="Rahul Singh"/>
    <x v="2"/>
    <x v="2"/>
    <s v="Mobiles"/>
    <s v="Iphone 13"/>
    <x v="2"/>
    <s v="Delivered"/>
    <n v="15"/>
    <n v="52990"/>
    <n v="0.12"/>
    <n v="39500"/>
    <n v="794849.88"/>
    <n v="592500"/>
    <n v="202349.88"/>
    <n v="0.25457622261954671"/>
  </r>
  <r>
    <s v="ORD-115237"/>
    <x v="501"/>
    <x v="1"/>
    <s v="August"/>
    <x v="1"/>
    <s v="Ahmedabad"/>
    <s v="Pooja Chouhan"/>
    <x v="1"/>
    <x v="0"/>
    <s v="Apparel"/>
    <s v="Women'S Kurti"/>
    <x v="1"/>
    <s v="Pending"/>
    <n v="24"/>
    <n v="1599"/>
    <n v="0.1"/>
    <n v="920"/>
    <n v="38375.9"/>
    <n v="22080"/>
    <n v="16295.900000000001"/>
    <n v="0.4246389009769152"/>
  </r>
  <r>
    <s v="ORD-114958"/>
    <x v="502"/>
    <x v="1"/>
    <s v="August"/>
    <x v="4"/>
    <s v="Bengaluru"/>
    <s v="Pooja Chouhan"/>
    <x v="0"/>
    <x v="0"/>
    <s v="Apparel"/>
    <s v="Denim Jeans"/>
    <x v="0"/>
    <s v="Delivered"/>
    <n v="15"/>
    <n v="2499"/>
    <n v="0.1"/>
    <n v="1510"/>
    <n v="37484.9"/>
    <n v="22650"/>
    <n v="14834.900000000001"/>
    <n v="0.39575669136105474"/>
  </r>
  <r>
    <s v="ORD-115423"/>
    <x v="503"/>
    <x v="1"/>
    <s v="August"/>
    <x v="0"/>
    <s v="Bhubaneswar"/>
    <s v="Anjali Mehta"/>
    <x v="1"/>
    <x v="2"/>
    <s v="Laptops"/>
    <s v="Dell Inspiron 3511"/>
    <x v="2"/>
    <s v="Returned"/>
    <n v="4"/>
    <n v="55230"/>
    <n v="0.15"/>
    <n v="33800"/>
    <n v="220919.85"/>
    <n v="135200"/>
    <n v="85719.85"/>
    <n v="0.38801334511136054"/>
  </r>
  <r>
    <s v="ORD-115013"/>
    <x v="504"/>
    <x v="1"/>
    <s v="August"/>
    <x v="1"/>
    <s v="Mumbai"/>
    <s v="Neha Deshpande"/>
    <x v="0"/>
    <x v="0"/>
    <s v="Apparel"/>
    <s v="Men'S Casual Shirt"/>
    <x v="1"/>
    <s v="Delivered"/>
    <n v="7"/>
    <n v="1899"/>
    <n v="0.12"/>
    <n v="1080"/>
    <n v="13292.88"/>
    <n v="7560"/>
    <n v="5732.8799999999992"/>
    <n v="0.43127448679292973"/>
  </r>
  <r>
    <s v="ORD-115080"/>
    <x v="504"/>
    <x v="1"/>
    <s v="August"/>
    <x v="1"/>
    <s v="Ahmedabad"/>
    <s v="Rahul Singh"/>
    <x v="1"/>
    <x v="2"/>
    <s v="Audio Devices"/>
    <s v="Sony Wh-Ch520"/>
    <x v="0"/>
    <s v="Delivered"/>
    <n v="40"/>
    <n v="4490"/>
    <n v="0.05"/>
    <n v="2950"/>
    <n v="179599.95"/>
    <n v="118000"/>
    <n v="61599.950000000012"/>
    <n v="0.34298422688870461"/>
  </r>
  <r>
    <s v="ORD-115033"/>
    <x v="505"/>
    <x v="1"/>
    <s v="August"/>
    <x v="4"/>
    <s v="Bengaluru"/>
    <s v="Imran Sheikh"/>
    <x v="0"/>
    <x v="1"/>
    <s v="Tables"/>
    <s v="Study Table"/>
    <x v="1"/>
    <s v="Delivered"/>
    <n v="6"/>
    <n v="6999"/>
    <n v="0.05"/>
    <n v="4320"/>
    <n v="41993.95"/>
    <n v="25920"/>
    <n v="16073.949999999997"/>
    <n v="0.38276823209057492"/>
  </r>
  <r>
    <s v="ORD-115355"/>
    <x v="505"/>
    <x v="1"/>
    <s v="August"/>
    <x v="2"/>
    <s v="Indore"/>
    <s v="Simran Kaur"/>
    <x v="0"/>
    <x v="4"/>
    <s v="Fitness Equipment"/>
    <s v="Dumbbell Set"/>
    <x v="0"/>
    <s v="Cancelled"/>
    <n v="32"/>
    <n v="3499"/>
    <n v="0.15"/>
    <n v="2190"/>
    <n v="111967.85"/>
    <n v="70080"/>
    <n v="41887.850000000006"/>
    <n v="0.37410604919179929"/>
  </r>
  <r>
    <s v="ORD-115096"/>
    <x v="506"/>
    <x v="1"/>
    <s v="August"/>
    <x v="3"/>
    <s v="Delhi"/>
    <s v="Rahul Singh"/>
    <x v="0"/>
    <x v="0"/>
    <s v="Footwear"/>
    <s v="Nike Running Shoes"/>
    <x v="0"/>
    <s v="Delivered"/>
    <n v="40"/>
    <n v="6499"/>
    <n v="0.18"/>
    <n v="4210"/>
    <n v="259959.82"/>
    <n v="168400"/>
    <n v="91559.82"/>
    <n v="0.35220758346424463"/>
  </r>
  <r>
    <s v="ORD-115120"/>
    <x v="506"/>
    <x v="1"/>
    <s v="August"/>
    <x v="3"/>
    <s v="Jaipur"/>
    <s v="Sourav Das"/>
    <x v="2"/>
    <x v="3"/>
    <s v="Washing Machines"/>
    <s v="Ifb 7Kg Washing Machine"/>
    <x v="2"/>
    <s v="Pending"/>
    <n v="9"/>
    <n v="31990"/>
    <n v="0.05"/>
    <n v="21800"/>
    <n v="287909.95"/>
    <n v="196200"/>
    <n v="91709.950000000012"/>
    <n v="0.31853692447933812"/>
  </r>
  <r>
    <s v="ORD-114882"/>
    <x v="507"/>
    <x v="1"/>
    <s v="August"/>
    <x v="2"/>
    <s v="Raipur"/>
    <s v="Aditya Verma"/>
    <x v="0"/>
    <x v="0"/>
    <s v="Footwear"/>
    <s v="Adidas Sports Shoes"/>
    <x v="2"/>
    <s v="Cancelled"/>
    <n v="11"/>
    <n v="5999"/>
    <n v="0.12"/>
    <n v="3890"/>
    <n v="65988.88"/>
    <n v="42790"/>
    <n v="23198.880000000005"/>
    <n v="0.3515574139157992"/>
  </r>
  <r>
    <s v="ORD-115127"/>
    <x v="507"/>
    <x v="1"/>
    <s v="August"/>
    <x v="4"/>
    <s v="Hyderabad"/>
    <s v="Kartik Raman"/>
    <x v="1"/>
    <x v="2"/>
    <s v="Mobiles"/>
    <s v="Iphone 13"/>
    <x v="1"/>
    <s v="Delivered"/>
    <n v="16"/>
    <n v="52990"/>
    <n v="0.18"/>
    <n v="39500"/>
    <n v="847839.82"/>
    <n v="632000"/>
    <n v="215839.81999999995"/>
    <n v="0.25457617690096224"/>
  </r>
  <r>
    <s v="ORD-115135"/>
    <x v="507"/>
    <x v="1"/>
    <s v="August"/>
    <x v="2"/>
    <s v="Ujjain"/>
    <s v="Ritika Ghosh"/>
    <x v="0"/>
    <x v="4"/>
    <s v="Fitness Equipment"/>
    <s v="Dumbbell Set"/>
    <x v="1"/>
    <s v="Cancelled"/>
    <n v="30"/>
    <n v="3499"/>
    <n v="0.05"/>
    <n v="2190"/>
    <n v="104969.95"/>
    <n v="65700"/>
    <n v="39269.949999999997"/>
    <n v="0.37410658955253384"/>
  </r>
  <r>
    <s v="ORD-115145"/>
    <x v="507"/>
    <x v="1"/>
    <s v="August"/>
    <x v="2"/>
    <s v="Raipur"/>
    <s v="Kartik Raman"/>
    <x v="2"/>
    <x v="2"/>
    <s v="Audio Devices"/>
    <s v="Boat Airdopes 131"/>
    <x v="0"/>
    <s v="Cancelled"/>
    <n v="34"/>
    <n v="1930"/>
    <n v="0.15"/>
    <n v="1120"/>
    <n v="65619.850000000006"/>
    <n v="38080"/>
    <n v="27539.850000000006"/>
    <n v="0.41968779264201311"/>
  </r>
  <r>
    <s v="ORD-115198"/>
    <x v="507"/>
    <x v="1"/>
    <s v="August"/>
    <x v="4"/>
    <s v="Chennai"/>
    <s v="Anjali Mehta"/>
    <x v="0"/>
    <x v="2"/>
    <s v="Mobiles"/>
    <s v="Oneplus Nord Ce 3"/>
    <x v="1"/>
    <s v="Delivered"/>
    <n v="33"/>
    <n v="25999"/>
    <n v="0.2"/>
    <n v="17800"/>
    <n v="857966.8"/>
    <n v="587400"/>
    <n v="270566.80000000005"/>
    <n v="0.31535812341456571"/>
  </r>
  <r>
    <s v="ORD-115214"/>
    <x v="507"/>
    <x v="1"/>
    <s v="August"/>
    <x v="4"/>
    <s v="Hyderabad"/>
    <s v="Sourav Das"/>
    <x v="1"/>
    <x v="3"/>
    <s v="Washing Machines"/>
    <s v="Samsung 7Kg Washing Machine"/>
    <x v="1"/>
    <s v="Delivered"/>
    <n v="17"/>
    <n v="32800"/>
    <n v="0.18"/>
    <n v="23100"/>
    <n v="557599.81999999995"/>
    <n v="392700"/>
    <n v="164899.81999999995"/>
    <n v="0.29573147997070726"/>
  </r>
  <r>
    <s v="ORD-115387"/>
    <x v="507"/>
    <x v="1"/>
    <s v="August"/>
    <x v="4"/>
    <s v="Hyderabad"/>
    <s v="Kartik Raman"/>
    <x v="1"/>
    <x v="3"/>
    <s v="Kitchen Appliances"/>
    <s v="Bajaj Otg"/>
    <x v="1"/>
    <s v="Delivered"/>
    <n v="29"/>
    <n v="5890"/>
    <n v="0.05"/>
    <n v="3980"/>
    <n v="170809.95"/>
    <n v="115420"/>
    <n v="55389.950000000012"/>
    <n v="0.32427824023132146"/>
  </r>
  <r>
    <s v="ORD-114819"/>
    <x v="508"/>
    <x v="1"/>
    <s v="August"/>
    <x v="1"/>
    <s v="Mumbai"/>
    <s v="Ritika Ghosh"/>
    <x v="1"/>
    <x v="2"/>
    <s v="Mobiles"/>
    <s v="Samsung Galaxy M34"/>
    <x v="0"/>
    <s v="Delivered"/>
    <n v="9"/>
    <n v="22999"/>
    <n v="0.05"/>
    <n v="15100"/>
    <n v="206990.95"/>
    <n v="135900"/>
    <n v="71090.950000000012"/>
    <n v="0.34344955661104992"/>
  </r>
  <r>
    <s v="ORD-114866"/>
    <x v="508"/>
    <x v="1"/>
    <s v="August"/>
    <x v="3"/>
    <s v="Lucknow"/>
    <s v="Anjali Mehta"/>
    <x v="0"/>
    <x v="1"/>
    <s v="Tables"/>
    <s v="6-Seater Dining Table"/>
    <x v="0"/>
    <s v="Delivered"/>
    <n v="35"/>
    <n v="25110"/>
    <n v="0.08"/>
    <n v="16730"/>
    <n v="878849.92"/>
    <n v="585550"/>
    <n v="293299.92000000004"/>
    <n v="0.33373152039428988"/>
  </r>
  <r>
    <s v="ORD-115171"/>
    <x v="508"/>
    <x v="1"/>
    <s v="August"/>
    <x v="0"/>
    <s v="Ranchi"/>
    <s v="Sourav Das"/>
    <x v="1"/>
    <x v="4"/>
    <s v="Fitness Equipment"/>
    <s v="Dumbbell Set"/>
    <x v="0"/>
    <s v="Delivered"/>
    <n v="27"/>
    <n v="3499"/>
    <n v="0.12"/>
    <n v="2190"/>
    <n v="94472.88"/>
    <n v="59130"/>
    <n v="35342.880000000005"/>
    <n v="0.3741060926691343"/>
  </r>
  <r>
    <s v="ORD-115160"/>
    <x v="509"/>
    <x v="1"/>
    <s v="August"/>
    <x v="2"/>
    <s v="Indore"/>
    <s v="Pooja Chouhan"/>
    <x v="0"/>
    <x v="2"/>
    <s v="Mobiles"/>
    <s v="Oneplus Nord Ce 3"/>
    <x v="2"/>
    <s v="Pending"/>
    <n v="28"/>
    <n v="25999"/>
    <n v="0.18"/>
    <n v="17800"/>
    <n v="727971.82"/>
    <n v="498400"/>
    <n v="229571.81999999995"/>
    <n v="0.31535811372478673"/>
  </r>
  <r>
    <s v="ORD-115209"/>
    <x v="509"/>
    <x v="1"/>
    <s v="August"/>
    <x v="1"/>
    <s v="Surat"/>
    <s v="Pooja Chouhan"/>
    <x v="1"/>
    <x v="3"/>
    <s v="Refrigerators"/>
    <s v="Lg 260L Double Door"/>
    <x v="0"/>
    <s v="Delivered"/>
    <n v="6"/>
    <n v="29010"/>
    <n v="0.08"/>
    <n v="19100"/>
    <n v="174059.92"/>
    <n v="114600"/>
    <n v="59459.920000000013"/>
    <n v="0.34160604003494893"/>
  </r>
  <r>
    <s v="ORD-115366"/>
    <x v="509"/>
    <x v="1"/>
    <s v="August"/>
    <x v="3"/>
    <s v="Chandigarh"/>
    <s v="Imran Sheikh"/>
    <x v="0"/>
    <x v="4"/>
    <s v="Fitness Equipment"/>
    <s v="Dumbbell Set"/>
    <x v="0"/>
    <s v="Delivered"/>
    <n v="33"/>
    <n v="3499"/>
    <n v="0.08"/>
    <n v="2190"/>
    <n v="115466.92"/>
    <n v="72270"/>
    <n v="43196.92"/>
    <n v="0.37410645403895765"/>
  </r>
  <r>
    <s v="ORD-115044"/>
    <x v="510"/>
    <x v="1"/>
    <s v="August"/>
    <x v="0"/>
    <s v="Patna"/>
    <s v="Ritika Ghosh"/>
    <x v="2"/>
    <x v="4"/>
    <s v="Fitness Equipment"/>
    <s v="Yoga Mat"/>
    <x v="1"/>
    <s v="Returned"/>
    <n v="32"/>
    <n v="1299"/>
    <n v="0.12"/>
    <n v="720"/>
    <n v="41567.879999999997"/>
    <n v="23040"/>
    <n v="18527.879999999997"/>
    <n v="0.44572588258049239"/>
  </r>
  <r>
    <s v="ORD-115294"/>
    <x v="510"/>
    <x v="1"/>
    <s v="August"/>
    <x v="0"/>
    <s v="Bhubaneswar"/>
    <s v="Pooja Chouhan"/>
    <x v="1"/>
    <x v="2"/>
    <s v="Audio Devices"/>
    <s v="Sony Wh-Ch520"/>
    <x v="0"/>
    <s v="Delivered"/>
    <n v="24"/>
    <n v="4490"/>
    <n v="0.2"/>
    <n v="2950"/>
    <n v="107759.8"/>
    <n v="70800"/>
    <n v="36959.800000000003"/>
    <n v="0.34298319039196434"/>
  </r>
  <r>
    <s v="ORD-115454"/>
    <x v="510"/>
    <x v="1"/>
    <s v="August"/>
    <x v="0"/>
    <s v="Bhubaneswar"/>
    <s v="Aditya Verma"/>
    <x v="0"/>
    <x v="1"/>
    <s v="Sofas"/>
    <s v="Single Seater Recliner"/>
    <x v="0"/>
    <s v="Delivered"/>
    <n v="29"/>
    <n v="43500"/>
    <n v="0.05"/>
    <n v="29520"/>
    <n v="1261499.95"/>
    <n v="856080"/>
    <n v="405419.94999999995"/>
    <n v="0.32137928344745476"/>
  </r>
  <r>
    <s v="ORD-115172"/>
    <x v="511"/>
    <x v="1"/>
    <s v="August"/>
    <x v="1"/>
    <s v="Surat"/>
    <s v="Rahul Singh"/>
    <x v="1"/>
    <x v="1"/>
    <s v="Sofas"/>
    <s v="L-Shape Sofa"/>
    <x v="1"/>
    <s v="Delivered"/>
    <n v="3"/>
    <n v="52990"/>
    <n v="0.1"/>
    <n v="35100"/>
    <n v="158969.9"/>
    <n v="105300"/>
    <n v="53669.899999999994"/>
    <n v="0.33761045329964978"/>
  </r>
  <r>
    <s v="ORD-114789"/>
    <x v="512"/>
    <x v="1"/>
    <s v="August"/>
    <x v="0"/>
    <s v="Patna"/>
    <s v="Simran Kaur"/>
    <x v="2"/>
    <x v="4"/>
    <s v="Fitness Equipment"/>
    <s v="Yoga Mat"/>
    <x v="0"/>
    <s v="Returned"/>
    <n v="30"/>
    <n v="1299"/>
    <n v="0.2"/>
    <n v="720"/>
    <n v="38969.800000000003"/>
    <n v="21600"/>
    <n v="17369.800000000003"/>
    <n v="0.44572463805305651"/>
  </r>
  <r>
    <s v="ORD-115234"/>
    <x v="512"/>
    <x v="1"/>
    <s v="August"/>
    <x v="1"/>
    <s v="Surat"/>
    <s v="Pooja Chouhan"/>
    <x v="0"/>
    <x v="0"/>
    <s v="Apparel"/>
    <s v="Denim Jeans"/>
    <x v="0"/>
    <s v="Delivered"/>
    <n v="39"/>
    <n v="2499"/>
    <n v="0.2"/>
    <n v="1510"/>
    <n v="97460.800000000003"/>
    <n v="58890"/>
    <n v="38570.800000000003"/>
    <n v="0.39575706335265054"/>
  </r>
  <r>
    <s v="ORD-115254"/>
    <x v="512"/>
    <x v="1"/>
    <s v="August"/>
    <x v="0"/>
    <s v="Kolkata"/>
    <s v="Neha Deshpande"/>
    <x v="2"/>
    <x v="4"/>
    <s v="Fitness Equipment"/>
    <s v="Yoga Mat"/>
    <x v="2"/>
    <s v="Cancelled"/>
    <n v="30"/>
    <n v="1299"/>
    <n v="0.1"/>
    <n v="720"/>
    <n v="38969.9"/>
    <n v="21600"/>
    <n v="17369.900000000001"/>
    <n v="0.44572606036966994"/>
  </r>
  <r>
    <s v="ORD-115496"/>
    <x v="512"/>
    <x v="1"/>
    <s v="August"/>
    <x v="1"/>
    <s v="Mumbai"/>
    <s v="Sourav Das"/>
    <x v="1"/>
    <x v="1"/>
    <s v="Sofas"/>
    <s v="Single Seater Recliner"/>
    <x v="1"/>
    <s v="Returned"/>
    <n v="24"/>
    <n v="43500"/>
    <n v="0.12"/>
    <n v="29520"/>
    <n v="1043999.88"/>
    <n v="708480"/>
    <n v="335519.88"/>
    <n v="0.32137923234244048"/>
  </r>
  <r>
    <s v="ORD-114788"/>
    <x v="513"/>
    <x v="1"/>
    <s v="August"/>
    <x v="3"/>
    <s v="Delhi"/>
    <s v="Kartik Raman"/>
    <x v="0"/>
    <x v="2"/>
    <s v="Laptops"/>
    <s v="Dell Inspiron 3511"/>
    <x v="2"/>
    <s v="Pending"/>
    <n v="20"/>
    <n v="55230"/>
    <n v="0.15"/>
    <n v="33800"/>
    <n v="1104599.8500000001"/>
    <n v="676000"/>
    <n v="428599.85000000009"/>
    <n v="0.38801367753218513"/>
  </r>
  <r>
    <s v="ORD-115325"/>
    <x v="513"/>
    <x v="1"/>
    <s v="August"/>
    <x v="3"/>
    <s v="Chandigarh"/>
    <s v="Simran Kaur"/>
    <x v="1"/>
    <x v="2"/>
    <s v="Audio Devices"/>
    <s v="Sony Wh-Ch520"/>
    <x v="2"/>
    <s v="Delivered"/>
    <n v="23"/>
    <n v="4490"/>
    <n v="0.1"/>
    <n v="2950"/>
    <n v="103269.9"/>
    <n v="67850"/>
    <n v="35419.899999999994"/>
    <n v="0.34298377358746351"/>
  </r>
  <r>
    <s v="ORD-114911"/>
    <x v="514"/>
    <x v="1"/>
    <s v="August"/>
    <x v="3"/>
    <s v="Jaipur"/>
    <s v="Pooja Chouhan"/>
    <x v="2"/>
    <x v="0"/>
    <s v="Apparel"/>
    <s v="Men'S Casual Shirt"/>
    <x v="2"/>
    <s v="Delivered"/>
    <n v="32"/>
    <n v="1899"/>
    <n v="0.18"/>
    <n v="1080"/>
    <n v="60767.82"/>
    <n v="34560"/>
    <n v="26207.82"/>
    <n v="0.43127793624981114"/>
  </r>
  <r>
    <s v="ORD-115442"/>
    <x v="514"/>
    <x v="1"/>
    <s v="August"/>
    <x v="1"/>
    <s v="Pune"/>
    <s v="Simran Kaur"/>
    <x v="2"/>
    <x v="0"/>
    <s v="Footwear"/>
    <s v="Puma Sneakers"/>
    <x v="2"/>
    <s v="Delivered"/>
    <n v="7"/>
    <n v="4499"/>
    <n v="0.1"/>
    <n v="2910"/>
    <n v="31492.9"/>
    <n v="20370"/>
    <n v="11122.900000000001"/>
    <n v="0.35318754385909207"/>
  </r>
  <r>
    <s v="ORD-114771"/>
    <x v="515"/>
    <x v="1"/>
    <s v="August"/>
    <x v="1"/>
    <s v="Ahmedabad"/>
    <s v="Aditya Verma"/>
    <x v="1"/>
    <x v="4"/>
    <s v="Fitness Equipment"/>
    <s v="Yoga Mat"/>
    <x v="1"/>
    <s v="Cancelled"/>
    <n v="27"/>
    <n v="1299"/>
    <n v="0.12"/>
    <n v="720"/>
    <n v="35072.879999999997"/>
    <n v="19440"/>
    <n v="15632.879999999997"/>
    <n v="0.44572558626494313"/>
  </r>
  <r>
    <s v="ORD-115099"/>
    <x v="515"/>
    <x v="1"/>
    <s v="August"/>
    <x v="0"/>
    <s v="Patna"/>
    <s v="Sourav Das"/>
    <x v="2"/>
    <x v="2"/>
    <s v="Mobiles"/>
    <s v="Samsung Galaxy M34"/>
    <x v="2"/>
    <s v="Delivered"/>
    <n v="2"/>
    <n v="22999"/>
    <n v="0.1"/>
    <n v="15100"/>
    <n v="45997.9"/>
    <n v="30200"/>
    <n v="15797.900000000001"/>
    <n v="0.34344828785661957"/>
  </r>
  <r>
    <s v="ORD-114975"/>
    <x v="516"/>
    <x v="1"/>
    <s v="August"/>
    <x v="1"/>
    <s v="Pune"/>
    <s v="Simran Kaur"/>
    <x v="1"/>
    <x v="0"/>
    <s v="Apparel"/>
    <s v="Men'S Casual Shirt"/>
    <x v="2"/>
    <s v="Delivered"/>
    <n v="32"/>
    <n v="1899"/>
    <n v="0.08"/>
    <n v="1080"/>
    <n v="60767.92"/>
    <n v="34560"/>
    <n v="26207.919999999998"/>
    <n v="0.43127887214174848"/>
  </r>
  <r>
    <s v="ORD-114857"/>
    <x v="517"/>
    <x v="1"/>
    <s v="August"/>
    <x v="3"/>
    <s v="Chandigarh"/>
    <s v="Simran Kaur"/>
    <x v="1"/>
    <x v="0"/>
    <s v="Footwear"/>
    <s v="Puma Sneakers"/>
    <x v="2"/>
    <s v="Pending"/>
    <n v="32"/>
    <n v="4499"/>
    <n v="0.12"/>
    <n v="2910"/>
    <n v="143967.88"/>
    <n v="93120"/>
    <n v="50847.880000000005"/>
    <n v="0.35318905855945093"/>
  </r>
  <r>
    <s v="ORD-115052"/>
    <x v="517"/>
    <x v="1"/>
    <s v="August"/>
    <x v="2"/>
    <s v="Bhopal"/>
    <s v="Imran Sheikh"/>
    <x v="0"/>
    <x v="3"/>
    <s v="Refrigerators"/>
    <s v="Lg 260L Double Door"/>
    <x v="2"/>
    <s v="Delivered"/>
    <n v="37"/>
    <n v="29010"/>
    <n v="0.05"/>
    <n v="19100"/>
    <n v="1073369.95"/>
    <n v="706700"/>
    <n v="366669.94999999995"/>
    <n v="0.34160631197100305"/>
  </r>
  <r>
    <s v="ORD-114863"/>
    <x v="518"/>
    <x v="1"/>
    <s v="August"/>
    <x v="1"/>
    <s v="Pune"/>
    <s v="Sourav Das"/>
    <x v="1"/>
    <x v="2"/>
    <s v="Mobiles"/>
    <s v="Oneplus Nord Ce 3"/>
    <x v="0"/>
    <s v="Delivered"/>
    <n v="21"/>
    <n v="25999"/>
    <n v="0.18"/>
    <n v="17800"/>
    <n v="545978.81999999995"/>
    <n v="373800"/>
    <n v="172178.81999999995"/>
    <n v="0.31535805729606869"/>
  </r>
  <r>
    <s v="ORD-114920"/>
    <x v="518"/>
    <x v="1"/>
    <s v="August"/>
    <x v="1"/>
    <s v="Surat"/>
    <s v="Rahul Singh"/>
    <x v="2"/>
    <x v="4"/>
    <s v="Fitness Equipment"/>
    <s v="Resistance Bands"/>
    <x v="0"/>
    <s v="Cancelled"/>
    <n v="6"/>
    <n v="999"/>
    <n v="0.2"/>
    <n v="540"/>
    <n v="5993.8"/>
    <n v="3240"/>
    <n v="2753.8"/>
    <n v="0.4594414228035637"/>
  </r>
  <r>
    <s v="ORD-115028"/>
    <x v="518"/>
    <x v="1"/>
    <s v="August"/>
    <x v="1"/>
    <s v="Pune"/>
    <s v="Aditya Verma"/>
    <x v="0"/>
    <x v="4"/>
    <s v="Fitness Equipment"/>
    <s v="Yoga Mat"/>
    <x v="1"/>
    <s v="Cancelled"/>
    <n v="8"/>
    <n v="1299"/>
    <n v="0.1"/>
    <n v="720"/>
    <n v="10391.9"/>
    <n v="5760"/>
    <n v="4631.8999999999996"/>
    <n v="0.44572214898141821"/>
  </r>
  <r>
    <s v="ORD-115315"/>
    <x v="518"/>
    <x v="1"/>
    <s v="August"/>
    <x v="4"/>
    <s v="Chennai"/>
    <s v="Ritika Ghosh"/>
    <x v="1"/>
    <x v="1"/>
    <s v="Tables"/>
    <s v="6-Seater Dining Table"/>
    <x v="2"/>
    <s v="Delivered"/>
    <n v="8"/>
    <n v="25110"/>
    <n v="0.12"/>
    <n v="16730"/>
    <n v="200879.88"/>
    <n v="133840"/>
    <n v="67039.88"/>
    <n v="0.33373118303336302"/>
  </r>
  <r>
    <s v="ORD-115396"/>
    <x v="518"/>
    <x v="1"/>
    <s v="August"/>
    <x v="4"/>
    <s v="Chennai"/>
    <s v="Aditya Verma"/>
    <x v="2"/>
    <x v="3"/>
    <s v="Refrigerators"/>
    <s v="Lg 260L Double Door"/>
    <x v="0"/>
    <s v="Returned"/>
    <n v="40"/>
    <n v="29010"/>
    <n v="0.1"/>
    <n v="19100"/>
    <n v="1160399.8999999999"/>
    <n v="764000"/>
    <n v="396399.89999999991"/>
    <n v="0.34160628590195496"/>
  </r>
  <r>
    <s v="ORD-114841"/>
    <x v="519"/>
    <x v="1"/>
    <s v="August"/>
    <x v="0"/>
    <s v="Kolkata"/>
    <s v="Anjali Mehta"/>
    <x v="1"/>
    <x v="1"/>
    <s v="Sofas"/>
    <s v="L-Shape Sofa"/>
    <x v="2"/>
    <s v="Delivered"/>
    <n v="38"/>
    <n v="52990"/>
    <n v="0.05"/>
    <n v="35100"/>
    <n v="2013619.95"/>
    <n v="1333800"/>
    <n v="679819.95"/>
    <n v="0.33761085352774739"/>
  </r>
  <r>
    <s v="ORD-115217"/>
    <x v="520"/>
    <x v="1"/>
    <s v="August"/>
    <x v="0"/>
    <s v="Ranchi"/>
    <s v="Neha Deshpande"/>
    <x v="2"/>
    <x v="4"/>
    <s v="Fitness Equipment"/>
    <s v="Yoga Mat"/>
    <x v="0"/>
    <s v="Delivered"/>
    <n v="17"/>
    <n v="1299"/>
    <n v="0.08"/>
    <n v="720"/>
    <n v="22082.92"/>
    <n v="12240"/>
    <n v="9842.9199999999983"/>
    <n v="0.4457254747107719"/>
  </r>
  <r>
    <s v="ORD-115298"/>
    <x v="520"/>
    <x v="1"/>
    <s v="August"/>
    <x v="3"/>
    <s v="Delhi"/>
    <s v="Imran Sheikh"/>
    <x v="1"/>
    <x v="4"/>
    <s v="Fitness Equipment"/>
    <s v="Resistance Bands"/>
    <x v="1"/>
    <s v="Pending"/>
    <n v="6"/>
    <n v="999"/>
    <n v="0.15"/>
    <n v="540"/>
    <n v="5993.85"/>
    <n v="3240"/>
    <n v="2753.8500000000004"/>
    <n v="0.45944593208038242"/>
  </r>
  <r>
    <s v="ORD-115150"/>
    <x v="521"/>
    <x v="1"/>
    <s v="August"/>
    <x v="1"/>
    <s v="Pune"/>
    <s v="Anjali Mehta"/>
    <x v="0"/>
    <x v="2"/>
    <s v="Laptops"/>
    <s v="Hp 15S"/>
    <x v="2"/>
    <s v="Delivered"/>
    <n v="36"/>
    <n v="48500"/>
    <n v="0.18"/>
    <n v="30200"/>
    <n v="1745999.82"/>
    <n v="1087200"/>
    <n v="658799.82000000007"/>
    <n v="0.37731952343500241"/>
  </r>
  <r>
    <s v="ORD-114817"/>
    <x v="522"/>
    <x v="1"/>
    <s v="August"/>
    <x v="3"/>
    <s v="Delhi"/>
    <s v="Simran Kaur"/>
    <x v="0"/>
    <x v="2"/>
    <s v="Audio Devices"/>
    <s v="Sony Wh-Ch520"/>
    <x v="2"/>
    <s v="Delivered"/>
    <n v="16"/>
    <n v="4490"/>
    <n v="0.05"/>
    <n v="2950"/>
    <n v="71839.95"/>
    <n v="47200"/>
    <n v="24639.949999999997"/>
    <n v="0.34298395252223862"/>
  </r>
  <r>
    <s v="ORD-114964"/>
    <x v="522"/>
    <x v="1"/>
    <s v="August"/>
    <x v="2"/>
    <s v="Indore"/>
    <s v="Aditya Verma"/>
    <x v="2"/>
    <x v="0"/>
    <s v="Footwear"/>
    <s v="Nike Running Shoes"/>
    <x v="0"/>
    <s v="Pending"/>
    <n v="22"/>
    <n v="6499"/>
    <n v="0.1"/>
    <n v="4210"/>
    <n v="142977.9"/>
    <n v="92620"/>
    <n v="50357.899999999994"/>
    <n v="0.35220757893352744"/>
  </r>
  <r>
    <s v="ORD-115191"/>
    <x v="522"/>
    <x v="1"/>
    <s v="August"/>
    <x v="0"/>
    <s v="Bhubaneswar"/>
    <s v="Simran Kaur"/>
    <x v="0"/>
    <x v="3"/>
    <s v="Washing Machines"/>
    <s v="Ifb 7Kg Washing Machine"/>
    <x v="0"/>
    <s v="Delivered"/>
    <n v="11"/>
    <n v="31990"/>
    <n v="0.15"/>
    <n v="21800"/>
    <n v="351889.85"/>
    <n v="239800"/>
    <n v="112089.84999999998"/>
    <n v="0.31853675233883555"/>
  </r>
  <r>
    <s v="ORD-115285"/>
    <x v="522"/>
    <x v="1"/>
    <s v="August"/>
    <x v="0"/>
    <s v="Ranchi"/>
    <s v="Aditya Verma"/>
    <x v="0"/>
    <x v="3"/>
    <s v="Kitchen Appliances"/>
    <s v="Bajaj Otg"/>
    <x v="0"/>
    <s v="Delivered"/>
    <n v="21"/>
    <n v="5890"/>
    <n v="0.15"/>
    <n v="3980"/>
    <n v="123689.85"/>
    <n v="83580"/>
    <n v="40109.850000000006"/>
    <n v="0.32427761857581688"/>
  </r>
  <r>
    <s v="ORD-115418"/>
    <x v="523"/>
    <x v="1"/>
    <s v="September"/>
    <x v="3"/>
    <s v="Jaipur"/>
    <s v="Aditya Verma"/>
    <x v="1"/>
    <x v="2"/>
    <s v="Audio Devices"/>
    <s v="Boat Airdopes 131"/>
    <x v="2"/>
    <s v="Delivered"/>
    <n v="34"/>
    <n v="1930"/>
    <n v="0.08"/>
    <n v="1120"/>
    <n v="65619.92"/>
    <n v="38080"/>
    <n v="27539.919999999998"/>
    <n v="0.41968841168962107"/>
  </r>
  <r>
    <s v="ORD-115434"/>
    <x v="523"/>
    <x v="1"/>
    <s v="September"/>
    <x v="3"/>
    <s v="Jaipur"/>
    <s v="Neha Deshpande"/>
    <x v="0"/>
    <x v="3"/>
    <s v="Kitchen Appliances"/>
    <s v="Philips Air Fryer"/>
    <x v="0"/>
    <s v="Delivered"/>
    <n v="21"/>
    <n v="7299"/>
    <n v="0.18"/>
    <n v="5010"/>
    <n v="153278.82"/>
    <n v="105210"/>
    <n v="48068.820000000007"/>
    <n v="0.31360379731524557"/>
  </r>
  <r>
    <s v="ORD-115153"/>
    <x v="524"/>
    <x v="1"/>
    <s v="September"/>
    <x v="2"/>
    <s v="Ujjain"/>
    <s v="Pooja Chouhan"/>
    <x v="1"/>
    <x v="1"/>
    <s v="Sofas"/>
    <s v="3-Seater Sofa"/>
    <x v="0"/>
    <s v="Cancelled"/>
    <n v="28"/>
    <n v="38990"/>
    <n v="0.1"/>
    <n v="25400"/>
    <n v="1091719.8999999999"/>
    <n v="711200"/>
    <n v="380519.89999999991"/>
    <n v="0.3485508508180532"/>
  </r>
  <r>
    <s v="ORD-115490"/>
    <x v="524"/>
    <x v="1"/>
    <s v="September"/>
    <x v="4"/>
    <s v="Bengaluru"/>
    <s v="Imran Sheikh"/>
    <x v="1"/>
    <x v="3"/>
    <s v="Washing Machines"/>
    <s v="Ifb 7Kg Washing Machine"/>
    <x v="0"/>
    <s v="Delivered"/>
    <n v="36"/>
    <n v="31990"/>
    <n v="0.1"/>
    <n v="21800"/>
    <n v="1151639.8999999999"/>
    <n v="784800"/>
    <n v="366839.89999999991"/>
    <n v="0.31853698365261568"/>
  </r>
  <r>
    <s v="ORD-115493"/>
    <x v="525"/>
    <x v="1"/>
    <s v="September"/>
    <x v="3"/>
    <s v="Lucknow"/>
    <s v="Anjali Mehta"/>
    <x v="0"/>
    <x v="3"/>
    <s v="Washing Machines"/>
    <s v="Samsung 7Kg Washing Machine"/>
    <x v="1"/>
    <s v="Returned"/>
    <n v="31"/>
    <n v="32800"/>
    <n v="0.12"/>
    <n v="23100"/>
    <n v="1016799.88"/>
    <n v="716100"/>
    <n v="300699.88"/>
    <n v="0.29573162420121452"/>
  </r>
  <r>
    <s v="ORD-114755"/>
    <x v="526"/>
    <x v="1"/>
    <s v="September"/>
    <x v="3"/>
    <s v="Chandigarh"/>
    <s v="Anjali Mehta"/>
    <x v="1"/>
    <x v="3"/>
    <s v="Kitchen Appliances"/>
    <s v="Prestige Mixer Grinder"/>
    <x v="0"/>
    <s v="Delivered"/>
    <n v="2"/>
    <n v="4680"/>
    <n v="0.08"/>
    <n v="3250"/>
    <n v="9359.92"/>
    <n v="6500"/>
    <n v="2859.92"/>
    <n v="0.30554962008222292"/>
  </r>
  <r>
    <s v="ORD-114884"/>
    <x v="526"/>
    <x v="1"/>
    <s v="September"/>
    <x v="2"/>
    <s v="Indore"/>
    <s v="Rahul Singh"/>
    <x v="0"/>
    <x v="0"/>
    <s v="Apparel"/>
    <s v="Women'S Kurti"/>
    <x v="2"/>
    <s v="Cancelled"/>
    <n v="36"/>
    <n v="1599"/>
    <n v="0.15"/>
    <n v="920"/>
    <n v="57563.85"/>
    <n v="33120"/>
    <n v="24443.85"/>
    <n v="0.4246389009769152"/>
  </r>
  <r>
    <s v="ORD-115119"/>
    <x v="526"/>
    <x v="1"/>
    <s v="September"/>
    <x v="3"/>
    <s v="Delhi"/>
    <s v="Pooja Chouhan"/>
    <x v="1"/>
    <x v="4"/>
    <s v="Fitness Equipment"/>
    <s v="Resistance Bands"/>
    <x v="0"/>
    <s v="Returned"/>
    <n v="2"/>
    <n v="999"/>
    <n v="0.15"/>
    <n v="540"/>
    <n v="1997.85"/>
    <n v="1080"/>
    <n v="917.84999999999991"/>
    <n v="0.45941887529093772"/>
  </r>
  <r>
    <s v="ORD-114763"/>
    <x v="527"/>
    <x v="1"/>
    <s v="September"/>
    <x v="1"/>
    <s v="Surat"/>
    <s v="Neha Deshpande"/>
    <x v="0"/>
    <x v="3"/>
    <s v="Refrigerators"/>
    <s v="Lg 260L Double Door"/>
    <x v="2"/>
    <s v="Returned"/>
    <n v="6"/>
    <n v="29010"/>
    <n v="0.18"/>
    <n v="19100"/>
    <n v="174059.82"/>
    <n v="114600"/>
    <n v="59459.820000000007"/>
    <n v="0.34160566177765783"/>
  </r>
  <r>
    <s v="ORD-115271"/>
    <x v="527"/>
    <x v="1"/>
    <s v="September"/>
    <x v="2"/>
    <s v="Bhopal"/>
    <s v="Kartik Raman"/>
    <x v="0"/>
    <x v="0"/>
    <s v="Apparel"/>
    <s v="Denim Jeans"/>
    <x v="1"/>
    <s v="Pending"/>
    <n v="31"/>
    <n v="2499"/>
    <n v="0.08"/>
    <n v="1510"/>
    <n v="77468.92"/>
    <n v="46810"/>
    <n v="30658.92"/>
    <n v="0.39575767933772665"/>
  </r>
  <r>
    <s v="ORD-115280"/>
    <x v="527"/>
    <x v="1"/>
    <s v="September"/>
    <x v="4"/>
    <s v="Kochi"/>
    <s v="Pooja Chouhan"/>
    <x v="0"/>
    <x v="0"/>
    <s v="Apparel"/>
    <s v="Women'S Kurti"/>
    <x v="0"/>
    <s v="Delivered"/>
    <n v="22"/>
    <n v="1599"/>
    <n v="0.15"/>
    <n v="920"/>
    <n v="35177.85"/>
    <n v="20240"/>
    <n v="14937.849999999999"/>
    <n v="0.42463794688987527"/>
  </r>
  <r>
    <s v="ORD-115372"/>
    <x v="527"/>
    <x v="1"/>
    <s v="September"/>
    <x v="1"/>
    <s v="Surat"/>
    <s v="Sourav Das"/>
    <x v="0"/>
    <x v="2"/>
    <s v="Mobiles"/>
    <s v="Oneplus Nord Ce 3"/>
    <x v="2"/>
    <s v="Delivered"/>
    <n v="21"/>
    <n v="25999"/>
    <n v="0.15"/>
    <n v="17800"/>
    <n v="545978.85"/>
    <n v="373800"/>
    <n v="172178.84999999998"/>
    <n v="0.3153580949152151"/>
  </r>
  <r>
    <s v="ORD-114786"/>
    <x v="528"/>
    <x v="1"/>
    <s v="September"/>
    <x v="0"/>
    <s v="Bhubaneswar"/>
    <s v="Pooja Chouhan"/>
    <x v="2"/>
    <x v="3"/>
    <s v="Kitchen Appliances"/>
    <s v="Philips Air Fryer"/>
    <x v="2"/>
    <s v="Delivered"/>
    <n v="20"/>
    <n v="7299"/>
    <n v="0.1"/>
    <n v="5010"/>
    <n v="145979.9"/>
    <n v="100200"/>
    <n v="45779.899999999994"/>
    <n v="0.31360413317175856"/>
  </r>
  <r>
    <s v="ORD-114759"/>
    <x v="529"/>
    <x v="1"/>
    <s v="September"/>
    <x v="2"/>
    <s v="Bhopal"/>
    <s v="Pooja Chouhan"/>
    <x v="0"/>
    <x v="0"/>
    <s v="Apparel"/>
    <s v="Denim Jeans"/>
    <x v="0"/>
    <s v="Returned"/>
    <n v="40"/>
    <n v="2499"/>
    <n v="0.18"/>
    <n v="1510"/>
    <n v="99959.82"/>
    <n v="60400"/>
    <n v="39559.820000000007"/>
    <n v="0.39575721524908714"/>
  </r>
  <r>
    <s v="ORD-114948"/>
    <x v="529"/>
    <x v="1"/>
    <s v="September"/>
    <x v="3"/>
    <s v="Delhi"/>
    <s v="Sourav Das"/>
    <x v="0"/>
    <x v="3"/>
    <s v="Kitchen Appliances"/>
    <s v="Bajaj Otg"/>
    <x v="0"/>
    <s v="Delivered"/>
    <n v="27"/>
    <n v="5890"/>
    <n v="0.05"/>
    <n v="3980"/>
    <n v="159029.95000000001"/>
    <n v="107460"/>
    <n v="51569.950000000012"/>
    <n v="0.32427822557952141"/>
  </r>
  <r>
    <s v="ORD-115323"/>
    <x v="529"/>
    <x v="1"/>
    <s v="September"/>
    <x v="0"/>
    <s v="Patna"/>
    <s v="Ritika Ghosh"/>
    <x v="2"/>
    <x v="1"/>
    <s v="Sofas"/>
    <s v="3-Seater Sofa"/>
    <x v="1"/>
    <s v="Delivered"/>
    <n v="22"/>
    <n v="38990"/>
    <n v="0.2"/>
    <n v="25400"/>
    <n v="857779.8"/>
    <n v="558800"/>
    <n v="298979.80000000005"/>
    <n v="0.34855075859795254"/>
  </r>
  <r>
    <s v="ORD-115479"/>
    <x v="529"/>
    <x v="1"/>
    <s v="September"/>
    <x v="2"/>
    <s v="Ujjain"/>
    <s v="Sourav Das"/>
    <x v="2"/>
    <x v="4"/>
    <s v="Fitness Equipment"/>
    <s v="Resistance Bands"/>
    <x v="2"/>
    <s v="Delivered"/>
    <n v="25"/>
    <n v="999"/>
    <n v="0.05"/>
    <n v="540"/>
    <n v="24974.95"/>
    <n v="13500"/>
    <n v="11474.95"/>
    <n v="0.45945837729404865"/>
  </r>
  <r>
    <s v="ORD-114787"/>
    <x v="530"/>
    <x v="1"/>
    <s v="September"/>
    <x v="3"/>
    <s v="Chandigarh"/>
    <s v="Anjali Mehta"/>
    <x v="2"/>
    <x v="0"/>
    <s v="Footwear"/>
    <s v="Adidas Sports Shoes"/>
    <x v="2"/>
    <s v="Delivered"/>
    <n v="12"/>
    <n v="5999"/>
    <n v="0.2"/>
    <n v="3890"/>
    <n v="71987.8"/>
    <n v="46680"/>
    <n v="25307.800000000003"/>
    <n v="0.35155679156746006"/>
  </r>
  <r>
    <s v="ORD-115413"/>
    <x v="530"/>
    <x v="1"/>
    <s v="September"/>
    <x v="2"/>
    <s v="Raipur"/>
    <s v="Sourav Das"/>
    <x v="2"/>
    <x v="1"/>
    <s v="Tables"/>
    <s v="Study Table"/>
    <x v="0"/>
    <s v="Delivered"/>
    <n v="36"/>
    <n v="6999"/>
    <n v="0.08"/>
    <n v="4320"/>
    <n v="251963.92"/>
    <n v="155520"/>
    <n v="96443.920000000013"/>
    <n v="0.38276877102086682"/>
  </r>
  <r>
    <s v="ORD-114892"/>
    <x v="531"/>
    <x v="1"/>
    <s v="September"/>
    <x v="3"/>
    <s v="Lucknow"/>
    <s v="Anjali Mehta"/>
    <x v="0"/>
    <x v="3"/>
    <s v="Refrigerators"/>
    <s v="Samsung 253L Refrigerator"/>
    <x v="0"/>
    <s v="Delivered"/>
    <n v="1"/>
    <n v="31490"/>
    <n v="0.08"/>
    <n v="21300"/>
    <n v="31489.919999999998"/>
    <n v="21300"/>
    <n v="10189.919999999998"/>
    <n v="0.32359307359307354"/>
  </r>
  <r>
    <s v="ORD-115251"/>
    <x v="531"/>
    <x v="1"/>
    <s v="September"/>
    <x v="2"/>
    <s v="Indore"/>
    <s v="Imran Sheikh"/>
    <x v="0"/>
    <x v="4"/>
    <s v="Fitness Equipment"/>
    <s v="Dumbbell Set"/>
    <x v="1"/>
    <s v="Delivered"/>
    <n v="36"/>
    <n v="3499"/>
    <n v="0.18"/>
    <n v="2190"/>
    <n v="125963.82"/>
    <n v="78840"/>
    <n v="47123.820000000007"/>
    <n v="0.37410599329235972"/>
  </r>
  <r>
    <s v="ORD-115406"/>
    <x v="531"/>
    <x v="1"/>
    <s v="September"/>
    <x v="1"/>
    <s v="Pune"/>
    <s v="Pooja Chouhan"/>
    <x v="2"/>
    <x v="1"/>
    <s v="Sofas"/>
    <s v="L-Shape Sofa"/>
    <x v="0"/>
    <s v="Delivered"/>
    <n v="29"/>
    <n v="52990"/>
    <n v="0.05"/>
    <n v="35100"/>
    <n v="1536709.95"/>
    <n v="1017900"/>
    <n v="518809.94999999995"/>
    <n v="0.33761084842328248"/>
  </r>
  <r>
    <s v="ORD-114809"/>
    <x v="532"/>
    <x v="1"/>
    <s v="September"/>
    <x v="3"/>
    <s v="Lucknow"/>
    <s v="Neha Deshpande"/>
    <x v="1"/>
    <x v="2"/>
    <s v="Audio Devices"/>
    <s v="Sony Wh-Ch520"/>
    <x v="2"/>
    <s v="Returned"/>
    <n v="15"/>
    <n v="4490"/>
    <n v="0.08"/>
    <n v="2950"/>
    <n v="67349.919999999998"/>
    <n v="44250"/>
    <n v="23099.919999999998"/>
    <n v="0.34298362937921822"/>
  </r>
  <r>
    <s v="ORD-114758"/>
    <x v="533"/>
    <x v="1"/>
    <s v="September"/>
    <x v="0"/>
    <s v="Patna"/>
    <s v="Pooja Chouhan"/>
    <x v="0"/>
    <x v="2"/>
    <s v="Laptops"/>
    <s v="Lenovo Ideapad 3"/>
    <x v="0"/>
    <s v="Cancelled"/>
    <n v="27"/>
    <n v="48990"/>
    <n v="0.2"/>
    <n v="30100"/>
    <n v="1322729.8"/>
    <n v="812700"/>
    <n v="510029.80000000005"/>
    <n v="0.385588802792528"/>
  </r>
  <r>
    <s v="ORD-114987"/>
    <x v="533"/>
    <x v="1"/>
    <s v="September"/>
    <x v="3"/>
    <s v="Jaipur"/>
    <s v="Rahul Singh"/>
    <x v="1"/>
    <x v="2"/>
    <s v="Mobiles"/>
    <s v="Oneplus Nord Ce 3"/>
    <x v="1"/>
    <s v="Cancelled"/>
    <n v="23"/>
    <n v="25999"/>
    <n v="0.1"/>
    <n v="17800"/>
    <n v="597976.9"/>
    <n v="409400"/>
    <n v="188576.90000000002"/>
    <n v="0.3153581685178809"/>
  </r>
  <r>
    <s v="ORD-115188"/>
    <x v="533"/>
    <x v="1"/>
    <s v="September"/>
    <x v="3"/>
    <s v="Chandigarh"/>
    <s v="Kartik Raman"/>
    <x v="2"/>
    <x v="2"/>
    <s v="Laptops"/>
    <s v="Hp 15S"/>
    <x v="2"/>
    <s v="Delivered"/>
    <n v="3"/>
    <n v="48500"/>
    <n v="0.12"/>
    <n v="30200"/>
    <n v="145499.88"/>
    <n v="90600"/>
    <n v="54899.880000000005"/>
    <n v="0.37731907407758691"/>
  </r>
  <r>
    <s v="ORD-115338"/>
    <x v="533"/>
    <x v="1"/>
    <s v="September"/>
    <x v="0"/>
    <s v="Patna"/>
    <s v="Rahul Singh"/>
    <x v="0"/>
    <x v="2"/>
    <s v="Laptops"/>
    <s v="Hp 15S"/>
    <x v="0"/>
    <s v="Cancelled"/>
    <n v="16"/>
    <n v="48500"/>
    <n v="0.15"/>
    <n v="30200"/>
    <n v="775999.85"/>
    <n v="483200"/>
    <n v="292799.84999999998"/>
    <n v="0.37731946726536092"/>
  </r>
  <r>
    <s v="ORD-115360"/>
    <x v="533"/>
    <x v="1"/>
    <s v="September"/>
    <x v="2"/>
    <s v="Raipur"/>
    <s v="Anjali Mehta"/>
    <x v="2"/>
    <x v="3"/>
    <s v="Kitchen Appliances"/>
    <s v="Bajaj Otg"/>
    <x v="1"/>
    <s v="Delivered"/>
    <n v="2"/>
    <n v="5890"/>
    <n v="0.18"/>
    <n v="3980"/>
    <n v="11779.82"/>
    <n v="7960"/>
    <n v="3819.8199999999997"/>
    <n v="0.32426811275554296"/>
  </r>
  <r>
    <s v="ORD-115408"/>
    <x v="533"/>
    <x v="1"/>
    <s v="September"/>
    <x v="4"/>
    <s v="Bengaluru"/>
    <s v="Aditya Verma"/>
    <x v="2"/>
    <x v="1"/>
    <s v="Sofas"/>
    <s v="L-Shape Sofa"/>
    <x v="1"/>
    <s v="Delivered"/>
    <n v="39"/>
    <n v="52990"/>
    <n v="0.2"/>
    <n v="35100"/>
    <n v="2066609.8"/>
    <n v="1368900"/>
    <n v="697709.8"/>
    <n v="0.33761080587152931"/>
  </r>
  <r>
    <s v="ORD-114988"/>
    <x v="534"/>
    <x v="1"/>
    <s v="September"/>
    <x v="1"/>
    <s v="Surat"/>
    <s v="Sourav Das"/>
    <x v="2"/>
    <x v="1"/>
    <s v="Tables"/>
    <s v="Office Work Table"/>
    <x v="1"/>
    <s v="Cancelled"/>
    <n v="27"/>
    <n v="12490"/>
    <n v="0.15"/>
    <n v="7900"/>
    <n v="337229.85"/>
    <n v="213300"/>
    <n v="123929.84999999998"/>
    <n v="0.36749371385718077"/>
  </r>
  <r>
    <s v="ORD-115077"/>
    <x v="534"/>
    <x v="1"/>
    <s v="September"/>
    <x v="2"/>
    <s v="Raipur"/>
    <s v="Ritika Ghosh"/>
    <x v="0"/>
    <x v="4"/>
    <s v="Fitness Equipment"/>
    <s v="Yoga Mat"/>
    <x v="2"/>
    <s v="Delivered"/>
    <n v="10"/>
    <n v="1299"/>
    <n v="0.1"/>
    <n v="720"/>
    <n v="12989.9"/>
    <n v="7200"/>
    <n v="5789.9"/>
    <n v="0.44572321572914342"/>
  </r>
  <r>
    <s v="ORD-115248"/>
    <x v="535"/>
    <x v="1"/>
    <s v="September"/>
    <x v="1"/>
    <s v="Surat"/>
    <s v="Kartik Raman"/>
    <x v="1"/>
    <x v="1"/>
    <s v="Sofas"/>
    <s v="3-Seater Sofa"/>
    <x v="2"/>
    <s v="Cancelled"/>
    <n v="10"/>
    <n v="38990"/>
    <n v="0.12"/>
    <n v="25400"/>
    <n v="389899.88"/>
    <n v="254000"/>
    <n v="135899.88"/>
    <n v="0.34855070999252424"/>
  </r>
  <r>
    <s v="ORD-114885"/>
    <x v="536"/>
    <x v="1"/>
    <s v="September"/>
    <x v="3"/>
    <s v="Lucknow"/>
    <s v="Anjali Mehta"/>
    <x v="2"/>
    <x v="0"/>
    <s v="Footwear"/>
    <s v="Nike Running Shoes"/>
    <x v="1"/>
    <s v="Delivered"/>
    <n v="1"/>
    <n v="6499"/>
    <n v="0.2"/>
    <n v="4210"/>
    <n v="6498.8"/>
    <n v="4210"/>
    <n v="2288.8000000000002"/>
    <n v="0.35218809626392567"/>
  </r>
  <r>
    <s v="ORD-115176"/>
    <x v="536"/>
    <x v="1"/>
    <s v="September"/>
    <x v="0"/>
    <s v="Bhubaneswar"/>
    <s v="Sourav Das"/>
    <x v="1"/>
    <x v="4"/>
    <s v="Fitness Equipment"/>
    <s v="Yoga Mat"/>
    <x v="1"/>
    <s v="Delivered"/>
    <n v="34"/>
    <n v="1299"/>
    <n v="0.05"/>
    <n v="720"/>
    <n v="44165.95"/>
    <n v="24480"/>
    <n v="19685.949999999997"/>
    <n v="0.44572685519048039"/>
  </r>
  <r>
    <s v="ORD-115244"/>
    <x v="536"/>
    <x v="1"/>
    <s v="September"/>
    <x v="4"/>
    <s v="Bengaluru"/>
    <s v="Neha Deshpande"/>
    <x v="2"/>
    <x v="0"/>
    <s v="Footwear"/>
    <s v="Adidas Sports Shoes"/>
    <x v="2"/>
    <s v="Returned"/>
    <n v="12"/>
    <n v="5999"/>
    <n v="0.1"/>
    <n v="3890"/>
    <n v="71987.899999999994"/>
    <n v="46680"/>
    <n v="25307.899999999994"/>
    <n v="0.35155769233440615"/>
  </r>
  <r>
    <s v="ORD-115283"/>
    <x v="536"/>
    <x v="1"/>
    <s v="September"/>
    <x v="1"/>
    <s v="Ahmedabad"/>
    <s v="Ritika Ghosh"/>
    <x v="0"/>
    <x v="1"/>
    <s v="Tables"/>
    <s v="6-Seater Dining Table"/>
    <x v="1"/>
    <s v="Delivered"/>
    <n v="14"/>
    <n v="25110"/>
    <n v="0.1"/>
    <n v="16730"/>
    <n v="351539.9"/>
    <n v="234220"/>
    <n v="117319.90000000002"/>
    <n v="0.33373139151487502"/>
  </r>
  <r>
    <s v="ORD-115023"/>
    <x v="537"/>
    <x v="1"/>
    <s v="September"/>
    <x v="0"/>
    <s v="Ranchi"/>
    <s v="Aditya Verma"/>
    <x v="2"/>
    <x v="4"/>
    <s v="Fitness Equipment"/>
    <s v="Dumbbell Set"/>
    <x v="2"/>
    <s v="Delivered"/>
    <n v="20"/>
    <n v="3499"/>
    <n v="0.1"/>
    <n v="2190"/>
    <n v="69979.899999999994"/>
    <n v="43800"/>
    <n v="26179.899999999994"/>
    <n v="0.37410599329235961"/>
  </r>
  <r>
    <s v="ORD-115101"/>
    <x v="537"/>
    <x v="1"/>
    <s v="September"/>
    <x v="0"/>
    <s v="Ranchi"/>
    <s v="Simran Kaur"/>
    <x v="2"/>
    <x v="0"/>
    <s v="Apparel"/>
    <s v="Men'S Casual Shirt"/>
    <x v="1"/>
    <s v="Delivered"/>
    <n v="33"/>
    <n v="1899"/>
    <n v="0.2"/>
    <n v="1080"/>
    <n v="62666.8"/>
    <n v="35640"/>
    <n v="27026.800000000003"/>
    <n v="0.43127780579190261"/>
  </r>
  <r>
    <s v="ORD-115482"/>
    <x v="537"/>
    <x v="1"/>
    <s v="September"/>
    <x v="1"/>
    <s v="Mumbai"/>
    <s v="Pooja Chouhan"/>
    <x v="2"/>
    <x v="3"/>
    <s v="Refrigerators"/>
    <s v="Whirlpool 265L Refrigerator"/>
    <x v="1"/>
    <s v="Pending"/>
    <n v="29"/>
    <n v="27890"/>
    <n v="0.05"/>
    <n v="18800"/>
    <n v="808809.95"/>
    <n v="545200"/>
    <n v="263609.94999999995"/>
    <n v="0.32592322831834597"/>
  </r>
  <r>
    <s v="ORD-115062"/>
    <x v="538"/>
    <x v="1"/>
    <s v="September"/>
    <x v="0"/>
    <s v="Ranchi"/>
    <s v="Imran Sheikh"/>
    <x v="2"/>
    <x v="4"/>
    <s v="Fitness Equipment"/>
    <s v="Dumbbell Set"/>
    <x v="0"/>
    <s v="Cancelled"/>
    <n v="10"/>
    <n v="3499"/>
    <n v="0.2"/>
    <n v="2190"/>
    <n v="34989.800000000003"/>
    <n v="21900"/>
    <n v="13089.800000000003"/>
    <n v="0.37410331010751707"/>
  </r>
  <r>
    <s v="ORD-114778"/>
    <x v="539"/>
    <x v="1"/>
    <s v="September"/>
    <x v="2"/>
    <s v="Bhopal"/>
    <s v="Aditya Verma"/>
    <x v="0"/>
    <x v="0"/>
    <s v="Footwear"/>
    <s v="Puma Sneakers"/>
    <x v="1"/>
    <s v="Delivered"/>
    <n v="17"/>
    <n v="4499"/>
    <n v="0.18"/>
    <n v="2910"/>
    <n v="76482.820000000007"/>
    <n v="49470"/>
    <n v="27012.820000000007"/>
    <n v="0.35318807543968705"/>
  </r>
  <r>
    <s v="ORD-115138"/>
    <x v="539"/>
    <x v="1"/>
    <s v="September"/>
    <x v="4"/>
    <s v="Chennai"/>
    <s v="Imran Sheikh"/>
    <x v="2"/>
    <x v="2"/>
    <s v="Laptops"/>
    <s v="Hp 15S"/>
    <x v="0"/>
    <s v="Delivered"/>
    <n v="12"/>
    <n v="48500"/>
    <n v="0.18"/>
    <n v="30200"/>
    <n v="581999.81999999995"/>
    <n v="362400"/>
    <n v="219599.81999999995"/>
    <n v="0.37731939504723555"/>
  </r>
  <r>
    <s v="ORD-115337"/>
    <x v="540"/>
    <x v="1"/>
    <s v="September"/>
    <x v="1"/>
    <s v="Surat"/>
    <s v="Sourav Das"/>
    <x v="1"/>
    <x v="2"/>
    <s v="Mobiles"/>
    <s v="Iphone 13"/>
    <x v="0"/>
    <s v="Delivered"/>
    <n v="17"/>
    <n v="52990"/>
    <n v="0.18"/>
    <n v="39500"/>
    <n v="900829.82"/>
    <n v="671500"/>
    <n v="229329.81999999995"/>
    <n v="0.25457618621017669"/>
  </r>
  <r>
    <s v="ORD-114802"/>
    <x v="541"/>
    <x v="1"/>
    <s v="September"/>
    <x v="4"/>
    <s v="Bengaluru"/>
    <s v="Pooja Chouhan"/>
    <x v="0"/>
    <x v="1"/>
    <s v="Sofas"/>
    <s v="L-Shape Sofa"/>
    <x v="2"/>
    <s v="Delivered"/>
    <n v="14"/>
    <n v="52990"/>
    <n v="0.15"/>
    <n v="35100"/>
    <n v="741859.85"/>
    <n v="491400"/>
    <n v="250459.84999999998"/>
    <n v="0.33761073604401154"/>
  </r>
  <r>
    <s v="ORD-115097"/>
    <x v="541"/>
    <x v="1"/>
    <s v="September"/>
    <x v="2"/>
    <s v="Ujjain"/>
    <s v="Sourav Das"/>
    <x v="1"/>
    <x v="2"/>
    <s v="Laptops"/>
    <s v="Hp 15S"/>
    <x v="0"/>
    <s v="Returned"/>
    <n v="16"/>
    <n v="48500"/>
    <n v="0.08"/>
    <n v="30200"/>
    <n v="775999.92"/>
    <n v="483200"/>
    <n v="292799.92000000004"/>
    <n v="0.37731952343500247"/>
  </r>
  <r>
    <s v="ORD-115445"/>
    <x v="541"/>
    <x v="1"/>
    <s v="September"/>
    <x v="1"/>
    <s v="Pune"/>
    <s v="Neha Deshpande"/>
    <x v="2"/>
    <x v="2"/>
    <s v="Audio Devices"/>
    <s v="Jbl Tune 510Bt"/>
    <x v="2"/>
    <s v="Pending"/>
    <n v="37"/>
    <n v="3299"/>
    <n v="0.05"/>
    <n v="2050"/>
    <n v="122062.95"/>
    <n v="75850"/>
    <n v="46212.95"/>
    <n v="0.37859932108801236"/>
  </r>
  <r>
    <s v="ORD-115450"/>
    <x v="541"/>
    <x v="1"/>
    <s v="September"/>
    <x v="3"/>
    <s v="Chandigarh"/>
    <s v="Aditya Verma"/>
    <x v="1"/>
    <x v="3"/>
    <s v="Refrigerators"/>
    <s v="Samsung 253L Refrigerator"/>
    <x v="2"/>
    <s v="Cancelled"/>
    <n v="26"/>
    <n v="31490"/>
    <n v="0.05"/>
    <n v="21300"/>
    <n v="818739.95"/>
    <n v="553800"/>
    <n v="264939.94999999995"/>
    <n v="0.32359475068976418"/>
  </r>
  <r>
    <s v="ORD-115010"/>
    <x v="542"/>
    <x v="1"/>
    <s v="September"/>
    <x v="1"/>
    <s v="Mumbai"/>
    <s v="Neha Deshpande"/>
    <x v="0"/>
    <x v="0"/>
    <s v="Apparel"/>
    <s v="Denim Jeans"/>
    <x v="0"/>
    <s v="Delivered"/>
    <n v="29"/>
    <n v="2499"/>
    <n v="0.1"/>
    <n v="1510"/>
    <n v="72470.899999999994"/>
    <n v="43790"/>
    <n v="28680.899999999994"/>
    <n v="0.39575746954984686"/>
  </r>
  <r>
    <s v="ORD-115179"/>
    <x v="542"/>
    <x v="1"/>
    <s v="September"/>
    <x v="2"/>
    <s v="Indore"/>
    <s v="Ritika Ghosh"/>
    <x v="2"/>
    <x v="4"/>
    <s v="Fitness Equipment"/>
    <s v="Yoga Mat"/>
    <x v="0"/>
    <s v="Delivered"/>
    <n v="21"/>
    <n v="1299"/>
    <n v="0.12"/>
    <n v="720"/>
    <n v="27278.880000000001"/>
    <n v="15120"/>
    <n v="12158.880000000001"/>
    <n v="0.44572504442997662"/>
  </r>
  <r>
    <s v="ORD-115296"/>
    <x v="542"/>
    <x v="1"/>
    <s v="September"/>
    <x v="3"/>
    <s v="Chandigarh"/>
    <s v="Ritika Ghosh"/>
    <x v="2"/>
    <x v="0"/>
    <s v="Apparel"/>
    <s v="Women'S Kurti"/>
    <x v="2"/>
    <s v="Delivered"/>
    <n v="34"/>
    <n v="1599"/>
    <n v="0.05"/>
    <n v="920"/>
    <n v="54365.95"/>
    <n v="31280"/>
    <n v="23085.949999999997"/>
    <n v="0.42463987109578694"/>
  </r>
  <r>
    <s v="ORD-115319"/>
    <x v="543"/>
    <x v="1"/>
    <s v="September"/>
    <x v="4"/>
    <s v="Chennai"/>
    <s v="Rahul Singh"/>
    <x v="1"/>
    <x v="1"/>
    <s v="Sofas"/>
    <s v="L-Shape Sofa"/>
    <x v="2"/>
    <s v="Returned"/>
    <n v="38"/>
    <n v="52990"/>
    <n v="0.15"/>
    <n v="35100"/>
    <n v="2013619.85"/>
    <n v="1333800"/>
    <n v="679819.85000000009"/>
    <n v="0.33761082063230557"/>
  </r>
  <r>
    <s v="ORD-115367"/>
    <x v="544"/>
    <x v="1"/>
    <s v="September"/>
    <x v="3"/>
    <s v="Delhi"/>
    <s v="Kartik Raman"/>
    <x v="1"/>
    <x v="1"/>
    <s v="Sofas"/>
    <s v="Single Seater Recliner"/>
    <x v="2"/>
    <s v="Returned"/>
    <n v="12"/>
    <n v="43500"/>
    <n v="0.15"/>
    <n v="29520"/>
    <n v="521999.85"/>
    <n v="354240"/>
    <n v="167759.84999999998"/>
    <n v="0.32137911533882624"/>
  </r>
  <r>
    <s v="ORD-115126"/>
    <x v="545"/>
    <x v="1"/>
    <s v="September"/>
    <x v="2"/>
    <s v="Ujjain"/>
    <s v="Pooja Chouhan"/>
    <x v="0"/>
    <x v="0"/>
    <s v="Apparel"/>
    <s v="Women'S Kurti"/>
    <x v="1"/>
    <s v="Delivered"/>
    <n v="9"/>
    <n v="1599"/>
    <n v="0.2"/>
    <n v="920"/>
    <n v="14390.8"/>
    <n v="8280"/>
    <n v="6110.7999999999993"/>
    <n v="0.42463240403591179"/>
  </r>
  <r>
    <s v="ORD-115261"/>
    <x v="545"/>
    <x v="1"/>
    <s v="September"/>
    <x v="2"/>
    <s v="Bhopal"/>
    <s v="Anjali Mehta"/>
    <x v="1"/>
    <x v="0"/>
    <s v="Footwear"/>
    <s v="Nike Running Shoes"/>
    <x v="0"/>
    <s v="Delivered"/>
    <n v="27"/>
    <n v="6499"/>
    <n v="0.2"/>
    <n v="4210"/>
    <n v="175472.8"/>
    <n v="113670"/>
    <n v="61802.799999999988"/>
    <n v="0.35220729366602682"/>
  </r>
  <r>
    <s v="ORD-115497"/>
    <x v="545"/>
    <x v="1"/>
    <s v="September"/>
    <x v="2"/>
    <s v="Indore"/>
    <s v="Anjali Mehta"/>
    <x v="0"/>
    <x v="4"/>
    <s v="Fitness Equipment"/>
    <s v="Resistance Bands"/>
    <x v="0"/>
    <s v="Delivered"/>
    <n v="16"/>
    <n v="999"/>
    <n v="0.15"/>
    <n v="540"/>
    <n v="15983.85"/>
    <n v="8640"/>
    <n v="7343.85"/>
    <n v="0.45945438677164763"/>
  </r>
  <r>
    <s v="ORD-115005"/>
    <x v="546"/>
    <x v="1"/>
    <s v="September"/>
    <x v="3"/>
    <s v="Chandigarh"/>
    <s v="Aditya Verma"/>
    <x v="2"/>
    <x v="3"/>
    <s v="Refrigerators"/>
    <s v="Lg 260L Double Door"/>
    <x v="0"/>
    <s v="Pending"/>
    <n v="39"/>
    <n v="29010"/>
    <n v="0.18"/>
    <n v="19100"/>
    <n v="1131389.82"/>
    <n v="744900"/>
    <n v="386489.82000000007"/>
    <n v="0.34160623789243572"/>
  </r>
  <r>
    <s v="ORD-115276"/>
    <x v="546"/>
    <x v="1"/>
    <s v="September"/>
    <x v="1"/>
    <s v="Pune"/>
    <s v="Pooja Chouhan"/>
    <x v="2"/>
    <x v="1"/>
    <s v="Sofas"/>
    <s v="Single Seater Recliner"/>
    <x v="0"/>
    <s v="Delivered"/>
    <n v="5"/>
    <n v="43500"/>
    <n v="0.08"/>
    <n v="29520"/>
    <n v="217499.92"/>
    <n v="147600"/>
    <n v="69899.920000000013"/>
    <n v="0.32137906073712585"/>
  </r>
  <r>
    <s v="ORD-115314"/>
    <x v="547"/>
    <x v="1"/>
    <s v="September"/>
    <x v="0"/>
    <s v="Kolkata"/>
    <s v="Simran Kaur"/>
    <x v="1"/>
    <x v="3"/>
    <s v="Washing Machines"/>
    <s v="Samsung 7Kg Washing Machine"/>
    <x v="0"/>
    <s v="Cancelled"/>
    <n v="39"/>
    <n v="32800"/>
    <n v="0.18"/>
    <n v="23100"/>
    <n v="1279199.82"/>
    <n v="900900"/>
    <n v="378299.82000000007"/>
    <n v="0.2957316082173933"/>
  </r>
  <r>
    <s v="ORD-115333"/>
    <x v="547"/>
    <x v="1"/>
    <s v="September"/>
    <x v="4"/>
    <s v="Kochi"/>
    <s v="Anjali Mehta"/>
    <x v="2"/>
    <x v="1"/>
    <s v="Sofas"/>
    <s v="Single Seater Recliner"/>
    <x v="0"/>
    <s v="Delivered"/>
    <n v="34"/>
    <n v="43500"/>
    <n v="0.1"/>
    <n v="29520"/>
    <n v="1478999.9"/>
    <n v="1003680"/>
    <n v="475319.89999999991"/>
    <n v="0.32137926446107262"/>
  </r>
  <r>
    <s v="ORD-114977"/>
    <x v="548"/>
    <x v="1"/>
    <s v="September"/>
    <x v="1"/>
    <s v="Pune"/>
    <s v="Ritika Ghosh"/>
    <x v="1"/>
    <x v="2"/>
    <s v="Mobiles"/>
    <s v="Oneplus Nord Ce 3"/>
    <x v="2"/>
    <s v="Returned"/>
    <n v="26"/>
    <n v="25999"/>
    <n v="0.05"/>
    <n v="17800"/>
    <n v="675973.95"/>
    <n v="462800"/>
    <n v="213173.94999999995"/>
    <n v="0.31535823236975324"/>
  </r>
  <r>
    <s v="ORD-115049"/>
    <x v="548"/>
    <x v="1"/>
    <s v="September"/>
    <x v="4"/>
    <s v="Kochi"/>
    <s v="Imran Sheikh"/>
    <x v="0"/>
    <x v="3"/>
    <s v="Refrigerators"/>
    <s v="Lg 260L Double Door"/>
    <x v="2"/>
    <s v="Delivered"/>
    <n v="39"/>
    <n v="29010"/>
    <n v="0.08"/>
    <n v="19100"/>
    <n v="1131389.92"/>
    <n v="744900"/>
    <n v="386489.91999999993"/>
    <n v="0.34160629608579152"/>
  </r>
  <r>
    <s v="ORD-115151"/>
    <x v="549"/>
    <x v="1"/>
    <s v="September"/>
    <x v="3"/>
    <s v="Chandigarh"/>
    <s v="Pooja Chouhan"/>
    <x v="0"/>
    <x v="2"/>
    <s v="Audio Devices"/>
    <s v="Boat Airdopes 131"/>
    <x v="1"/>
    <s v="Delivered"/>
    <n v="33"/>
    <n v="1930"/>
    <n v="0.2"/>
    <n v="1120"/>
    <n v="63689.8"/>
    <n v="36960"/>
    <n v="26729.800000000003"/>
    <n v="0.41968729686700229"/>
  </r>
  <r>
    <s v="ORD-115327"/>
    <x v="549"/>
    <x v="1"/>
    <s v="September"/>
    <x v="2"/>
    <s v="Indore"/>
    <s v="Imran Sheikh"/>
    <x v="2"/>
    <x v="4"/>
    <s v="Fitness Equipment"/>
    <s v="Resistance Bands"/>
    <x v="2"/>
    <s v="Pending"/>
    <n v="15"/>
    <n v="999"/>
    <n v="0.18"/>
    <n v="540"/>
    <n v="14984.82"/>
    <n v="8100"/>
    <n v="6884.82"/>
    <n v="0.45945296640199879"/>
  </r>
  <r>
    <s v="ORD-115395"/>
    <x v="549"/>
    <x v="1"/>
    <s v="September"/>
    <x v="1"/>
    <s v="Surat"/>
    <s v="Simran Kaur"/>
    <x v="0"/>
    <x v="0"/>
    <s v="Apparel"/>
    <s v="Women'S Kurti"/>
    <x v="2"/>
    <s v="Returned"/>
    <n v="26"/>
    <n v="1599"/>
    <n v="0.08"/>
    <n v="920"/>
    <n v="41573.919999999998"/>
    <n v="23920"/>
    <n v="17653.919999999998"/>
    <n v="0.42463929309528664"/>
  </r>
  <r>
    <s v="ORD-115492"/>
    <x v="549"/>
    <x v="1"/>
    <s v="September"/>
    <x v="1"/>
    <s v="Mumbai"/>
    <s v="Neha Deshpande"/>
    <x v="1"/>
    <x v="4"/>
    <s v="Fitness Equipment"/>
    <s v="Yoga Mat"/>
    <x v="0"/>
    <s v="Returned"/>
    <n v="18"/>
    <n v="1299"/>
    <n v="0.15"/>
    <n v="720"/>
    <n v="23381.85"/>
    <n v="12960"/>
    <n v="10421.849999999999"/>
    <n v="0.44572392689201235"/>
  </r>
  <r>
    <s v="ORD-114967"/>
    <x v="550"/>
    <x v="1"/>
    <s v="September"/>
    <x v="4"/>
    <s v="Hyderabad"/>
    <s v="Pooja Chouhan"/>
    <x v="2"/>
    <x v="2"/>
    <s v="Audio Devices"/>
    <s v="Boat Airdopes 131"/>
    <x v="0"/>
    <s v="Cancelled"/>
    <n v="32"/>
    <n v="1930"/>
    <n v="0.18"/>
    <n v="1120"/>
    <n v="61759.82"/>
    <n v="35840"/>
    <n v="25919.82"/>
    <n v="0.41968742784548269"/>
  </r>
  <r>
    <s v="ORD-115500"/>
    <x v="550"/>
    <x v="1"/>
    <s v="September"/>
    <x v="0"/>
    <s v="Patna"/>
    <s v="Kartik Raman"/>
    <x v="0"/>
    <x v="0"/>
    <s v="Footwear"/>
    <s v="Adidas Sports Shoes"/>
    <x v="2"/>
    <s v="Delivered"/>
    <n v="32"/>
    <n v="5999"/>
    <n v="0.1"/>
    <n v="3890"/>
    <n v="191967.9"/>
    <n v="124480"/>
    <n v="67487.899999999994"/>
    <n v="0.3515582553124767"/>
  </r>
  <r>
    <s v="ORD-114752"/>
    <x v="551"/>
    <x v="1"/>
    <s v="October"/>
    <x v="0"/>
    <s v="Ranchi"/>
    <s v="Aditya Verma"/>
    <x v="1"/>
    <x v="2"/>
    <s v="Audio Devices"/>
    <s v="Sony Wh-Ch520"/>
    <x v="2"/>
    <s v="Returned"/>
    <n v="7"/>
    <n v="4490"/>
    <n v="0.12"/>
    <n v="2950"/>
    <n v="31429.88"/>
    <n v="20650"/>
    <n v="10779.880000000001"/>
    <n v="0.34298190129901868"/>
  </r>
  <r>
    <s v="ORD-114793"/>
    <x v="551"/>
    <x v="1"/>
    <s v="October"/>
    <x v="3"/>
    <s v="Chandigarh"/>
    <s v="Pooja Chouhan"/>
    <x v="0"/>
    <x v="3"/>
    <s v="Kitchen Appliances"/>
    <s v="Bajaj Otg"/>
    <x v="0"/>
    <s v="Cancelled"/>
    <n v="6"/>
    <n v="5890"/>
    <n v="0.2"/>
    <n v="3980"/>
    <n v="35339.800000000003"/>
    <n v="23880"/>
    <n v="11459.800000000003"/>
    <n v="0.32427461389141993"/>
  </r>
  <r>
    <s v="ORD-114927"/>
    <x v="551"/>
    <x v="1"/>
    <s v="October"/>
    <x v="2"/>
    <s v="Indore"/>
    <s v="Sourav Das"/>
    <x v="2"/>
    <x v="2"/>
    <s v="Laptops"/>
    <s v="Dell Inspiron 3511"/>
    <x v="1"/>
    <s v="Pending"/>
    <n v="19"/>
    <n v="55230"/>
    <n v="0.18"/>
    <n v="33800"/>
    <n v="1049369.82"/>
    <n v="642200"/>
    <n v="407169.82000000007"/>
    <n v="0.38801365566240514"/>
  </r>
  <r>
    <s v="ORD-114970"/>
    <x v="551"/>
    <x v="1"/>
    <s v="October"/>
    <x v="2"/>
    <s v="Bhopal"/>
    <s v="Rahul Singh"/>
    <x v="1"/>
    <x v="1"/>
    <s v="Sofas"/>
    <s v="L-Shape Sofa"/>
    <x v="1"/>
    <s v="Delivered"/>
    <n v="15"/>
    <n v="52990"/>
    <n v="0.05"/>
    <n v="35100"/>
    <n v="794849.95"/>
    <n v="526500"/>
    <n v="268349.94999999995"/>
    <n v="0.33761082830790889"/>
  </r>
  <r>
    <s v="ORD-114872"/>
    <x v="552"/>
    <x v="1"/>
    <s v="October"/>
    <x v="0"/>
    <s v="Bhubaneswar"/>
    <s v="Pooja Chouhan"/>
    <x v="1"/>
    <x v="3"/>
    <s v="Washing Machines"/>
    <s v="Lg 6.5Kg Washing Machine"/>
    <x v="0"/>
    <s v="Cancelled"/>
    <n v="7"/>
    <n v="29010"/>
    <n v="0.18"/>
    <n v="19150"/>
    <n v="203069.82"/>
    <n v="134050"/>
    <n v="69019.820000000007"/>
    <n v="0.33988221391046686"/>
  </r>
  <r>
    <s v="ORD-114949"/>
    <x v="552"/>
    <x v="1"/>
    <s v="October"/>
    <x v="3"/>
    <s v="Chandigarh"/>
    <s v="Rahul Singh"/>
    <x v="1"/>
    <x v="0"/>
    <s v="Apparel"/>
    <s v="Women'S Kurti"/>
    <x v="2"/>
    <s v="Delivered"/>
    <n v="28"/>
    <n v="1599"/>
    <n v="0.08"/>
    <n v="920"/>
    <n v="44771.92"/>
    <n v="25760"/>
    <n v="19011.919999999998"/>
    <n v="0.42463937217791864"/>
  </r>
  <r>
    <s v="ORD-114923"/>
    <x v="553"/>
    <x v="1"/>
    <s v="October"/>
    <x v="4"/>
    <s v="Kochi"/>
    <s v="Simran Kaur"/>
    <x v="2"/>
    <x v="0"/>
    <s v="Apparel"/>
    <s v="Denim Jeans"/>
    <x v="1"/>
    <s v="Delivered"/>
    <n v="21"/>
    <n v="2499"/>
    <n v="0.05"/>
    <n v="1510"/>
    <n v="52478.95"/>
    <n v="31710"/>
    <n v="20768.949999999997"/>
    <n v="0.395757727622218"/>
  </r>
  <r>
    <s v="ORD-115056"/>
    <x v="553"/>
    <x v="1"/>
    <s v="October"/>
    <x v="4"/>
    <s v="Bengaluru"/>
    <s v="Neha Deshpande"/>
    <x v="2"/>
    <x v="0"/>
    <s v="Footwear"/>
    <s v="Nike Running Shoes"/>
    <x v="1"/>
    <s v="Delivered"/>
    <n v="24"/>
    <n v="6499"/>
    <n v="0.2"/>
    <n v="4210"/>
    <n v="155975.79999999999"/>
    <n v="101040"/>
    <n v="54935.799999999988"/>
    <n v="0.35220720137354639"/>
  </r>
  <r>
    <s v="ORD-115291"/>
    <x v="553"/>
    <x v="1"/>
    <s v="October"/>
    <x v="1"/>
    <s v="Surat"/>
    <s v="Aditya Verma"/>
    <x v="0"/>
    <x v="4"/>
    <s v="Fitness Equipment"/>
    <s v="Yoga Mat"/>
    <x v="1"/>
    <s v="Delivered"/>
    <n v="22"/>
    <n v="1299"/>
    <n v="0.1"/>
    <n v="720"/>
    <n v="28577.9"/>
    <n v="15840"/>
    <n v="12737.900000000001"/>
    <n v="0.44572554316447327"/>
  </r>
  <r>
    <s v="ORD-114776"/>
    <x v="554"/>
    <x v="1"/>
    <s v="October"/>
    <x v="1"/>
    <s v="Pune"/>
    <s v="Rahul Singh"/>
    <x v="1"/>
    <x v="2"/>
    <s v="Audio Devices"/>
    <s v="Jbl Tune 510Bt"/>
    <x v="2"/>
    <s v="Returned"/>
    <n v="9"/>
    <n v="3299"/>
    <n v="0.15"/>
    <n v="2050"/>
    <n v="29690.85"/>
    <n v="18450"/>
    <n v="11240.849999999999"/>
    <n v="0.37859643627582235"/>
  </r>
  <r>
    <s v="ORD-115112"/>
    <x v="554"/>
    <x v="1"/>
    <s v="October"/>
    <x v="2"/>
    <s v="Ujjain"/>
    <s v="Anjali Mehta"/>
    <x v="2"/>
    <x v="1"/>
    <s v="Tables"/>
    <s v="6-Seater Dining Table"/>
    <x v="2"/>
    <s v="Delivered"/>
    <n v="4"/>
    <n v="25110"/>
    <n v="0.15"/>
    <n v="16730"/>
    <n v="100439.85"/>
    <n v="66920"/>
    <n v="33519.850000000006"/>
    <n v="0.33373058601740252"/>
  </r>
  <r>
    <s v="ORD-115159"/>
    <x v="554"/>
    <x v="1"/>
    <s v="October"/>
    <x v="4"/>
    <s v="Hyderabad"/>
    <s v="Anjali Mehta"/>
    <x v="1"/>
    <x v="3"/>
    <s v="Refrigerators"/>
    <s v="Whirlpool 265L Refrigerator"/>
    <x v="1"/>
    <s v="Delivered"/>
    <n v="39"/>
    <n v="27890"/>
    <n v="0.05"/>
    <n v="18800"/>
    <n v="1087709.95"/>
    <n v="733200"/>
    <n v="354509.94999999995"/>
    <n v="0.32592323900319198"/>
  </r>
  <r>
    <s v="ORD-115243"/>
    <x v="554"/>
    <x v="1"/>
    <s v="October"/>
    <x v="4"/>
    <s v="Hyderabad"/>
    <s v="Ritika Ghosh"/>
    <x v="0"/>
    <x v="2"/>
    <s v="Laptops"/>
    <s v="Lenovo Ideapad 3"/>
    <x v="2"/>
    <s v="Delivered"/>
    <n v="40"/>
    <n v="48990"/>
    <n v="0.15"/>
    <n v="30100"/>
    <n v="1959599.85"/>
    <n v="1204000"/>
    <n v="755599.85000000009"/>
    <n v="0.38558884866213888"/>
  </r>
  <r>
    <s v="ORD-115133"/>
    <x v="555"/>
    <x v="1"/>
    <s v="October"/>
    <x v="1"/>
    <s v="Surat"/>
    <s v="Aditya Verma"/>
    <x v="1"/>
    <x v="2"/>
    <s v="Mobiles"/>
    <s v="Iphone 13"/>
    <x v="2"/>
    <s v="Delivered"/>
    <n v="16"/>
    <n v="52990"/>
    <n v="0.2"/>
    <n v="39500"/>
    <n v="847839.8"/>
    <n v="632000"/>
    <n v="215839.80000000005"/>
    <n v="0.25457615931688987"/>
  </r>
  <r>
    <s v="ORD-115247"/>
    <x v="555"/>
    <x v="1"/>
    <s v="October"/>
    <x v="4"/>
    <s v="Bengaluru"/>
    <s v="Imran Sheikh"/>
    <x v="0"/>
    <x v="4"/>
    <s v="Fitness Equipment"/>
    <s v="Resistance Bands"/>
    <x v="2"/>
    <s v="Returned"/>
    <n v="39"/>
    <n v="999"/>
    <n v="0.1"/>
    <n v="540"/>
    <n v="38960.9"/>
    <n v="21060"/>
    <n v="17900.900000000001"/>
    <n v="0.45945807206712375"/>
  </r>
  <r>
    <s v="ORD-115471"/>
    <x v="556"/>
    <x v="1"/>
    <s v="October"/>
    <x v="2"/>
    <s v="Indore"/>
    <s v="Imran Sheikh"/>
    <x v="1"/>
    <x v="3"/>
    <s v="Refrigerators"/>
    <s v="Samsung 253L Refrigerator"/>
    <x v="1"/>
    <s v="Cancelled"/>
    <n v="8"/>
    <n v="31490"/>
    <n v="0.15"/>
    <n v="21300"/>
    <n v="251919.85"/>
    <n v="170400"/>
    <n v="81519.850000000006"/>
    <n v="0.32359438924721495"/>
  </r>
  <r>
    <s v="ORD-114843"/>
    <x v="557"/>
    <x v="1"/>
    <s v="October"/>
    <x v="3"/>
    <s v="Chandigarh"/>
    <s v="Simran Kaur"/>
    <x v="1"/>
    <x v="1"/>
    <s v="Tables"/>
    <s v="Study Table"/>
    <x v="1"/>
    <s v="Delivered"/>
    <n v="33"/>
    <n v="6999"/>
    <n v="0.15"/>
    <n v="4320"/>
    <n v="230966.85"/>
    <n v="142560"/>
    <n v="88406.85"/>
    <n v="0.38276856613838739"/>
  </r>
  <r>
    <s v="ORD-115425"/>
    <x v="557"/>
    <x v="1"/>
    <s v="October"/>
    <x v="2"/>
    <s v="Bhopal"/>
    <s v="Neha Deshpande"/>
    <x v="0"/>
    <x v="1"/>
    <s v="Sofas"/>
    <s v="3-Seater Sofa"/>
    <x v="2"/>
    <s v="Delivered"/>
    <n v="32"/>
    <n v="38990"/>
    <n v="0.1"/>
    <n v="25400"/>
    <n v="1247679.8999999999"/>
    <n v="812800"/>
    <n v="434879.89999999991"/>
    <n v="0.34855085827703081"/>
  </r>
  <r>
    <s v="ORD-115349"/>
    <x v="558"/>
    <x v="1"/>
    <s v="October"/>
    <x v="1"/>
    <s v="Pune"/>
    <s v="Sourav Das"/>
    <x v="1"/>
    <x v="1"/>
    <s v="Tables"/>
    <s v="Study Table"/>
    <x v="1"/>
    <s v="Cancelled"/>
    <n v="3"/>
    <n v="6999"/>
    <n v="0.08"/>
    <n v="4320"/>
    <n v="20996.92"/>
    <n v="12960"/>
    <n v="8036.9199999999983"/>
    <n v="0.38276661529405259"/>
  </r>
  <r>
    <s v="ORD-114798"/>
    <x v="559"/>
    <x v="1"/>
    <s v="October"/>
    <x v="4"/>
    <s v="Chennai"/>
    <s v="Simran Kaur"/>
    <x v="2"/>
    <x v="4"/>
    <s v="Fitness Equipment"/>
    <s v="Yoga Mat"/>
    <x v="2"/>
    <s v="Delivered"/>
    <n v="21"/>
    <n v="1299"/>
    <n v="0.12"/>
    <n v="720"/>
    <n v="27278.880000000001"/>
    <n v="15120"/>
    <n v="12158.880000000001"/>
    <n v="0.44572504442997662"/>
  </r>
  <r>
    <s v="ORD-114832"/>
    <x v="559"/>
    <x v="1"/>
    <s v="October"/>
    <x v="3"/>
    <s v="Delhi"/>
    <s v="Aditya Verma"/>
    <x v="1"/>
    <x v="1"/>
    <s v="Tables"/>
    <s v="6-Seater Dining Table"/>
    <x v="2"/>
    <s v="Returned"/>
    <n v="12"/>
    <n v="25110"/>
    <n v="0.1"/>
    <n v="16730"/>
    <n v="301319.90000000002"/>
    <n v="200760"/>
    <n v="100559.90000000002"/>
    <n v="0.33373135992677555"/>
  </r>
  <r>
    <s v="ORD-115462"/>
    <x v="560"/>
    <x v="1"/>
    <s v="October"/>
    <x v="3"/>
    <s v="Jaipur"/>
    <s v="Anjali Mehta"/>
    <x v="1"/>
    <x v="2"/>
    <s v="Laptops"/>
    <s v="Lenovo Ideapad 3"/>
    <x v="1"/>
    <s v="Cancelled"/>
    <n v="38"/>
    <n v="48990"/>
    <n v="0.18"/>
    <n v="30100"/>
    <n v="1861619.82"/>
    <n v="1143800"/>
    <n v="717819.82000000007"/>
    <n v="0.38558883628559565"/>
  </r>
  <r>
    <s v="ORD-114782"/>
    <x v="561"/>
    <x v="1"/>
    <s v="October"/>
    <x v="1"/>
    <s v="Pune"/>
    <s v="Simran Kaur"/>
    <x v="1"/>
    <x v="0"/>
    <s v="Footwear"/>
    <s v="Adidas Sports Shoes"/>
    <x v="0"/>
    <s v="Pending"/>
    <n v="26"/>
    <n v="5999"/>
    <n v="0.15"/>
    <n v="3890"/>
    <n v="155973.85"/>
    <n v="101140"/>
    <n v="54833.850000000006"/>
    <n v="0.35155796949296308"/>
  </r>
  <r>
    <s v="ORD-115403"/>
    <x v="562"/>
    <x v="1"/>
    <s v="October"/>
    <x v="0"/>
    <s v="Bhubaneswar"/>
    <s v="Imran Sheikh"/>
    <x v="0"/>
    <x v="0"/>
    <s v="Apparel"/>
    <s v="Denim Jeans"/>
    <x v="1"/>
    <s v="Delivered"/>
    <n v="20"/>
    <n v="2499"/>
    <n v="0.05"/>
    <n v="1510"/>
    <n v="49979.95"/>
    <n v="30200"/>
    <n v="19779.949999999997"/>
    <n v="0.39575769883723372"/>
  </r>
  <r>
    <s v="ORD-115001"/>
    <x v="563"/>
    <x v="1"/>
    <s v="October"/>
    <x v="0"/>
    <s v="Ranchi"/>
    <s v="Kartik Raman"/>
    <x v="1"/>
    <x v="2"/>
    <s v="Laptops"/>
    <s v="Dell Inspiron 3511"/>
    <x v="1"/>
    <s v="Pending"/>
    <n v="37"/>
    <n v="55230"/>
    <n v="0.05"/>
    <n v="33800"/>
    <n v="2043509.95"/>
    <n v="1250600"/>
    <n v="792909.95"/>
    <n v="0.38801374566343561"/>
  </r>
  <r>
    <s v="ORD-115102"/>
    <x v="563"/>
    <x v="1"/>
    <s v="October"/>
    <x v="4"/>
    <s v="Hyderabad"/>
    <s v="Kartik Raman"/>
    <x v="0"/>
    <x v="4"/>
    <s v="Fitness Equipment"/>
    <s v="Yoga Mat"/>
    <x v="0"/>
    <s v="Delivered"/>
    <n v="23"/>
    <n v="1299"/>
    <n v="0.18"/>
    <n v="720"/>
    <n v="29876.82"/>
    <n v="16560"/>
    <n v="13316.82"/>
    <n v="0.44572414333252336"/>
  </r>
  <r>
    <s v="ORD-115218"/>
    <x v="563"/>
    <x v="1"/>
    <s v="October"/>
    <x v="0"/>
    <s v="Kolkata"/>
    <s v="Ritika Ghosh"/>
    <x v="2"/>
    <x v="3"/>
    <s v="Washing Machines"/>
    <s v="Samsung 7Kg Washing Machine"/>
    <x v="2"/>
    <s v="Pending"/>
    <n v="21"/>
    <n v="32800"/>
    <n v="0.1"/>
    <n v="23100"/>
    <n v="688799.9"/>
    <n v="485100"/>
    <n v="203699.90000000002"/>
    <n v="0.29573160507137125"/>
  </r>
  <r>
    <s v="ORD-115370"/>
    <x v="563"/>
    <x v="1"/>
    <s v="October"/>
    <x v="3"/>
    <s v="Lucknow"/>
    <s v="Pooja Chouhan"/>
    <x v="0"/>
    <x v="4"/>
    <s v="Fitness Equipment"/>
    <s v="Resistance Bands"/>
    <x v="1"/>
    <s v="Returned"/>
    <n v="21"/>
    <n v="999"/>
    <n v="0.15"/>
    <n v="540"/>
    <n v="20978.85"/>
    <n v="11340"/>
    <n v="9638.8499999999985"/>
    <n v="0.45945559456309565"/>
  </r>
  <r>
    <s v="ORD-115090"/>
    <x v="564"/>
    <x v="1"/>
    <s v="October"/>
    <x v="3"/>
    <s v="Chandigarh"/>
    <s v="Imran Sheikh"/>
    <x v="0"/>
    <x v="3"/>
    <s v="Refrigerators"/>
    <s v="Whirlpool 265L Refrigerator"/>
    <x v="2"/>
    <s v="Delivered"/>
    <n v="40"/>
    <n v="27890"/>
    <n v="0.15"/>
    <n v="18800"/>
    <n v="1115599.8500000001"/>
    <n v="752000"/>
    <n v="363599.85000000009"/>
    <n v="0.32592317935503495"/>
  </r>
  <r>
    <s v="ORD-115351"/>
    <x v="565"/>
    <x v="1"/>
    <s v="October"/>
    <x v="4"/>
    <s v="Bengaluru"/>
    <s v="Rahul Singh"/>
    <x v="1"/>
    <x v="2"/>
    <s v="Audio Devices"/>
    <s v="Jbl Tune 510Bt"/>
    <x v="2"/>
    <s v="Cancelled"/>
    <n v="36"/>
    <n v="3299"/>
    <n v="0.15"/>
    <n v="2050"/>
    <n v="118763.85"/>
    <n v="73800"/>
    <n v="44963.850000000006"/>
    <n v="0.37859879079366326"/>
  </r>
  <r>
    <s v="ORD-115459"/>
    <x v="565"/>
    <x v="1"/>
    <s v="October"/>
    <x v="3"/>
    <s v="Delhi"/>
    <s v="Pooja Chouhan"/>
    <x v="2"/>
    <x v="2"/>
    <s v="Laptops"/>
    <s v="Dell Inspiron 3511"/>
    <x v="1"/>
    <s v="Delivered"/>
    <n v="29"/>
    <n v="55230"/>
    <n v="0.12"/>
    <n v="33800"/>
    <n v="1601669.88"/>
    <n v="980200"/>
    <n v="621469.87999999989"/>
    <n v="0.38801371478622043"/>
  </r>
  <r>
    <s v="ORD-115009"/>
    <x v="566"/>
    <x v="1"/>
    <s v="October"/>
    <x v="3"/>
    <s v="Delhi"/>
    <s v="Anjali Mehta"/>
    <x v="2"/>
    <x v="0"/>
    <s v="Apparel"/>
    <s v="Women'S Kurti"/>
    <x v="2"/>
    <s v="Cancelled"/>
    <n v="9"/>
    <n v="1599"/>
    <n v="0.05"/>
    <n v="920"/>
    <n v="14390.95"/>
    <n v="8280"/>
    <n v="6110.9500000000007"/>
    <n v="0.42463840121743179"/>
  </r>
  <r>
    <s v="ORD-115385"/>
    <x v="566"/>
    <x v="1"/>
    <s v="October"/>
    <x v="1"/>
    <s v="Pune"/>
    <s v="Simran Kaur"/>
    <x v="2"/>
    <x v="2"/>
    <s v="Audio Devices"/>
    <s v="Sony Wh-Ch520"/>
    <x v="1"/>
    <s v="Delivered"/>
    <n v="21"/>
    <n v="4490"/>
    <n v="0.05"/>
    <n v="2950"/>
    <n v="94289.95"/>
    <n v="61950"/>
    <n v="32339.949999999997"/>
    <n v="0.34298406139784776"/>
  </r>
  <r>
    <s v="ORD-115455"/>
    <x v="566"/>
    <x v="1"/>
    <s v="October"/>
    <x v="2"/>
    <s v="Raipur"/>
    <s v="Aditya Verma"/>
    <x v="1"/>
    <x v="2"/>
    <s v="Laptops"/>
    <s v="Dell Inspiron 3511"/>
    <x v="1"/>
    <s v="Returned"/>
    <n v="14"/>
    <n v="55230"/>
    <n v="0.08"/>
    <n v="33800"/>
    <n v="773219.92"/>
    <n v="473200"/>
    <n v="300019.92000000004"/>
    <n v="0.38801369731912755"/>
  </r>
  <r>
    <s v="ORD-114815"/>
    <x v="567"/>
    <x v="1"/>
    <s v="October"/>
    <x v="3"/>
    <s v="Lucknow"/>
    <s v="Sourav Das"/>
    <x v="2"/>
    <x v="0"/>
    <s v="Apparel"/>
    <s v="Men'S Casual Shirt"/>
    <x v="2"/>
    <s v="Delivered"/>
    <n v="22"/>
    <n v="1899"/>
    <n v="0.05"/>
    <n v="1080"/>
    <n v="41777.949999999997"/>
    <n v="23760"/>
    <n v="18017.949999999997"/>
    <n v="0.43127894020649643"/>
  </r>
  <r>
    <s v="ORD-115252"/>
    <x v="567"/>
    <x v="1"/>
    <s v="October"/>
    <x v="4"/>
    <s v="Kochi"/>
    <s v="Kartik Raman"/>
    <x v="1"/>
    <x v="0"/>
    <s v="Footwear"/>
    <s v="Nike Running Shoes"/>
    <x v="2"/>
    <s v="Delivered"/>
    <n v="14"/>
    <n v="6499"/>
    <n v="0.05"/>
    <n v="4210"/>
    <n v="90985.95"/>
    <n v="58940"/>
    <n v="32045.949999999997"/>
    <n v="0.35220767602030861"/>
  </r>
  <r>
    <s v="ORD-114917"/>
    <x v="568"/>
    <x v="1"/>
    <s v="October"/>
    <x v="1"/>
    <s v="Surat"/>
    <s v="Rahul Singh"/>
    <x v="1"/>
    <x v="3"/>
    <s v="Kitchen Appliances"/>
    <s v="Bajaj Otg"/>
    <x v="1"/>
    <s v="Returned"/>
    <n v="1"/>
    <n v="5890"/>
    <n v="0.1"/>
    <n v="3980"/>
    <n v="5889.9"/>
    <n v="3980"/>
    <n v="1909.8999999999996"/>
    <n v="0.32426696548328493"/>
  </r>
  <r>
    <s v="ORD-115149"/>
    <x v="568"/>
    <x v="1"/>
    <s v="October"/>
    <x v="4"/>
    <s v="Hyderabad"/>
    <s v="Rahul Singh"/>
    <x v="0"/>
    <x v="1"/>
    <s v="Tables"/>
    <s v="6-Seater Dining Table"/>
    <x v="2"/>
    <s v="Cancelled"/>
    <n v="33"/>
    <n v="25110"/>
    <n v="0.08"/>
    <n v="16730"/>
    <n v="828629.92"/>
    <n v="552090"/>
    <n v="276539.92000000004"/>
    <n v="0.33373151671858531"/>
  </r>
  <r>
    <s v="ORD-115196"/>
    <x v="568"/>
    <x v="1"/>
    <s v="October"/>
    <x v="0"/>
    <s v="Ranchi"/>
    <s v="Rahul Singh"/>
    <x v="2"/>
    <x v="2"/>
    <s v="Laptops"/>
    <s v="Lenovo Ideapad 3"/>
    <x v="0"/>
    <s v="Returned"/>
    <n v="25"/>
    <n v="48990"/>
    <n v="0.1"/>
    <n v="30100"/>
    <n v="1224749.8999999999"/>
    <n v="752500"/>
    <n v="472249.89999999991"/>
    <n v="0.38558884552674788"/>
  </r>
  <r>
    <s v="ORD-114989"/>
    <x v="569"/>
    <x v="1"/>
    <s v="October"/>
    <x v="2"/>
    <s v="Raipur"/>
    <s v="Kartik Raman"/>
    <x v="2"/>
    <x v="3"/>
    <s v="Washing Machines"/>
    <s v="Samsung 7Kg Washing Machine"/>
    <x v="0"/>
    <s v="Returned"/>
    <n v="27"/>
    <n v="32800"/>
    <n v="0.15"/>
    <n v="23100"/>
    <n v="885599.85"/>
    <n v="623700"/>
    <n v="261899.84999999998"/>
    <n v="0.29573158803041799"/>
  </r>
  <r>
    <s v="ORD-115031"/>
    <x v="569"/>
    <x v="1"/>
    <s v="October"/>
    <x v="4"/>
    <s v="Kochi"/>
    <s v="Aditya Verma"/>
    <x v="2"/>
    <x v="0"/>
    <s v="Footwear"/>
    <s v="Puma Sneakers"/>
    <x v="0"/>
    <s v="Cancelled"/>
    <n v="4"/>
    <n v="4499"/>
    <n v="0.2"/>
    <n v="2910"/>
    <n v="17995.8"/>
    <n v="11640"/>
    <n v="6355.7999999999993"/>
    <n v="0.35318240922882005"/>
  </r>
  <r>
    <s v="ORD-115182"/>
    <x v="569"/>
    <x v="1"/>
    <s v="October"/>
    <x v="1"/>
    <s v="Mumbai"/>
    <s v="Simran Kaur"/>
    <x v="2"/>
    <x v="0"/>
    <s v="Apparel"/>
    <s v="Denim Jeans"/>
    <x v="0"/>
    <s v="Delivered"/>
    <n v="29"/>
    <n v="2499"/>
    <n v="0.08"/>
    <n v="1510"/>
    <n v="72470.92"/>
    <n v="43790"/>
    <n v="28680.92"/>
    <n v="0.39575763630432731"/>
  </r>
  <r>
    <s v="ORD-115259"/>
    <x v="569"/>
    <x v="1"/>
    <s v="October"/>
    <x v="4"/>
    <s v="Chennai"/>
    <s v="Simran Kaur"/>
    <x v="2"/>
    <x v="3"/>
    <s v="Washing Machines"/>
    <s v="Samsung 7Kg Washing Machine"/>
    <x v="2"/>
    <s v="Delivered"/>
    <n v="2"/>
    <n v="32800"/>
    <n v="0.08"/>
    <n v="23100"/>
    <n v="65599.92"/>
    <n v="46200"/>
    <n v="19399.919999999998"/>
    <n v="0.29573084845225417"/>
  </r>
  <r>
    <s v="ORD-115086"/>
    <x v="570"/>
    <x v="1"/>
    <s v="October"/>
    <x v="3"/>
    <s v="Lucknow"/>
    <s v="Rahul Singh"/>
    <x v="2"/>
    <x v="1"/>
    <s v="Tables"/>
    <s v="Office Work Table"/>
    <x v="2"/>
    <s v="Returned"/>
    <n v="21"/>
    <n v="12490"/>
    <n v="0.2"/>
    <n v="7900"/>
    <n v="262289.8"/>
    <n v="165900"/>
    <n v="96389.799999999988"/>
    <n v="0.36749351290061599"/>
  </r>
  <r>
    <s v="ORD-114974"/>
    <x v="571"/>
    <x v="1"/>
    <s v="October"/>
    <x v="2"/>
    <s v="Ujjain"/>
    <s v="Sourav Das"/>
    <x v="2"/>
    <x v="1"/>
    <s v="Tables"/>
    <s v="Study Table"/>
    <x v="1"/>
    <s v="Delivered"/>
    <n v="18"/>
    <n v="6999"/>
    <n v="0.08"/>
    <n v="4320"/>
    <n v="125981.92"/>
    <n v="77760"/>
    <n v="48221.919999999998"/>
    <n v="0.38276857504632411"/>
  </r>
  <r>
    <s v="ORD-115143"/>
    <x v="571"/>
    <x v="1"/>
    <s v="October"/>
    <x v="0"/>
    <s v="Ranchi"/>
    <s v="Imran Sheikh"/>
    <x v="1"/>
    <x v="2"/>
    <s v="Audio Devices"/>
    <s v="Boat Airdopes 131"/>
    <x v="2"/>
    <s v="Pending"/>
    <n v="33"/>
    <n v="1930"/>
    <n v="0.2"/>
    <n v="1120"/>
    <n v="63689.8"/>
    <n v="36960"/>
    <n v="26729.800000000003"/>
    <n v="0.41968729686700229"/>
  </r>
  <r>
    <s v="ORD-115058"/>
    <x v="572"/>
    <x v="1"/>
    <s v="October"/>
    <x v="1"/>
    <s v="Ahmedabad"/>
    <s v="Anjali Mehta"/>
    <x v="1"/>
    <x v="4"/>
    <s v="Fitness Equipment"/>
    <s v="Yoga Mat"/>
    <x v="1"/>
    <s v="Delivered"/>
    <n v="10"/>
    <n v="1299"/>
    <n v="0.2"/>
    <n v="720"/>
    <n v="12989.8"/>
    <n v="7200"/>
    <n v="5789.7999999999993"/>
    <n v="0.44571894871360601"/>
  </r>
  <r>
    <s v="ORD-115148"/>
    <x v="572"/>
    <x v="1"/>
    <s v="October"/>
    <x v="1"/>
    <s v="Pune"/>
    <s v="Simran Kaur"/>
    <x v="0"/>
    <x v="3"/>
    <s v="Refrigerators"/>
    <s v="Lg 260L Double Door"/>
    <x v="0"/>
    <s v="Delivered"/>
    <n v="27"/>
    <n v="29010"/>
    <n v="0.18"/>
    <n v="19100"/>
    <n v="783269.82"/>
    <n v="515700"/>
    <n v="267569.81999999995"/>
    <n v="0.34160619133774356"/>
  </r>
  <r>
    <s v="ORD-115483"/>
    <x v="572"/>
    <x v="1"/>
    <s v="October"/>
    <x v="4"/>
    <s v="Kochi"/>
    <s v="Rahul Singh"/>
    <x v="2"/>
    <x v="4"/>
    <s v="Fitness Equipment"/>
    <s v="Resistance Bands"/>
    <x v="0"/>
    <s v="Returned"/>
    <n v="4"/>
    <n v="999"/>
    <n v="0.1"/>
    <n v="540"/>
    <n v="3995.9"/>
    <n v="2160"/>
    <n v="1835.9"/>
    <n v="0.45944593208038242"/>
  </r>
  <r>
    <s v="ORD-115373"/>
    <x v="573"/>
    <x v="1"/>
    <s v="October"/>
    <x v="2"/>
    <s v="Raipur"/>
    <s v="Rahul Singh"/>
    <x v="0"/>
    <x v="1"/>
    <s v="Tables"/>
    <s v="Office Work Table"/>
    <x v="1"/>
    <s v="Delivered"/>
    <n v="6"/>
    <n v="12490"/>
    <n v="0.1"/>
    <n v="7900"/>
    <n v="74939.899999999994"/>
    <n v="47400"/>
    <n v="27539.899999999994"/>
    <n v="0.36749315117847764"/>
  </r>
  <r>
    <s v="ORD-115079"/>
    <x v="574"/>
    <x v="1"/>
    <s v="October"/>
    <x v="3"/>
    <s v="Lucknow"/>
    <s v="Kartik Raman"/>
    <x v="0"/>
    <x v="4"/>
    <s v="Fitness Equipment"/>
    <s v="Dumbbell Set"/>
    <x v="0"/>
    <s v="Delivered"/>
    <n v="22"/>
    <n v="3499"/>
    <n v="0.12"/>
    <n v="2190"/>
    <n v="76977.88"/>
    <n v="48180"/>
    <n v="28797.880000000005"/>
    <n v="0.37410591198406612"/>
  </r>
  <r>
    <s v="ORD-115278"/>
    <x v="574"/>
    <x v="1"/>
    <s v="October"/>
    <x v="0"/>
    <s v="Kolkata"/>
    <s v="Aditya Verma"/>
    <x v="0"/>
    <x v="2"/>
    <s v="Mobiles"/>
    <s v="Oneplus Nord Ce 3"/>
    <x v="2"/>
    <s v="Delivered"/>
    <n v="7"/>
    <n v="25999"/>
    <n v="0.15"/>
    <n v="17800"/>
    <n v="181992.85"/>
    <n v="124600"/>
    <n v="57392.850000000006"/>
    <n v="0.31535771872356527"/>
  </r>
  <r>
    <s v="ORD-115477"/>
    <x v="574"/>
    <x v="1"/>
    <s v="October"/>
    <x v="1"/>
    <s v="Mumbai"/>
    <s v="Imran Sheikh"/>
    <x v="0"/>
    <x v="1"/>
    <s v="Sofas"/>
    <s v="3-Seater Sofa"/>
    <x v="1"/>
    <s v="Delivered"/>
    <n v="28"/>
    <n v="38990"/>
    <n v="0.15"/>
    <n v="25400"/>
    <n v="1091719.8500000001"/>
    <n v="711200"/>
    <n v="380519.85000000009"/>
    <n v="0.34855082098214124"/>
  </r>
  <r>
    <s v="ORD-114929"/>
    <x v="575"/>
    <x v="1"/>
    <s v="October"/>
    <x v="3"/>
    <s v="Chandigarh"/>
    <s v="Pooja Chouhan"/>
    <x v="1"/>
    <x v="3"/>
    <s v="Washing Machines"/>
    <s v="Samsung 7Kg Washing Machine"/>
    <x v="1"/>
    <s v="Pending"/>
    <n v="36"/>
    <n v="32800"/>
    <n v="0.08"/>
    <n v="23100"/>
    <n v="1180799.92"/>
    <n v="831600"/>
    <n v="349199.91999999993"/>
    <n v="0.29573165960241593"/>
  </r>
  <r>
    <s v="ORD-114956"/>
    <x v="575"/>
    <x v="1"/>
    <s v="October"/>
    <x v="1"/>
    <s v="Pune"/>
    <s v="Simran Kaur"/>
    <x v="2"/>
    <x v="2"/>
    <s v="Audio Devices"/>
    <s v="Sony Wh-Ch520"/>
    <x v="0"/>
    <s v="Pending"/>
    <n v="12"/>
    <n v="4490"/>
    <n v="0.08"/>
    <n v="2950"/>
    <n v="53879.92"/>
    <n v="35400"/>
    <n v="18479.919999999998"/>
    <n v="0.34298343427384448"/>
  </r>
  <r>
    <s v="ORD-115331"/>
    <x v="575"/>
    <x v="1"/>
    <s v="October"/>
    <x v="1"/>
    <s v="Pune"/>
    <s v="Anjali Mehta"/>
    <x v="0"/>
    <x v="3"/>
    <s v="Kitchen Appliances"/>
    <s v="Philips Air Fryer"/>
    <x v="1"/>
    <s v="Returned"/>
    <n v="27"/>
    <n v="7299"/>
    <n v="0.12"/>
    <n v="5010"/>
    <n v="197072.88"/>
    <n v="135270"/>
    <n v="61802.880000000005"/>
    <n v="0.31360418541607554"/>
  </r>
  <r>
    <s v="ORD-114908"/>
    <x v="576"/>
    <x v="1"/>
    <s v="October"/>
    <x v="2"/>
    <s v="Raipur"/>
    <s v="Aditya Verma"/>
    <x v="1"/>
    <x v="1"/>
    <s v="Tables"/>
    <s v="Study Table"/>
    <x v="1"/>
    <s v="Delivered"/>
    <n v="6"/>
    <n v="6999"/>
    <n v="0.1"/>
    <n v="4320"/>
    <n v="41993.9"/>
    <n v="25920"/>
    <n v="16073.900000000001"/>
    <n v="0.38276749718411485"/>
  </r>
  <r>
    <s v="ORD-114922"/>
    <x v="576"/>
    <x v="1"/>
    <s v="October"/>
    <x v="2"/>
    <s v="Indore"/>
    <s v="Pooja Chouhan"/>
    <x v="2"/>
    <x v="4"/>
    <s v="Fitness Equipment"/>
    <s v="Dumbbell Set"/>
    <x v="0"/>
    <s v="Returned"/>
    <n v="7"/>
    <n v="3499"/>
    <n v="0.2"/>
    <n v="2190"/>
    <n v="24492.799999999999"/>
    <n v="15330"/>
    <n v="9162.7999999999993"/>
    <n v="0.37410177684870655"/>
  </r>
  <r>
    <s v="ORD-115222"/>
    <x v="576"/>
    <x v="1"/>
    <s v="October"/>
    <x v="1"/>
    <s v="Ahmedabad"/>
    <s v="Pooja Chouhan"/>
    <x v="1"/>
    <x v="4"/>
    <s v="Fitness Equipment"/>
    <s v="Dumbbell Set"/>
    <x v="2"/>
    <s v="Delivered"/>
    <n v="37"/>
    <n v="3499"/>
    <n v="0.12"/>
    <n v="2190"/>
    <n v="129462.88"/>
    <n v="81030"/>
    <n v="48432.880000000005"/>
    <n v="0.37410630753772822"/>
  </r>
  <r>
    <s v="ORD-115435"/>
    <x v="576"/>
    <x v="1"/>
    <s v="October"/>
    <x v="0"/>
    <s v="Bhubaneswar"/>
    <s v="Imran Sheikh"/>
    <x v="0"/>
    <x v="3"/>
    <s v="Kitchen Appliances"/>
    <s v="Philips Air Fryer"/>
    <x v="0"/>
    <s v="Pending"/>
    <n v="15"/>
    <n v="7299"/>
    <n v="0.18"/>
    <n v="5010"/>
    <n v="109484.82"/>
    <n v="75150"/>
    <n v="34334.820000000007"/>
    <n v="0.31360347489268381"/>
  </r>
  <r>
    <s v="ORD-114835"/>
    <x v="577"/>
    <x v="1"/>
    <s v="November"/>
    <x v="1"/>
    <s v="Mumbai"/>
    <s v="Ritika Ghosh"/>
    <x v="1"/>
    <x v="3"/>
    <s v="Kitchen Appliances"/>
    <s v="Prestige Mixer Grinder"/>
    <x v="0"/>
    <s v="Cancelled"/>
    <n v="24"/>
    <n v="4680"/>
    <n v="0.1"/>
    <n v="3250"/>
    <n v="112319.9"/>
    <n v="78000"/>
    <n v="34319.899999999994"/>
    <n v="0.30555493728181732"/>
  </r>
  <r>
    <s v="ORD-115015"/>
    <x v="578"/>
    <x v="1"/>
    <s v="November"/>
    <x v="1"/>
    <s v="Mumbai"/>
    <s v="Kartik Raman"/>
    <x v="1"/>
    <x v="0"/>
    <s v="Footwear"/>
    <s v="Puma Sneakers"/>
    <x v="1"/>
    <s v="Delivered"/>
    <n v="37"/>
    <n v="4499"/>
    <n v="0.05"/>
    <n v="2910"/>
    <n v="166462.95000000001"/>
    <n v="107670"/>
    <n v="58792.950000000012"/>
    <n v="0.35318940340778537"/>
  </r>
  <r>
    <s v="ORD-115421"/>
    <x v="578"/>
    <x v="1"/>
    <s v="November"/>
    <x v="3"/>
    <s v="Delhi"/>
    <s v="Aditya Verma"/>
    <x v="1"/>
    <x v="1"/>
    <s v="Tables"/>
    <s v="6-Seater Dining Table"/>
    <x v="2"/>
    <s v="Returned"/>
    <n v="38"/>
    <n v="25110"/>
    <n v="0.1"/>
    <n v="16730"/>
    <n v="954179.9"/>
    <n v="635740"/>
    <n v="318439.90000000002"/>
    <n v="0.33373151121711958"/>
  </r>
  <r>
    <s v="ORD-115339"/>
    <x v="579"/>
    <x v="1"/>
    <s v="November"/>
    <x v="4"/>
    <s v="Kochi"/>
    <s v="Rahul Singh"/>
    <x v="1"/>
    <x v="0"/>
    <s v="Apparel"/>
    <s v="Denim Jeans"/>
    <x v="0"/>
    <s v="Returned"/>
    <n v="25"/>
    <n v="2499"/>
    <n v="0.05"/>
    <n v="1510"/>
    <n v="62474.95"/>
    <n v="37750"/>
    <n v="24724.949999999997"/>
    <n v="0.39575781973414942"/>
  </r>
  <r>
    <s v="ORD-114962"/>
    <x v="580"/>
    <x v="1"/>
    <s v="November"/>
    <x v="3"/>
    <s v="Delhi"/>
    <s v="Kartik Raman"/>
    <x v="1"/>
    <x v="1"/>
    <s v="Sofas"/>
    <s v="L-Shape Sofa"/>
    <x v="2"/>
    <s v="Returned"/>
    <n v="38"/>
    <n v="52990"/>
    <n v="0.15"/>
    <n v="35100"/>
    <n v="2013619.85"/>
    <n v="1333800"/>
    <n v="679819.85000000009"/>
    <n v="0.33761082063230557"/>
  </r>
  <r>
    <s v="ORD-115295"/>
    <x v="580"/>
    <x v="1"/>
    <s v="November"/>
    <x v="4"/>
    <s v="Chennai"/>
    <s v="Neha Deshpande"/>
    <x v="0"/>
    <x v="3"/>
    <s v="Washing Machines"/>
    <s v="Lg 6.5Kg Washing Machine"/>
    <x v="2"/>
    <s v="Delivered"/>
    <n v="17"/>
    <n v="29010"/>
    <n v="0.1"/>
    <n v="19150"/>
    <n v="493169.9"/>
    <n v="325550"/>
    <n v="167619.90000000002"/>
    <n v="0.33988266518293192"/>
  </r>
  <r>
    <s v="ORD-115306"/>
    <x v="580"/>
    <x v="1"/>
    <s v="November"/>
    <x v="2"/>
    <s v="Ujjain"/>
    <s v="Ritika Ghosh"/>
    <x v="1"/>
    <x v="4"/>
    <s v="Fitness Equipment"/>
    <s v="Yoga Mat"/>
    <x v="1"/>
    <s v="Delivered"/>
    <n v="32"/>
    <n v="1299"/>
    <n v="0.18"/>
    <n v="720"/>
    <n v="41567.82"/>
    <n v="23040"/>
    <n v="18527.82"/>
    <n v="0.44572508252778231"/>
  </r>
  <r>
    <s v="ORD-115103"/>
    <x v="581"/>
    <x v="1"/>
    <s v="November"/>
    <x v="0"/>
    <s v="Patna"/>
    <s v="Anjali Mehta"/>
    <x v="0"/>
    <x v="1"/>
    <s v="Sofas"/>
    <s v="Single Seater Recliner"/>
    <x v="0"/>
    <s v="Cancelled"/>
    <n v="25"/>
    <n v="43500"/>
    <n v="0.12"/>
    <n v="29520"/>
    <n v="1087499.8799999999"/>
    <n v="738000"/>
    <n v="349499.87999999989"/>
    <n v="0.32137923546253627"/>
  </r>
  <r>
    <s v="ORD-115123"/>
    <x v="581"/>
    <x v="1"/>
    <s v="November"/>
    <x v="1"/>
    <s v="Pune"/>
    <s v="Rahul Singh"/>
    <x v="1"/>
    <x v="1"/>
    <s v="Sofas"/>
    <s v="L-Shape Sofa"/>
    <x v="0"/>
    <s v="Delivered"/>
    <n v="19"/>
    <n v="52990"/>
    <n v="0.08"/>
    <n v="35100"/>
    <n v="1006809.92"/>
    <n v="666900"/>
    <n v="339909.92000000004"/>
    <n v="0.33761081734276122"/>
  </r>
  <r>
    <s v="ORD-115363"/>
    <x v="581"/>
    <x v="1"/>
    <s v="November"/>
    <x v="1"/>
    <s v="Pune"/>
    <s v="Aditya Verma"/>
    <x v="0"/>
    <x v="2"/>
    <s v="Mobiles"/>
    <s v="Samsung Galaxy M34"/>
    <x v="1"/>
    <s v="Pending"/>
    <n v="17"/>
    <n v="22999"/>
    <n v="0.05"/>
    <n v="15100"/>
    <n v="390982.95"/>
    <n v="256700"/>
    <n v="134282.95000000001"/>
    <n v="0.34344963124351074"/>
  </r>
  <r>
    <s v="ORD-114938"/>
    <x v="582"/>
    <x v="1"/>
    <s v="November"/>
    <x v="4"/>
    <s v="Kochi"/>
    <s v="Imran Sheikh"/>
    <x v="2"/>
    <x v="1"/>
    <s v="Tables"/>
    <s v="Office Work Table"/>
    <x v="0"/>
    <s v="Delivered"/>
    <n v="16"/>
    <n v="12490"/>
    <n v="0.18"/>
    <n v="7900"/>
    <n v="199839.82"/>
    <n v="126400"/>
    <n v="73439.820000000007"/>
    <n v="0.36749342548447056"/>
  </r>
  <r>
    <s v="ORD-115130"/>
    <x v="582"/>
    <x v="1"/>
    <s v="November"/>
    <x v="1"/>
    <s v="Pune"/>
    <s v="Sourav Das"/>
    <x v="2"/>
    <x v="2"/>
    <s v="Audio Devices"/>
    <s v="Jbl Tune 510Bt"/>
    <x v="1"/>
    <s v="Pending"/>
    <n v="23"/>
    <n v="3299"/>
    <n v="0.05"/>
    <n v="2050"/>
    <n v="75876.95"/>
    <n v="47150"/>
    <n v="28726.949999999997"/>
    <n v="0.37859916614993089"/>
  </r>
  <r>
    <s v="ORD-115241"/>
    <x v="582"/>
    <x v="1"/>
    <s v="November"/>
    <x v="2"/>
    <s v="Indore"/>
    <s v="Kartik Raman"/>
    <x v="2"/>
    <x v="0"/>
    <s v="Footwear"/>
    <s v="Nike Running Shoes"/>
    <x v="2"/>
    <s v="Delivered"/>
    <n v="3"/>
    <n v="6499"/>
    <n v="0.08"/>
    <n v="4210"/>
    <n v="19496.919999999998"/>
    <n v="12630"/>
    <n v="6866.9199999999983"/>
    <n v="0.35220537397701784"/>
  </r>
  <r>
    <s v="ORD-115453"/>
    <x v="582"/>
    <x v="1"/>
    <s v="November"/>
    <x v="2"/>
    <s v="Ujjain"/>
    <s v="Imran Sheikh"/>
    <x v="0"/>
    <x v="1"/>
    <s v="Sofas"/>
    <s v="L-Shape Sofa"/>
    <x v="2"/>
    <s v="Delivered"/>
    <n v="13"/>
    <n v="52990"/>
    <n v="0.2"/>
    <n v="35100"/>
    <n v="688869.8"/>
    <n v="456300"/>
    <n v="232569.80000000005"/>
    <n v="0.33761067766361658"/>
  </r>
  <r>
    <s v="ORD-115136"/>
    <x v="583"/>
    <x v="1"/>
    <s v="November"/>
    <x v="3"/>
    <s v="Jaipur"/>
    <s v="Pooja Chouhan"/>
    <x v="0"/>
    <x v="0"/>
    <s v="Footwear"/>
    <s v="Adidas Sports Shoes"/>
    <x v="1"/>
    <s v="Pending"/>
    <n v="6"/>
    <n v="5999"/>
    <n v="0.1"/>
    <n v="3890"/>
    <n v="35993.9"/>
    <n v="23340"/>
    <n v="12653.900000000001"/>
    <n v="0.35155679156746006"/>
  </r>
  <r>
    <s v="ORD-115328"/>
    <x v="583"/>
    <x v="1"/>
    <s v="November"/>
    <x v="4"/>
    <s v="Hyderabad"/>
    <s v="Anjali Mehta"/>
    <x v="1"/>
    <x v="3"/>
    <s v="Refrigerators"/>
    <s v="Whirlpool 265L Refrigerator"/>
    <x v="0"/>
    <s v="Delivered"/>
    <n v="10"/>
    <n v="27890"/>
    <n v="0.15"/>
    <n v="18800"/>
    <n v="278899.84999999998"/>
    <n v="188000"/>
    <n v="90899.849999999977"/>
    <n v="0.32592290745226282"/>
  </r>
  <r>
    <s v="ORD-115057"/>
    <x v="584"/>
    <x v="1"/>
    <s v="November"/>
    <x v="3"/>
    <s v="Delhi"/>
    <s v="Rahul Singh"/>
    <x v="1"/>
    <x v="2"/>
    <s v="Laptops"/>
    <s v="Dell Inspiron 3511"/>
    <x v="1"/>
    <s v="Delivered"/>
    <n v="22"/>
    <n v="55230"/>
    <n v="0.18"/>
    <n v="33800"/>
    <n v="1215059.82"/>
    <n v="743600"/>
    <n v="471459.82000000007"/>
    <n v="0.38801366997717035"/>
  </r>
  <r>
    <s v="ORD-115432"/>
    <x v="584"/>
    <x v="1"/>
    <s v="November"/>
    <x v="1"/>
    <s v="Surat"/>
    <s v="Pooja Chouhan"/>
    <x v="0"/>
    <x v="3"/>
    <s v="Washing Machines"/>
    <s v="Ifb 7Kg Washing Machine"/>
    <x v="2"/>
    <s v="Returned"/>
    <n v="40"/>
    <n v="31990"/>
    <n v="0.12"/>
    <n v="21800"/>
    <n v="1279599.8799999999"/>
    <n v="872000"/>
    <n v="407599.87999999989"/>
    <n v="0.31853697891875382"/>
  </r>
  <r>
    <s v="ORD-115190"/>
    <x v="585"/>
    <x v="1"/>
    <s v="November"/>
    <x v="0"/>
    <s v="Bhubaneswar"/>
    <s v="Imran Sheikh"/>
    <x v="0"/>
    <x v="4"/>
    <s v="Fitness Equipment"/>
    <s v="Yoga Mat"/>
    <x v="2"/>
    <s v="Pending"/>
    <n v="14"/>
    <n v="1299"/>
    <n v="0.2"/>
    <n v="720"/>
    <n v="18185.8"/>
    <n v="10080"/>
    <n v="8105.7999999999993"/>
    <n v="0.44572138701624342"/>
  </r>
  <r>
    <s v="ORD-115197"/>
    <x v="585"/>
    <x v="1"/>
    <s v="November"/>
    <x v="2"/>
    <s v="Bhopal"/>
    <s v="Imran Sheikh"/>
    <x v="2"/>
    <x v="0"/>
    <s v="Footwear"/>
    <s v="Nike Running Shoes"/>
    <x v="1"/>
    <s v="Delivered"/>
    <n v="14"/>
    <n v="6499"/>
    <n v="0.05"/>
    <n v="4210"/>
    <n v="90985.95"/>
    <n v="58940"/>
    <n v="32045.949999999997"/>
    <n v="0.35220767602030861"/>
  </r>
  <r>
    <s v="ORD-115481"/>
    <x v="585"/>
    <x v="1"/>
    <s v="November"/>
    <x v="0"/>
    <s v="Ranchi"/>
    <s v="Imran Sheikh"/>
    <x v="0"/>
    <x v="2"/>
    <s v="Mobiles"/>
    <s v="Samsung Galaxy M34"/>
    <x v="0"/>
    <s v="Returned"/>
    <n v="29"/>
    <n v="22999"/>
    <n v="0.08"/>
    <n v="15100"/>
    <n v="666970.92000000004"/>
    <n v="437900"/>
    <n v="229070.92000000004"/>
    <n v="0.34344963645491472"/>
  </r>
  <r>
    <s v="ORD-114957"/>
    <x v="586"/>
    <x v="1"/>
    <s v="November"/>
    <x v="4"/>
    <s v="Chennai"/>
    <s v="Ritika Ghosh"/>
    <x v="1"/>
    <x v="0"/>
    <s v="Footwear"/>
    <s v="Adidas Sports Shoes"/>
    <x v="1"/>
    <s v="Delivered"/>
    <n v="28"/>
    <n v="5999"/>
    <n v="0.05"/>
    <n v="3890"/>
    <n v="167971.95"/>
    <n v="108920"/>
    <n v="59051.950000000012"/>
    <n v="0.35155840007810835"/>
  </r>
  <r>
    <s v="ORD-115184"/>
    <x v="586"/>
    <x v="1"/>
    <s v="November"/>
    <x v="3"/>
    <s v="Delhi"/>
    <s v="Kartik Raman"/>
    <x v="1"/>
    <x v="3"/>
    <s v="Washing Machines"/>
    <s v="Ifb 7Kg Washing Machine"/>
    <x v="1"/>
    <s v="Delivered"/>
    <n v="10"/>
    <n v="31990"/>
    <n v="0.12"/>
    <n v="21800"/>
    <n v="319899.88"/>
    <n v="218000"/>
    <n v="101899.88"/>
    <n v="0.31853678719729439"/>
  </r>
  <r>
    <s v="ORD-115220"/>
    <x v="586"/>
    <x v="1"/>
    <s v="November"/>
    <x v="0"/>
    <s v="Kolkata"/>
    <s v="Anjali Mehta"/>
    <x v="0"/>
    <x v="1"/>
    <s v="Tables"/>
    <s v="Study Table"/>
    <x v="0"/>
    <s v="Delivered"/>
    <n v="2"/>
    <n v="6999"/>
    <n v="0.12"/>
    <n v="4320"/>
    <n v="13997.88"/>
    <n v="8640"/>
    <n v="5357.8799999999992"/>
    <n v="0.38276367564231151"/>
  </r>
  <r>
    <s v="ORD-115458"/>
    <x v="586"/>
    <x v="1"/>
    <s v="November"/>
    <x v="1"/>
    <s v="Surat"/>
    <s v="Imran Sheikh"/>
    <x v="1"/>
    <x v="0"/>
    <s v="Apparel"/>
    <s v="Denim Jeans"/>
    <x v="0"/>
    <s v="Delivered"/>
    <n v="16"/>
    <n v="2499"/>
    <n v="0.05"/>
    <n v="1510"/>
    <n v="39983.949999999997"/>
    <n v="24160"/>
    <n v="15823.949999999997"/>
    <n v="0.39575754771602101"/>
  </r>
  <r>
    <s v="ORD-114997"/>
    <x v="587"/>
    <x v="1"/>
    <s v="November"/>
    <x v="4"/>
    <s v="Kochi"/>
    <s v="Anjali Mehta"/>
    <x v="0"/>
    <x v="2"/>
    <s v="Audio Devices"/>
    <s v="Jbl Tune 510Bt"/>
    <x v="1"/>
    <s v="Returned"/>
    <n v="14"/>
    <n v="3299"/>
    <n v="0.12"/>
    <n v="2050"/>
    <n v="46185.88"/>
    <n v="28700"/>
    <n v="17485.879999999997"/>
    <n v="0.37859796110845995"/>
  </r>
  <r>
    <s v="ORD-115256"/>
    <x v="588"/>
    <x v="1"/>
    <s v="November"/>
    <x v="1"/>
    <s v="Surat"/>
    <s v="Sourav Das"/>
    <x v="0"/>
    <x v="3"/>
    <s v="Refrigerators"/>
    <s v="Lg 260L Double Door"/>
    <x v="0"/>
    <s v="Delivered"/>
    <n v="9"/>
    <n v="29010"/>
    <n v="0.15"/>
    <n v="19100"/>
    <n v="261089.85"/>
    <n v="171900"/>
    <n v="89189.85"/>
    <n v="0.34160596438352547"/>
  </r>
  <r>
    <s v="ORD-115322"/>
    <x v="589"/>
    <x v="1"/>
    <s v="November"/>
    <x v="2"/>
    <s v="Raipur"/>
    <s v="Simran Kaur"/>
    <x v="0"/>
    <x v="3"/>
    <s v="Refrigerators"/>
    <s v="Whirlpool 265L Refrigerator"/>
    <x v="2"/>
    <s v="Cancelled"/>
    <n v="14"/>
    <n v="27890"/>
    <n v="0.12"/>
    <n v="18800"/>
    <n v="390459.88"/>
    <n v="263200"/>
    <n v="127259.88"/>
    <n v="0.32592306282530231"/>
  </r>
  <r>
    <s v="ORD-114834"/>
    <x v="590"/>
    <x v="1"/>
    <s v="November"/>
    <x v="3"/>
    <s v="Lucknow"/>
    <s v="Aditya Verma"/>
    <x v="0"/>
    <x v="0"/>
    <s v="Footwear"/>
    <s v="Adidas Sports Shoes"/>
    <x v="2"/>
    <s v="Returned"/>
    <n v="11"/>
    <n v="5999"/>
    <n v="0.15"/>
    <n v="3890"/>
    <n v="65988.850000000006"/>
    <n v="42790"/>
    <n v="23198.850000000006"/>
    <n v="0.35155711911936643"/>
  </r>
  <r>
    <s v="ORD-115300"/>
    <x v="590"/>
    <x v="1"/>
    <s v="November"/>
    <x v="3"/>
    <s v="Chandigarh"/>
    <s v="Imran Sheikh"/>
    <x v="0"/>
    <x v="0"/>
    <s v="Apparel"/>
    <s v="Men'S Casual Shirt"/>
    <x v="2"/>
    <s v="Pending"/>
    <n v="19"/>
    <n v="1899"/>
    <n v="0.05"/>
    <n v="1080"/>
    <n v="36080.949999999997"/>
    <n v="20520"/>
    <n v="15560.949999999997"/>
    <n v="0.43127883273583423"/>
  </r>
  <r>
    <s v="ORD-114816"/>
    <x v="591"/>
    <x v="1"/>
    <s v="November"/>
    <x v="3"/>
    <s v="Chandigarh"/>
    <s v="Sourav Das"/>
    <x v="1"/>
    <x v="3"/>
    <s v="Kitchen Appliances"/>
    <s v="Prestige Mixer Grinder"/>
    <x v="2"/>
    <s v="Delivered"/>
    <n v="5"/>
    <n v="4680"/>
    <n v="0.18"/>
    <n v="3250"/>
    <n v="23399.82"/>
    <n v="16250"/>
    <n v="7149.82"/>
    <n v="0.30555021363412194"/>
  </r>
  <r>
    <s v="ORD-115004"/>
    <x v="591"/>
    <x v="1"/>
    <s v="November"/>
    <x v="3"/>
    <s v="Jaipur"/>
    <s v="Simran Kaur"/>
    <x v="2"/>
    <x v="2"/>
    <s v="Mobiles"/>
    <s v="Oneplus Nord Ce 3"/>
    <x v="1"/>
    <s v="Returned"/>
    <n v="30"/>
    <n v="25999"/>
    <n v="0.05"/>
    <n v="17800"/>
    <n v="779969.95"/>
    <n v="534000"/>
    <n v="245969.94999999995"/>
    <n v="0.31535823912190458"/>
  </r>
  <r>
    <s v="ORD-115257"/>
    <x v="591"/>
    <x v="1"/>
    <s v="November"/>
    <x v="2"/>
    <s v="Ujjain"/>
    <s v="Imran Sheikh"/>
    <x v="2"/>
    <x v="0"/>
    <s v="Footwear"/>
    <s v="Adidas Sports Shoes"/>
    <x v="0"/>
    <s v="Delivered"/>
    <n v="11"/>
    <n v="5999"/>
    <n v="0.15"/>
    <n v="3890"/>
    <n v="65988.850000000006"/>
    <n v="42790"/>
    <n v="23198.850000000006"/>
    <n v="0.35155711911936643"/>
  </r>
  <r>
    <s v="ORD-115371"/>
    <x v="591"/>
    <x v="1"/>
    <s v="November"/>
    <x v="2"/>
    <s v="Raipur"/>
    <s v="Kartik Raman"/>
    <x v="2"/>
    <x v="3"/>
    <s v="Washing Machines"/>
    <s v="Lg 6.5Kg Washing Machine"/>
    <x v="1"/>
    <s v="Cancelled"/>
    <n v="13"/>
    <n v="29010"/>
    <n v="0.1"/>
    <n v="19150"/>
    <n v="377129.9"/>
    <n v="248950"/>
    <n v="128179.90000000002"/>
    <n v="0.33988262399772601"/>
  </r>
  <r>
    <s v="ORD-115087"/>
    <x v="592"/>
    <x v="1"/>
    <s v="November"/>
    <x v="4"/>
    <s v="Chennai"/>
    <s v="Rahul Singh"/>
    <x v="1"/>
    <x v="0"/>
    <s v="Footwear"/>
    <s v="Adidas Sports Shoes"/>
    <x v="2"/>
    <s v="Delivered"/>
    <n v="20"/>
    <n v="5999"/>
    <n v="0.15"/>
    <n v="3890"/>
    <n v="119979.85"/>
    <n v="77800"/>
    <n v="42179.850000000006"/>
    <n v="0.35155778241096319"/>
  </r>
  <r>
    <s v="ORD-115404"/>
    <x v="592"/>
    <x v="1"/>
    <s v="November"/>
    <x v="4"/>
    <s v="Chennai"/>
    <s v="Anjali Mehta"/>
    <x v="0"/>
    <x v="2"/>
    <s v="Audio Devices"/>
    <s v="Sony Wh-Ch520"/>
    <x v="2"/>
    <s v="Delivered"/>
    <n v="36"/>
    <n v="4490"/>
    <n v="0.15"/>
    <n v="2950"/>
    <n v="161639.85"/>
    <n v="106200"/>
    <n v="55439.850000000006"/>
    <n v="0.34298380009632529"/>
  </r>
  <r>
    <s v="ORD-114850"/>
    <x v="593"/>
    <x v="1"/>
    <s v="November"/>
    <x v="1"/>
    <s v="Ahmedabad"/>
    <s v="Neha Deshpande"/>
    <x v="2"/>
    <x v="2"/>
    <s v="Audio Devices"/>
    <s v="Boat Airdopes 131"/>
    <x v="1"/>
    <s v="Delivered"/>
    <n v="22"/>
    <n v="1930"/>
    <n v="0.15"/>
    <n v="1120"/>
    <n v="42459.85"/>
    <n v="24640"/>
    <n v="17819.849999999999"/>
    <n v="0.41968706907819975"/>
  </r>
  <r>
    <s v="ORD-114931"/>
    <x v="593"/>
    <x v="1"/>
    <s v="November"/>
    <x v="4"/>
    <s v="Kochi"/>
    <s v="Simran Kaur"/>
    <x v="1"/>
    <x v="1"/>
    <s v="Sofas"/>
    <s v="L-Shape Sofa"/>
    <x v="1"/>
    <s v="Pending"/>
    <n v="14"/>
    <n v="52990"/>
    <n v="0.05"/>
    <n v="35100"/>
    <n v="741859.95"/>
    <n v="491400"/>
    <n v="250459.94999999995"/>
    <n v="0.33761082533165454"/>
  </r>
  <r>
    <s v="ORD-115137"/>
    <x v="593"/>
    <x v="1"/>
    <s v="November"/>
    <x v="2"/>
    <s v="Bhopal"/>
    <s v="Ritika Ghosh"/>
    <x v="0"/>
    <x v="3"/>
    <s v="Washing Machines"/>
    <s v="Lg 6.5Kg Washing Machine"/>
    <x v="2"/>
    <s v="Cancelled"/>
    <n v="9"/>
    <n v="29010"/>
    <n v="0.08"/>
    <n v="19150"/>
    <n v="261089.92000000001"/>
    <n v="172350"/>
    <n v="88739.920000000013"/>
    <n v="0.33988259676972593"/>
  </r>
  <r>
    <s v="ORD-114773"/>
    <x v="594"/>
    <x v="1"/>
    <s v="November"/>
    <x v="1"/>
    <s v="Pune"/>
    <s v="Sourav Das"/>
    <x v="1"/>
    <x v="0"/>
    <s v="Footwear"/>
    <s v="Puma Sneakers"/>
    <x v="0"/>
    <s v="Delivered"/>
    <n v="37"/>
    <n v="4499"/>
    <n v="0.05"/>
    <n v="2910"/>
    <n v="166462.95000000001"/>
    <n v="107670"/>
    <n v="58792.950000000012"/>
    <n v="0.35318940340778537"/>
  </r>
  <r>
    <s v="ORD-114945"/>
    <x v="594"/>
    <x v="1"/>
    <s v="November"/>
    <x v="0"/>
    <s v="Ranchi"/>
    <s v="Kartik Raman"/>
    <x v="1"/>
    <x v="1"/>
    <s v="Sofas"/>
    <s v="3-Seater Sofa"/>
    <x v="2"/>
    <s v="Delivered"/>
    <n v="14"/>
    <n v="38990"/>
    <n v="0.05"/>
    <n v="25400"/>
    <n v="545859.94999999995"/>
    <n v="355600"/>
    <n v="190259.94999999995"/>
    <n v="0.3485508508180532"/>
  </r>
  <r>
    <s v="ORD-115215"/>
    <x v="594"/>
    <x v="1"/>
    <s v="November"/>
    <x v="0"/>
    <s v="Kolkata"/>
    <s v="Simran Kaur"/>
    <x v="0"/>
    <x v="4"/>
    <s v="Fitness Equipment"/>
    <s v="Dumbbell Set"/>
    <x v="0"/>
    <s v="Pending"/>
    <n v="29"/>
    <n v="3499"/>
    <n v="0.2"/>
    <n v="2190"/>
    <n v="101470.8"/>
    <n v="63510"/>
    <n v="37960.800000000003"/>
    <n v="0.37410565404037421"/>
  </r>
  <r>
    <s v="ORD-114901"/>
    <x v="595"/>
    <x v="1"/>
    <s v="November"/>
    <x v="4"/>
    <s v="Hyderabad"/>
    <s v="Simran Kaur"/>
    <x v="2"/>
    <x v="0"/>
    <s v="Apparel"/>
    <s v="Denim Jeans"/>
    <x v="1"/>
    <s v="Delivered"/>
    <n v="21"/>
    <n v="2499"/>
    <n v="0.05"/>
    <n v="1510"/>
    <n v="52478.95"/>
    <n v="31710"/>
    <n v="20768.949999999997"/>
    <n v="0.395757727622218"/>
  </r>
  <r>
    <s v="ORD-115034"/>
    <x v="595"/>
    <x v="1"/>
    <s v="November"/>
    <x v="3"/>
    <s v="Chandigarh"/>
    <s v="Pooja Chouhan"/>
    <x v="2"/>
    <x v="4"/>
    <s v="Fitness Equipment"/>
    <s v="Resistance Bands"/>
    <x v="2"/>
    <s v="Delivered"/>
    <n v="9"/>
    <n v="999"/>
    <n v="0.12"/>
    <n v="540"/>
    <n v="8990.8799999999992"/>
    <n v="4860"/>
    <n v="4130.8799999999992"/>
    <n v="0.45945224494154069"/>
  </r>
  <r>
    <s v="ORD-115038"/>
    <x v="595"/>
    <x v="1"/>
    <s v="November"/>
    <x v="1"/>
    <s v="Mumbai"/>
    <s v="Sourav Das"/>
    <x v="1"/>
    <x v="0"/>
    <s v="Footwear"/>
    <s v="Nike Running Shoes"/>
    <x v="0"/>
    <s v="Cancelled"/>
    <n v="25"/>
    <n v="6499"/>
    <n v="0.1"/>
    <n v="4210"/>
    <n v="162474.9"/>
    <n v="105250"/>
    <n v="57224.899999999994"/>
    <n v="0.35220763330212851"/>
  </r>
  <r>
    <s v="ORD-114895"/>
    <x v="596"/>
    <x v="1"/>
    <s v="November"/>
    <x v="4"/>
    <s v="Chennai"/>
    <s v="Pooja Chouhan"/>
    <x v="2"/>
    <x v="3"/>
    <s v="Kitchen Appliances"/>
    <s v="Philips Air Fryer"/>
    <x v="2"/>
    <s v="Cancelled"/>
    <n v="40"/>
    <n v="7299"/>
    <n v="0.05"/>
    <n v="5010"/>
    <n v="291959.95"/>
    <n v="200400"/>
    <n v="91559.950000000012"/>
    <n v="0.31360448582074357"/>
  </r>
  <r>
    <s v="ORD-115193"/>
    <x v="596"/>
    <x v="1"/>
    <s v="November"/>
    <x v="3"/>
    <s v="Jaipur"/>
    <s v="Neha Deshpande"/>
    <x v="1"/>
    <x v="2"/>
    <s v="Audio Devices"/>
    <s v="Jbl Tune 510Bt"/>
    <x v="0"/>
    <s v="Delivered"/>
    <n v="5"/>
    <n v="3299"/>
    <n v="0.1"/>
    <n v="2050"/>
    <n v="16494.900000000001"/>
    <n v="10250"/>
    <n v="6244.9000000000015"/>
    <n v="0.37859580840138474"/>
  </r>
  <r>
    <s v="ORD-115461"/>
    <x v="596"/>
    <x v="1"/>
    <s v="November"/>
    <x v="1"/>
    <s v="Mumbai"/>
    <s v="Rahul Singh"/>
    <x v="1"/>
    <x v="2"/>
    <s v="Mobiles"/>
    <s v="Oneplus Nord Ce 3"/>
    <x v="2"/>
    <s v="Cancelled"/>
    <n v="14"/>
    <n v="25999"/>
    <n v="0.05"/>
    <n v="17800"/>
    <n v="363985.95"/>
    <n v="249200"/>
    <n v="114785.95000000001"/>
    <n v="0.315358188963063"/>
  </r>
  <r>
    <s v="ORD-115078"/>
    <x v="597"/>
    <x v="1"/>
    <s v="November"/>
    <x v="3"/>
    <s v="Chandigarh"/>
    <s v="Imran Sheikh"/>
    <x v="2"/>
    <x v="0"/>
    <s v="Apparel"/>
    <s v="Men'S Casual Shirt"/>
    <x v="0"/>
    <s v="Delivered"/>
    <n v="13"/>
    <n v="1899"/>
    <n v="0.12"/>
    <n v="1080"/>
    <n v="24686.880000000001"/>
    <n v="14040"/>
    <n v="10646.880000000001"/>
    <n v="0.43127685637067142"/>
  </r>
  <r>
    <s v="ORD-115093"/>
    <x v="597"/>
    <x v="1"/>
    <s v="November"/>
    <x v="3"/>
    <s v="Delhi"/>
    <s v="Aditya Verma"/>
    <x v="2"/>
    <x v="3"/>
    <s v="Refrigerators"/>
    <s v="Whirlpool 265L Refrigerator"/>
    <x v="2"/>
    <s v="Delivered"/>
    <n v="15"/>
    <n v="27890"/>
    <n v="0.18"/>
    <n v="18800"/>
    <n v="418349.82"/>
    <n v="282000"/>
    <n v="136349.82"/>
    <n v="0.32592297995969022"/>
  </r>
  <r>
    <s v="ORD-115376"/>
    <x v="597"/>
    <x v="1"/>
    <s v="November"/>
    <x v="1"/>
    <s v="Pune"/>
    <s v="Aditya Verma"/>
    <x v="2"/>
    <x v="1"/>
    <s v="Tables"/>
    <s v="Office Work Table"/>
    <x v="1"/>
    <s v="Cancelled"/>
    <n v="14"/>
    <n v="12490"/>
    <n v="0.15"/>
    <n v="7900"/>
    <n v="174859.85"/>
    <n v="110600"/>
    <n v="64259.850000000006"/>
    <n v="0.36749345261362171"/>
  </r>
  <r>
    <s v="ORD-114876"/>
    <x v="598"/>
    <x v="1"/>
    <s v="November"/>
    <x v="2"/>
    <s v="Ujjain"/>
    <s v="Pooja Chouhan"/>
    <x v="1"/>
    <x v="1"/>
    <s v="Sofas"/>
    <s v="3-Seater Sofa"/>
    <x v="1"/>
    <s v="Delivered"/>
    <n v="25"/>
    <n v="38990"/>
    <n v="0.08"/>
    <n v="25400"/>
    <n v="974749.92"/>
    <n v="635000"/>
    <n v="339749.92000000004"/>
    <n v="0.34855085702392263"/>
  </r>
  <r>
    <s v="ORD-114998"/>
    <x v="598"/>
    <x v="1"/>
    <s v="November"/>
    <x v="3"/>
    <s v="Chandigarh"/>
    <s v="Sourav Das"/>
    <x v="1"/>
    <x v="4"/>
    <s v="Fitness Equipment"/>
    <s v="Resistance Bands"/>
    <x v="2"/>
    <s v="Cancelled"/>
    <n v="21"/>
    <n v="999"/>
    <n v="0.18"/>
    <n v="540"/>
    <n v="20978.82"/>
    <n v="11340"/>
    <n v="9638.82"/>
    <n v="0.4594548215771907"/>
  </r>
  <r>
    <s v="ORD-115279"/>
    <x v="599"/>
    <x v="1"/>
    <s v="November"/>
    <x v="4"/>
    <s v="Kochi"/>
    <s v="Rahul Singh"/>
    <x v="2"/>
    <x v="2"/>
    <s v="Audio Devices"/>
    <s v="Jbl Tune 510Bt"/>
    <x v="1"/>
    <s v="Returned"/>
    <n v="29"/>
    <n v="3299"/>
    <n v="0.2"/>
    <n v="2050"/>
    <n v="95670.8"/>
    <n v="59450"/>
    <n v="36220.800000000003"/>
    <n v="0.37859827659014039"/>
  </r>
  <r>
    <s v="ORD-115046"/>
    <x v="600"/>
    <x v="1"/>
    <s v="November"/>
    <x v="3"/>
    <s v="Jaipur"/>
    <s v="Anjali Mehta"/>
    <x v="1"/>
    <x v="4"/>
    <s v="Fitness Equipment"/>
    <s v="Resistance Bands"/>
    <x v="2"/>
    <s v="Delivered"/>
    <n v="39"/>
    <n v="999"/>
    <n v="0.2"/>
    <n v="540"/>
    <n v="38960.800000000003"/>
    <n v="21060"/>
    <n v="17900.800000000003"/>
    <n v="0.45945668466766598"/>
  </r>
  <r>
    <s v="ORD-115216"/>
    <x v="600"/>
    <x v="1"/>
    <s v="November"/>
    <x v="4"/>
    <s v="Bengaluru"/>
    <s v="Imran Sheikh"/>
    <x v="0"/>
    <x v="3"/>
    <s v="Refrigerators"/>
    <s v="Whirlpool 265L Refrigerator"/>
    <x v="1"/>
    <s v="Returned"/>
    <n v="28"/>
    <n v="27890"/>
    <n v="0.1"/>
    <n v="18800"/>
    <n v="780919.9"/>
    <n v="526400"/>
    <n v="254519.90000000002"/>
    <n v="0.32592318367095013"/>
  </r>
  <r>
    <s v="ORD-115439"/>
    <x v="600"/>
    <x v="1"/>
    <s v="November"/>
    <x v="2"/>
    <s v="Raipur"/>
    <s v="Kartik Raman"/>
    <x v="1"/>
    <x v="1"/>
    <s v="Sofas"/>
    <s v="3-Seater Sofa"/>
    <x v="2"/>
    <s v="Pending"/>
    <n v="35"/>
    <n v="38990"/>
    <n v="0.08"/>
    <n v="25400"/>
    <n v="1364649.92"/>
    <n v="889000"/>
    <n v="475649.91999999993"/>
    <n v="0.34855087229990822"/>
  </r>
  <r>
    <s v="ORD-115309"/>
    <x v="601"/>
    <x v="1"/>
    <s v="November"/>
    <x v="1"/>
    <s v="Ahmedabad"/>
    <s v="Aditya Verma"/>
    <x v="2"/>
    <x v="2"/>
    <s v="Audio Devices"/>
    <s v="Sony Wh-Ch520"/>
    <x v="2"/>
    <s v="Cancelled"/>
    <n v="2"/>
    <n v="4490"/>
    <n v="0.1"/>
    <n v="2950"/>
    <n v="8979.9"/>
    <n v="5900"/>
    <n v="3079.8999999999996"/>
    <n v="0.34297709328611675"/>
  </r>
  <r>
    <s v="ORD-114930"/>
    <x v="602"/>
    <x v="1"/>
    <s v="November"/>
    <x v="0"/>
    <s v="Bhubaneswar"/>
    <s v="Anjali Mehta"/>
    <x v="2"/>
    <x v="4"/>
    <s v="Fitness Equipment"/>
    <s v="Yoga Mat"/>
    <x v="0"/>
    <s v="Delivered"/>
    <n v="17"/>
    <n v="1299"/>
    <n v="0.12"/>
    <n v="720"/>
    <n v="22082.880000000001"/>
    <n v="12240"/>
    <n v="9842.880000000001"/>
    <n v="0.4457244707212103"/>
  </r>
  <r>
    <s v="ORD-115154"/>
    <x v="602"/>
    <x v="1"/>
    <s v="November"/>
    <x v="4"/>
    <s v="Chennai"/>
    <s v="Imran Sheikh"/>
    <x v="2"/>
    <x v="2"/>
    <s v="Laptops"/>
    <s v="Hp 15S"/>
    <x v="0"/>
    <s v="Pending"/>
    <n v="24"/>
    <n v="48500"/>
    <n v="0.18"/>
    <n v="30200"/>
    <n v="1163999.82"/>
    <n v="724800"/>
    <n v="439199.82000000007"/>
    <n v="0.37731949133806569"/>
  </r>
  <r>
    <s v="ORD-115263"/>
    <x v="602"/>
    <x v="1"/>
    <s v="November"/>
    <x v="1"/>
    <s v="Surat"/>
    <s v="Pooja Chouhan"/>
    <x v="0"/>
    <x v="0"/>
    <s v="Footwear"/>
    <s v="Adidas Sports Shoes"/>
    <x v="2"/>
    <s v="Returned"/>
    <n v="33"/>
    <n v="5999"/>
    <n v="0.18"/>
    <n v="3890"/>
    <n v="197966.82"/>
    <n v="128370"/>
    <n v="69596.820000000007"/>
    <n v="0.35155800350786059"/>
  </r>
  <r>
    <s v="ORD-114924"/>
    <x v="603"/>
    <x v="1"/>
    <s v="November"/>
    <x v="4"/>
    <s v="Kochi"/>
    <s v="Pooja Chouhan"/>
    <x v="0"/>
    <x v="4"/>
    <s v="Fitness Equipment"/>
    <s v="Yoga Mat"/>
    <x v="0"/>
    <s v="Pending"/>
    <n v="35"/>
    <n v="1299"/>
    <n v="0.18"/>
    <n v="720"/>
    <n v="45464.82"/>
    <n v="25200"/>
    <n v="20264.82"/>
    <n v="0.44572528825584262"/>
  </r>
  <r>
    <s v="ORD-115397"/>
    <x v="603"/>
    <x v="1"/>
    <s v="November"/>
    <x v="2"/>
    <s v="Raipur"/>
    <s v="Neha Deshpande"/>
    <x v="2"/>
    <x v="1"/>
    <s v="Tables"/>
    <s v="Study Table"/>
    <x v="1"/>
    <s v="Cancelled"/>
    <n v="7"/>
    <n v="6999"/>
    <n v="0.15"/>
    <n v="4320"/>
    <n v="48992.85"/>
    <n v="30240"/>
    <n v="18752.849999999999"/>
    <n v="0.38276707723678044"/>
  </r>
  <r>
    <s v="ORD-114801"/>
    <x v="604"/>
    <x v="1"/>
    <s v="December"/>
    <x v="0"/>
    <s v="Ranchi"/>
    <s v="Aditya Verma"/>
    <x v="2"/>
    <x v="0"/>
    <s v="Apparel"/>
    <s v="Men'S Casual Shirt"/>
    <x v="1"/>
    <s v="Cancelled"/>
    <n v="40"/>
    <n v="1899"/>
    <n v="0.1"/>
    <n v="1080"/>
    <n v="75959.899999999994"/>
    <n v="43200"/>
    <n v="32759.899999999994"/>
    <n v="0.43127887214174843"/>
  </r>
  <r>
    <s v="ORD-115134"/>
    <x v="604"/>
    <x v="1"/>
    <s v="December"/>
    <x v="0"/>
    <s v="Bhubaneswar"/>
    <s v="Imran Sheikh"/>
    <x v="0"/>
    <x v="2"/>
    <s v="Audio Devices"/>
    <s v="Jbl Tune 510Bt"/>
    <x v="2"/>
    <s v="Delivered"/>
    <n v="17"/>
    <n v="3299"/>
    <n v="0.2"/>
    <n v="2050"/>
    <n v="56082.8"/>
    <n v="34850"/>
    <n v="21232.800000000003"/>
    <n v="0.37859735961827873"/>
  </r>
  <r>
    <s v="ORD-114833"/>
    <x v="605"/>
    <x v="1"/>
    <s v="December"/>
    <x v="4"/>
    <s v="Chennai"/>
    <s v="Aditya Verma"/>
    <x v="1"/>
    <x v="3"/>
    <s v="Washing Machines"/>
    <s v="Samsung 7Kg Washing Machine"/>
    <x v="1"/>
    <s v="Returned"/>
    <n v="9"/>
    <n v="32800"/>
    <n v="0.12"/>
    <n v="23100"/>
    <n v="295199.88"/>
    <n v="207900"/>
    <n v="87299.88"/>
    <n v="0.29573142102903294"/>
  </r>
  <r>
    <s v="ORD-114753"/>
    <x v="606"/>
    <x v="1"/>
    <s v="December"/>
    <x v="3"/>
    <s v="Delhi"/>
    <s v="Sourav Das"/>
    <x v="1"/>
    <x v="2"/>
    <s v="Laptops"/>
    <s v="Lenovo Ideapad 3"/>
    <x v="2"/>
    <s v="Cancelled"/>
    <n v="26"/>
    <n v="48990"/>
    <n v="0.2"/>
    <n v="30100"/>
    <n v="1273739.8"/>
    <n v="782600"/>
    <n v="491139.80000000005"/>
    <n v="0.38558879921943245"/>
  </r>
  <r>
    <s v="ORD-114871"/>
    <x v="606"/>
    <x v="1"/>
    <s v="December"/>
    <x v="0"/>
    <s v="Ranchi"/>
    <s v="Pooja Chouhan"/>
    <x v="0"/>
    <x v="1"/>
    <s v="Tables"/>
    <s v="Study Table"/>
    <x v="1"/>
    <s v="Cancelled"/>
    <n v="15"/>
    <n v="6999"/>
    <n v="0.05"/>
    <n v="4320"/>
    <n v="104984.95"/>
    <n v="64800"/>
    <n v="40184.949999999997"/>
    <n v="0.38276867303361101"/>
  </r>
  <r>
    <s v="ORD-115316"/>
    <x v="606"/>
    <x v="1"/>
    <s v="December"/>
    <x v="1"/>
    <s v="Surat"/>
    <s v="Anjali Mehta"/>
    <x v="2"/>
    <x v="2"/>
    <s v="Mobiles"/>
    <s v="Samsung Galaxy M34"/>
    <x v="2"/>
    <s v="Delivered"/>
    <n v="9"/>
    <n v="22999"/>
    <n v="0.1"/>
    <n v="15100"/>
    <n v="206990.9"/>
    <n v="135900"/>
    <n v="71090.899999999994"/>
    <n v="0.34344939801701424"/>
  </r>
  <r>
    <s v="ORD-115410"/>
    <x v="606"/>
    <x v="1"/>
    <s v="December"/>
    <x v="4"/>
    <s v="Bengaluru"/>
    <s v="Aditya Verma"/>
    <x v="2"/>
    <x v="1"/>
    <s v="Sofas"/>
    <s v="3-Seater Sofa"/>
    <x v="2"/>
    <s v="Delivered"/>
    <n v="3"/>
    <n v="38990"/>
    <n v="0.1"/>
    <n v="25400"/>
    <n v="116969.9"/>
    <n v="76200"/>
    <n v="40769.899999999994"/>
    <n v="0.34855035355249508"/>
  </r>
  <r>
    <s v="ORD-114853"/>
    <x v="607"/>
    <x v="1"/>
    <s v="December"/>
    <x v="2"/>
    <s v="Raipur"/>
    <s v="Pooja Chouhan"/>
    <x v="1"/>
    <x v="3"/>
    <s v="Kitchen Appliances"/>
    <s v="Philips Air Fryer"/>
    <x v="2"/>
    <s v="Delivered"/>
    <n v="15"/>
    <n v="7299"/>
    <n v="0.1"/>
    <n v="5010"/>
    <n v="109484.9"/>
    <n v="75150"/>
    <n v="34334.899999999994"/>
    <n v="0.31360397643876003"/>
  </r>
  <r>
    <s v="ORD-115290"/>
    <x v="607"/>
    <x v="1"/>
    <s v="December"/>
    <x v="3"/>
    <s v="Delhi"/>
    <s v="Aditya Verma"/>
    <x v="1"/>
    <x v="1"/>
    <s v="Sofas"/>
    <s v="L-Shape Sofa"/>
    <x v="0"/>
    <s v="Cancelled"/>
    <n v="3"/>
    <n v="52990"/>
    <n v="0.2"/>
    <n v="35100"/>
    <n v="158969.79999999999"/>
    <n v="105300"/>
    <n v="53669.799999999988"/>
    <n v="0.3376100366233083"/>
  </r>
  <r>
    <s v="ORD-115467"/>
    <x v="607"/>
    <x v="1"/>
    <s v="December"/>
    <x v="3"/>
    <s v="Lucknow"/>
    <s v="Neha Deshpande"/>
    <x v="1"/>
    <x v="4"/>
    <s v="Fitness Equipment"/>
    <s v="Dumbbell Set"/>
    <x v="2"/>
    <s v="Pending"/>
    <n v="11"/>
    <n v="3499"/>
    <n v="0.1"/>
    <n v="2190"/>
    <n v="38488.9"/>
    <n v="24090"/>
    <n v="14398.900000000001"/>
    <n v="0.37410526151695683"/>
  </r>
  <r>
    <s v="ORD-115169"/>
    <x v="608"/>
    <x v="1"/>
    <s v="December"/>
    <x v="0"/>
    <s v="Patna"/>
    <s v="Simran Kaur"/>
    <x v="0"/>
    <x v="3"/>
    <s v="Refrigerators"/>
    <s v="Samsung 253L Refrigerator"/>
    <x v="1"/>
    <s v="Delivered"/>
    <n v="30"/>
    <n v="31490"/>
    <n v="0.1"/>
    <n v="21300"/>
    <n v="944699.9"/>
    <n v="639000"/>
    <n v="305699.90000000002"/>
    <n v="0.32359472039745107"/>
  </r>
  <r>
    <s v="ORD-115293"/>
    <x v="608"/>
    <x v="1"/>
    <s v="December"/>
    <x v="4"/>
    <s v="Hyderabad"/>
    <s v="Imran Sheikh"/>
    <x v="1"/>
    <x v="4"/>
    <s v="Fitness Equipment"/>
    <s v="Dumbbell Set"/>
    <x v="1"/>
    <s v="Delivered"/>
    <n v="37"/>
    <n v="3499"/>
    <n v="0.15"/>
    <n v="2190"/>
    <n v="129462.85"/>
    <n v="81030"/>
    <n v="48432.850000000006"/>
    <n v="0.37410616250144352"/>
  </r>
  <r>
    <s v="ORD-115476"/>
    <x v="608"/>
    <x v="1"/>
    <s v="December"/>
    <x v="0"/>
    <s v="Kolkata"/>
    <s v="Aditya Verma"/>
    <x v="1"/>
    <x v="2"/>
    <s v="Laptops"/>
    <s v="Dell Inspiron 3511"/>
    <x v="2"/>
    <s v="Delivered"/>
    <n v="28"/>
    <n v="55230"/>
    <n v="0.1"/>
    <n v="33800"/>
    <n v="1546439.9"/>
    <n v="946400"/>
    <n v="600039.89999999991"/>
    <n v="0.38801372106345672"/>
  </r>
  <r>
    <s v="ORD-115076"/>
    <x v="609"/>
    <x v="1"/>
    <s v="December"/>
    <x v="2"/>
    <s v="Bhopal"/>
    <s v="Simran Kaur"/>
    <x v="0"/>
    <x v="1"/>
    <s v="Sofas"/>
    <s v="Single Seater Recliner"/>
    <x v="2"/>
    <s v="Delivered"/>
    <n v="22"/>
    <n v="43500"/>
    <n v="0.15"/>
    <n v="29520"/>
    <n v="956999.85"/>
    <n v="649440"/>
    <n v="307559.84999999998"/>
    <n v="0.32137920397793163"/>
  </r>
  <r>
    <s v="ORD-115208"/>
    <x v="610"/>
    <x v="1"/>
    <s v="December"/>
    <x v="2"/>
    <s v="Ujjain"/>
    <s v="Neha Deshpande"/>
    <x v="2"/>
    <x v="1"/>
    <s v="Tables"/>
    <s v="Office Work Table"/>
    <x v="0"/>
    <s v="Delivered"/>
    <n v="34"/>
    <n v="12490"/>
    <n v="0.05"/>
    <n v="7900"/>
    <n v="424659.95"/>
    <n v="268600"/>
    <n v="156059.95000000001"/>
    <n v="0.36749392072409937"/>
  </r>
  <r>
    <s v="ORD-115273"/>
    <x v="610"/>
    <x v="1"/>
    <s v="December"/>
    <x v="4"/>
    <s v="Hyderabad"/>
    <s v="Simran Kaur"/>
    <x v="0"/>
    <x v="4"/>
    <s v="Fitness Equipment"/>
    <s v="Resistance Bands"/>
    <x v="0"/>
    <s v="Delivered"/>
    <n v="13"/>
    <n v="999"/>
    <n v="0.1"/>
    <n v="540"/>
    <n v="12986.9"/>
    <n v="7020"/>
    <n v="5966.9"/>
    <n v="0.45945529726108614"/>
  </r>
  <r>
    <s v="ORD-115336"/>
    <x v="610"/>
    <x v="1"/>
    <s v="December"/>
    <x v="1"/>
    <s v="Ahmedabad"/>
    <s v="Aditya Verma"/>
    <x v="2"/>
    <x v="2"/>
    <s v="Laptops"/>
    <s v="Lenovo Ideapad 3"/>
    <x v="0"/>
    <s v="Pending"/>
    <n v="24"/>
    <n v="48990"/>
    <n v="0.08"/>
    <n v="30100"/>
    <n v="1175759.92"/>
    <n v="722400"/>
    <n v="453359.91999999993"/>
    <n v="0.38558885388779024"/>
  </r>
  <r>
    <s v="ORD-115416"/>
    <x v="610"/>
    <x v="1"/>
    <s v="December"/>
    <x v="3"/>
    <s v="Delhi"/>
    <s v="Neha Deshpande"/>
    <x v="2"/>
    <x v="2"/>
    <s v="Laptops"/>
    <s v="Lenovo Ideapad 3"/>
    <x v="0"/>
    <s v="Cancelled"/>
    <n v="22"/>
    <n v="48990"/>
    <n v="0.2"/>
    <n v="30100"/>
    <n v="1077779.8"/>
    <n v="662200"/>
    <n v="415579.80000000005"/>
    <n v="0.3855887816787808"/>
  </r>
  <r>
    <s v="ORD-114827"/>
    <x v="611"/>
    <x v="1"/>
    <s v="December"/>
    <x v="2"/>
    <s v="Ujjain"/>
    <s v="Sourav Das"/>
    <x v="0"/>
    <x v="3"/>
    <s v="Kitchen Appliances"/>
    <s v="Bajaj Otg"/>
    <x v="1"/>
    <s v="Delivered"/>
    <n v="22"/>
    <n v="5890"/>
    <n v="0.08"/>
    <n v="3980"/>
    <n v="129579.92"/>
    <n v="87560"/>
    <n v="42019.92"/>
    <n v="0.32427802085384833"/>
  </r>
  <r>
    <s v="ORD-115072"/>
    <x v="611"/>
    <x v="1"/>
    <s v="December"/>
    <x v="4"/>
    <s v="Chennai"/>
    <s v="Neha Deshpande"/>
    <x v="2"/>
    <x v="2"/>
    <s v="Laptops"/>
    <s v="Hp 15S"/>
    <x v="2"/>
    <s v="Cancelled"/>
    <n v="10"/>
    <n v="48500"/>
    <n v="0.05"/>
    <n v="30200"/>
    <n v="484999.95"/>
    <n v="302000"/>
    <n v="182999.95"/>
    <n v="0.37731952343500241"/>
  </r>
  <r>
    <s v="ORD-115098"/>
    <x v="611"/>
    <x v="1"/>
    <s v="December"/>
    <x v="2"/>
    <s v="Indore"/>
    <s v="Simran Kaur"/>
    <x v="0"/>
    <x v="1"/>
    <s v="Sofas"/>
    <s v="L-Shape Sofa"/>
    <x v="1"/>
    <s v="Pending"/>
    <n v="32"/>
    <n v="52990"/>
    <n v="0.1"/>
    <n v="35100"/>
    <n v="1695679.9"/>
    <n v="1123200"/>
    <n v="572479.89999999991"/>
    <n v="0.33761083091213145"/>
  </r>
  <r>
    <s v="ORD-114921"/>
    <x v="612"/>
    <x v="1"/>
    <s v="December"/>
    <x v="1"/>
    <s v="Ahmedabad"/>
    <s v="Simran Kaur"/>
    <x v="0"/>
    <x v="2"/>
    <s v="Laptops"/>
    <s v="Hp 15S"/>
    <x v="1"/>
    <s v="Delivered"/>
    <n v="32"/>
    <n v="48500"/>
    <n v="0.18"/>
    <n v="30200"/>
    <n v="1551999.82"/>
    <n v="966400"/>
    <n v="585599.82000000007"/>
    <n v="0.37731951541076858"/>
  </r>
  <r>
    <s v="ORD-115378"/>
    <x v="612"/>
    <x v="1"/>
    <s v="December"/>
    <x v="4"/>
    <s v="Kochi"/>
    <s v="Aditya Verma"/>
    <x v="0"/>
    <x v="0"/>
    <s v="Footwear"/>
    <s v="Nike Running Shoes"/>
    <x v="1"/>
    <s v="Pending"/>
    <n v="16"/>
    <n v="6499"/>
    <n v="0.15"/>
    <n v="4210"/>
    <n v="103983.85"/>
    <n v="67360"/>
    <n v="36623.850000000006"/>
    <n v="0.35220709754447449"/>
  </r>
  <r>
    <s v="ORD-115233"/>
    <x v="613"/>
    <x v="1"/>
    <s v="December"/>
    <x v="3"/>
    <s v="Chandigarh"/>
    <s v="Neha Deshpande"/>
    <x v="1"/>
    <x v="4"/>
    <s v="Fitness Equipment"/>
    <s v="Resistance Bands"/>
    <x v="2"/>
    <s v="Delivered"/>
    <n v="32"/>
    <n v="999"/>
    <n v="0.18"/>
    <n v="540"/>
    <n v="31967.82"/>
    <n v="17280"/>
    <n v="14687.82"/>
    <n v="0.45945641585819741"/>
  </r>
  <r>
    <s v="ORD-114812"/>
    <x v="614"/>
    <x v="1"/>
    <s v="December"/>
    <x v="3"/>
    <s v="Chandigarh"/>
    <s v="Ritika Ghosh"/>
    <x v="1"/>
    <x v="1"/>
    <s v="Tables"/>
    <s v="Office Work Table"/>
    <x v="0"/>
    <s v="Delivered"/>
    <n v="13"/>
    <n v="12490"/>
    <n v="0.2"/>
    <n v="7900"/>
    <n v="162369.79999999999"/>
    <n v="102700"/>
    <n v="59669.799999999988"/>
    <n v="0.36749321610299446"/>
  </r>
  <r>
    <s v="ORD-114936"/>
    <x v="614"/>
    <x v="1"/>
    <s v="December"/>
    <x v="2"/>
    <s v="Bhopal"/>
    <s v="Imran Sheikh"/>
    <x v="1"/>
    <x v="2"/>
    <s v="Laptops"/>
    <s v="Dell Inspiron 3511"/>
    <x v="2"/>
    <s v="Delivered"/>
    <n v="23"/>
    <n v="55230"/>
    <n v="0.2"/>
    <n v="33800"/>
    <n v="1270289.8"/>
    <n v="777400"/>
    <n v="492889.80000000005"/>
    <n v="0.38801366428353595"/>
  </r>
  <r>
    <s v="ORD-115221"/>
    <x v="614"/>
    <x v="1"/>
    <s v="December"/>
    <x v="1"/>
    <s v="Surat"/>
    <s v="Sourav Das"/>
    <x v="0"/>
    <x v="3"/>
    <s v="Washing Machines"/>
    <s v="Ifb 7Kg Washing Machine"/>
    <x v="2"/>
    <s v="Pending"/>
    <n v="22"/>
    <n v="31990"/>
    <n v="0.12"/>
    <n v="21800"/>
    <n v="703779.88"/>
    <n v="479600"/>
    <n v="224179.88"/>
    <n v="0.31853692663109379"/>
  </r>
  <r>
    <s v="ORD-115399"/>
    <x v="615"/>
    <x v="1"/>
    <s v="December"/>
    <x v="2"/>
    <s v="Raipur"/>
    <s v="Anjali Mehta"/>
    <x v="0"/>
    <x v="2"/>
    <s v="Audio Devices"/>
    <s v="Boat Airdopes 131"/>
    <x v="2"/>
    <s v="Pending"/>
    <n v="12"/>
    <n v="1930"/>
    <n v="0.1"/>
    <n v="1120"/>
    <n v="23159.9"/>
    <n v="13440"/>
    <n v="9719.9000000000015"/>
    <n v="0.41968661350005831"/>
  </r>
  <r>
    <s v="ORD-115356"/>
    <x v="616"/>
    <x v="1"/>
    <s v="December"/>
    <x v="3"/>
    <s v="Chandigarh"/>
    <s v="Pooja Chouhan"/>
    <x v="2"/>
    <x v="0"/>
    <s v="Footwear"/>
    <s v="Adidas Sports Shoes"/>
    <x v="2"/>
    <s v="Returned"/>
    <n v="10"/>
    <n v="5999"/>
    <n v="0.05"/>
    <n v="3890"/>
    <n v="59989.95"/>
    <n v="38900"/>
    <n v="21089.949999999997"/>
    <n v="0.3515580526404839"/>
  </r>
  <r>
    <s v="ORD-115422"/>
    <x v="616"/>
    <x v="1"/>
    <s v="December"/>
    <x v="1"/>
    <s v="Ahmedabad"/>
    <s v="Aditya Verma"/>
    <x v="0"/>
    <x v="1"/>
    <s v="Sofas"/>
    <s v="L-Shape Sofa"/>
    <x v="1"/>
    <s v="Pending"/>
    <n v="1"/>
    <n v="52990"/>
    <n v="0.18"/>
    <n v="35100"/>
    <n v="52989.82"/>
    <n v="35100"/>
    <n v="17889.82"/>
    <n v="0.3376086199198261"/>
  </r>
  <r>
    <s v="ORD-114953"/>
    <x v="617"/>
    <x v="1"/>
    <s v="December"/>
    <x v="2"/>
    <s v="Raipur"/>
    <s v="Anjali Mehta"/>
    <x v="1"/>
    <x v="2"/>
    <s v="Laptops"/>
    <s v="Hp 15S"/>
    <x v="1"/>
    <s v="Delivered"/>
    <n v="33"/>
    <n v="48500"/>
    <n v="0.05"/>
    <n v="30200"/>
    <n v="1600499.95"/>
    <n v="996600"/>
    <n v="603899.94999999995"/>
    <n v="0.37731956817618145"/>
  </r>
  <r>
    <s v="ORD-114982"/>
    <x v="617"/>
    <x v="1"/>
    <s v="December"/>
    <x v="4"/>
    <s v="Bengaluru"/>
    <s v="Aditya Verma"/>
    <x v="1"/>
    <x v="3"/>
    <s v="Washing Machines"/>
    <s v="Lg 6.5Kg Washing Machine"/>
    <x v="1"/>
    <s v="Delivered"/>
    <n v="19"/>
    <n v="29010"/>
    <n v="0.08"/>
    <n v="19150"/>
    <n v="551189.92000000004"/>
    <n v="363850"/>
    <n v="187339.92000000004"/>
    <n v="0.33988270322505176"/>
  </r>
  <r>
    <s v="ORD-115088"/>
    <x v="617"/>
    <x v="1"/>
    <s v="December"/>
    <x v="1"/>
    <s v="Pune"/>
    <s v="Sourav Das"/>
    <x v="0"/>
    <x v="2"/>
    <s v="Laptops"/>
    <s v="Lenovo Ideapad 3"/>
    <x v="2"/>
    <s v="Returned"/>
    <n v="21"/>
    <n v="48990"/>
    <n v="0.15"/>
    <n v="30100"/>
    <n v="1028789.85"/>
    <n v="632100"/>
    <n v="396689.85"/>
    <n v="0.38558880611040242"/>
  </r>
  <r>
    <s v="ORD-115225"/>
    <x v="617"/>
    <x v="1"/>
    <s v="December"/>
    <x v="0"/>
    <s v="Bhubaneswar"/>
    <s v="Ritika Ghosh"/>
    <x v="1"/>
    <x v="3"/>
    <s v="Kitchen Appliances"/>
    <s v="Philips Air Fryer"/>
    <x v="1"/>
    <s v="Returned"/>
    <n v="16"/>
    <n v="7299"/>
    <n v="0.08"/>
    <n v="5010"/>
    <n v="116783.92"/>
    <n v="80160"/>
    <n v="36623.919999999998"/>
    <n v="0.31360413317175856"/>
  </r>
  <r>
    <s v="ORD-115388"/>
    <x v="617"/>
    <x v="1"/>
    <s v="December"/>
    <x v="3"/>
    <s v="Chandigarh"/>
    <s v="Imran Sheikh"/>
    <x v="2"/>
    <x v="1"/>
    <s v="Tables"/>
    <s v="6-Seater Dining Table"/>
    <x v="0"/>
    <s v="Delivered"/>
    <n v="4"/>
    <n v="25110"/>
    <n v="0.05"/>
    <n v="16730"/>
    <n v="100439.95"/>
    <n v="66920"/>
    <n v="33519.949999999997"/>
    <n v="0.3337312493684037"/>
  </r>
  <r>
    <s v="ORD-114852"/>
    <x v="618"/>
    <x v="1"/>
    <s v="December"/>
    <x v="2"/>
    <s v="Raipur"/>
    <s v="Rahul Singh"/>
    <x v="1"/>
    <x v="3"/>
    <s v="Kitchen Appliances"/>
    <s v="Bajaj Otg"/>
    <x v="0"/>
    <s v="Delivered"/>
    <n v="3"/>
    <n v="5890"/>
    <n v="0.2"/>
    <n v="3980"/>
    <n v="17669.8"/>
    <n v="11940"/>
    <n v="5729.7999999999993"/>
    <n v="0.32427078970899498"/>
  </r>
  <r>
    <s v="ORD-115240"/>
    <x v="618"/>
    <x v="1"/>
    <s v="December"/>
    <x v="2"/>
    <s v="Ujjain"/>
    <s v="Anjali Mehta"/>
    <x v="2"/>
    <x v="3"/>
    <s v="Refrigerators"/>
    <s v="Samsung 253L Refrigerator"/>
    <x v="2"/>
    <s v="Delivered"/>
    <n v="23"/>
    <n v="31490"/>
    <n v="0.12"/>
    <n v="21300"/>
    <n v="724269.88"/>
    <n v="489900"/>
    <n v="234369.88"/>
    <n v="0.32359467992787438"/>
  </r>
  <r>
    <s v="ORD-115275"/>
    <x v="619"/>
    <x v="1"/>
    <s v="December"/>
    <x v="3"/>
    <s v="Jaipur"/>
    <s v="Imran Sheikh"/>
    <x v="2"/>
    <x v="3"/>
    <s v="Kitchen Appliances"/>
    <s v="Philips Air Fryer"/>
    <x v="0"/>
    <s v="Delivered"/>
    <n v="16"/>
    <n v="7299"/>
    <n v="0.08"/>
    <n v="5010"/>
    <n v="116783.92"/>
    <n v="80160"/>
    <n v="36623.919999999998"/>
    <n v="0.31360413317175856"/>
  </r>
  <r>
    <s v="ORD-114805"/>
    <x v="620"/>
    <x v="1"/>
    <s v="December"/>
    <x v="1"/>
    <s v="Ahmedabad"/>
    <s v="Aditya Verma"/>
    <x v="2"/>
    <x v="1"/>
    <s v="Sofas"/>
    <s v="Single Seater Recliner"/>
    <x v="2"/>
    <s v="Pending"/>
    <n v="22"/>
    <n v="43500"/>
    <n v="0.05"/>
    <n v="29520"/>
    <n v="956999.95"/>
    <n v="649440"/>
    <n v="307559.94999999995"/>
    <n v="0.32137927488919926"/>
  </r>
  <r>
    <s v="ORD-114838"/>
    <x v="621"/>
    <x v="1"/>
    <s v="December"/>
    <x v="2"/>
    <s v="Raipur"/>
    <s v="Kartik Raman"/>
    <x v="0"/>
    <x v="0"/>
    <s v="Apparel"/>
    <s v="Men'S Casual Shirt"/>
    <x v="2"/>
    <s v="Returned"/>
    <n v="24"/>
    <n v="1899"/>
    <n v="0.15"/>
    <n v="1080"/>
    <n v="45575.85"/>
    <n v="25920"/>
    <n v="19655.849999999999"/>
    <n v="0.43127774907105404"/>
  </r>
  <r>
    <s v="ORD-115192"/>
    <x v="621"/>
    <x v="1"/>
    <s v="December"/>
    <x v="3"/>
    <s v="Lucknow"/>
    <s v="Sourav Das"/>
    <x v="1"/>
    <x v="3"/>
    <s v="Washing Machines"/>
    <s v="Samsung 7Kg Washing Machine"/>
    <x v="1"/>
    <s v="Delivered"/>
    <n v="13"/>
    <n v="32800"/>
    <n v="0.08"/>
    <n v="23100"/>
    <n v="426399.92"/>
    <n v="300300"/>
    <n v="126099.91999999998"/>
    <n v="0.29573157518416043"/>
  </r>
  <r>
    <s v="ORD-115268"/>
    <x v="621"/>
    <x v="1"/>
    <s v="December"/>
    <x v="0"/>
    <s v="Ranchi"/>
    <s v="Imran Sheikh"/>
    <x v="2"/>
    <x v="1"/>
    <s v="Sofas"/>
    <s v="L-Shape Sofa"/>
    <x v="2"/>
    <s v="Returned"/>
    <n v="19"/>
    <n v="52990"/>
    <n v="0.08"/>
    <n v="35100"/>
    <n v="1006809.92"/>
    <n v="666900"/>
    <n v="339909.92000000004"/>
    <n v="0.33761081734276122"/>
  </r>
  <r>
    <s v="ORD-115310"/>
    <x v="621"/>
    <x v="1"/>
    <s v="December"/>
    <x v="0"/>
    <s v="Kolkata"/>
    <s v="Anjali Mehta"/>
    <x v="1"/>
    <x v="3"/>
    <s v="Refrigerators"/>
    <s v="Lg 260L Double Door"/>
    <x v="1"/>
    <s v="Pending"/>
    <n v="10"/>
    <n v="29010"/>
    <n v="0.08"/>
    <n v="19100"/>
    <n v="290099.92"/>
    <n v="191000"/>
    <n v="99099.919999999984"/>
    <n v="0.34160616107719022"/>
  </r>
  <r>
    <s v="ORD-115204"/>
    <x v="622"/>
    <x v="1"/>
    <s v="December"/>
    <x v="0"/>
    <s v="Kolkata"/>
    <s v="Imran Sheikh"/>
    <x v="0"/>
    <x v="2"/>
    <s v="Audio Devices"/>
    <s v="Jbl Tune 510Bt"/>
    <x v="0"/>
    <s v="Cancelled"/>
    <n v="26"/>
    <n v="3299"/>
    <n v="0.05"/>
    <n v="2050"/>
    <n v="85773.95"/>
    <n v="53300"/>
    <n v="32473.949999999997"/>
    <n v="0.37859921339754082"/>
  </r>
  <r>
    <s v="ORD-115347"/>
    <x v="622"/>
    <x v="1"/>
    <s v="December"/>
    <x v="3"/>
    <s v="Delhi"/>
    <s v="Aditya Verma"/>
    <x v="2"/>
    <x v="1"/>
    <s v="Sofas"/>
    <s v="L-Shape Sofa"/>
    <x v="0"/>
    <s v="Delivered"/>
    <n v="26"/>
    <n v="52990"/>
    <n v="0.15"/>
    <n v="35100"/>
    <n v="1377739.85"/>
    <n v="912600"/>
    <n v="465139.85000000009"/>
    <n v="0.33761079785853626"/>
  </r>
  <r>
    <s v="ORD-115380"/>
    <x v="622"/>
    <x v="1"/>
    <s v="December"/>
    <x v="1"/>
    <s v="Surat"/>
    <s v="Sourav Das"/>
    <x v="0"/>
    <x v="3"/>
    <s v="Washing Machines"/>
    <s v="Lg 6.5Kg Washing Machine"/>
    <x v="0"/>
    <s v="Delivered"/>
    <n v="26"/>
    <n v="29010"/>
    <n v="0.05"/>
    <n v="19150"/>
    <n v="754259.95"/>
    <n v="497900"/>
    <n v="256359.94999999995"/>
    <n v="0.33988275527555184"/>
  </r>
  <r>
    <s v="ORD-115125"/>
    <x v="623"/>
    <x v="1"/>
    <s v="December"/>
    <x v="4"/>
    <s v="Kochi"/>
    <s v="Rahul Singh"/>
    <x v="0"/>
    <x v="4"/>
    <s v="Fitness Equipment"/>
    <s v="Resistance Bands"/>
    <x v="1"/>
    <s v="Pending"/>
    <n v="18"/>
    <n v="999"/>
    <n v="0.1"/>
    <n v="540"/>
    <n v="17981.900000000001"/>
    <n v="9720"/>
    <n v="8261.9000000000015"/>
    <n v="0.45945645343373065"/>
  </r>
  <r>
    <s v="ORD-114900"/>
    <x v="624"/>
    <x v="1"/>
    <s v="December"/>
    <x v="3"/>
    <s v="Delhi"/>
    <s v="Simran Kaur"/>
    <x v="2"/>
    <x v="0"/>
    <s v="Footwear"/>
    <s v="Nike Running Shoes"/>
    <x v="0"/>
    <s v="Delivered"/>
    <n v="34"/>
    <n v="6499"/>
    <n v="0.1"/>
    <n v="4210"/>
    <n v="220965.9"/>
    <n v="143140"/>
    <n v="77825.899999999994"/>
    <n v="0.35220773884115147"/>
  </r>
  <r>
    <s v="ORD-115069"/>
    <x v="624"/>
    <x v="1"/>
    <s v="December"/>
    <x v="3"/>
    <s v="Delhi"/>
    <s v="Imran Sheikh"/>
    <x v="0"/>
    <x v="3"/>
    <s v="Kitchen Appliances"/>
    <s v="Bajaj Otg"/>
    <x v="1"/>
    <s v="Delivered"/>
    <n v="15"/>
    <n v="5890"/>
    <n v="0.15"/>
    <n v="3980"/>
    <n v="88349.85"/>
    <n v="59700"/>
    <n v="28649.850000000006"/>
    <n v="0.32427729079336304"/>
  </r>
  <r>
    <s v="ORD-115116"/>
    <x v="625"/>
    <x v="1"/>
    <s v="December"/>
    <x v="4"/>
    <s v="Chennai"/>
    <s v="Kartik Raman"/>
    <x v="2"/>
    <x v="1"/>
    <s v="Tables"/>
    <s v="6-Seater Dining Table"/>
    <x v="2"/>
    <s v="Delivered"/>
    <n v="37"/>
    <n v="25110"/>
    <n v="0.15"/>
    <n v="16730"/>
    <n v="929069.85"/>
    <n v="619010"/>
    <n v="310059.84999999998"/>
    <n v="0.33373147347317317"/>
  </r>
  <r>
    <s v="ORD-115353"/>
    <x v="625"/>
    <x v="1"/>
    <s v="December"/>
    <x v="0"/>
    <s v="Patna"/>
    <s v="Neha Deshpande"/>
    <x v="0"/>
    <x v="3"/>
    <s v="Washing Machines"/>
    <s v="Ifb 7Kg Washing Machine"/>
    <x v="2"/>
    <s v="Delivered"/>
    <n v="9"/>
    <n v="31990"/>
    <n v="0.1"/>
    <n v="21800"/>
    <n v="287909.90000000002"/>
    <n v="196200"/>
    <n v="91709.900000000023"/>
    <n v="0.31853680613275198"/>
  </r>
  <r>
    <s v="ORD-115354"/>
    <x v="625"/>
    <x v="1"/>
    <s v="December"/>
    <x v="4"/>
    <s v="Chennai"/>
    <s v="Ritika Ghosh"/>
    <x v="2"/>
    <x v="0"/>
    <s v="Apparel"/>
    <s v="Men'S Casual Shirt"/>
    <x v="0"/>
    <s v="Delivered"/>
    <n v="23"/>
    <n v="1899"/>
    <n v="0.18"/>
    <n v="1080"/>
    <n v="43676.82"/>
    <n v="24840"/>
    <n v="18836.82"/>
    <n v="0.43127727705451085"/>
  </r>
  <r>
    <s v="ORD-114806"/>
    <x v="626"/>
    <x v="1"/>
    <s v="December"/>
    <x v="4"/>
    <s v="Bengaluru"/>
    <s v="Imran Sheikh"/>
    <x v="0"/>
    <x v="2"/>
    <s v="Laptops"/>
    <s v="Lenovo Ideapad 3"/>
    <x v="1"/>
    <s v="Cancelled"/>
    <n v="36"/>
    <n v="48990"/>
    <n v="0.18"/>
    <n v="30100"/>
    <n v="1763639.82"/>
    <n v="1083600"/>
    <n v="680039.82000000007"/>
    <n v="0.38558883298518404"/>
  </r>
  <r>
    <s v="ORD-114912"/>
    <x v="627"/>
    <x v="1"/>
    <s v="December"/>
    <x v="4"/>
    <s v="Hyderabad"/>
    <s v="Anjali Mehta"/>
    <x v="2"/>
    <x v="2"/>
    <s v="Audio Devices"/>
    <s v="Jbl Tune 510Bt"/>
    <x v="2"/>
    <s v="Pending"/>
    <n v="8"/>
    <n v="3299"/>
    <n v="0.1"/>
    <n v="2050"/>
    <n v="26391.9"/>
    <n v="16400"/>
    <n v="9991.9000000000015"/>
    <n v="0.37859722111708521"/>
  </r>
  <r>
    <s v="ORD-114804"/>
    <x v="628"/>
    <x v="1"/>
    <s v="December"/>
    <x v="2"/>
    <s v="Bhopal"/>
    <s v="Sourav Das"/>
    <x v="1"/>
    <x v="4"/>
    <s v="Fitness Equipment"/>
    <s v="Resistance Bands"/>
    <x v="2"/>
    <s v="Returned"/>
    <n v="17"/>
    <n v="999"/>
    <n v="0.2"/>
    <n v="540"/>
    <n v="16982.8"/>
    <n v="9180"/>
    <n v="7802.7999999999993"/>
    <n v="0.4594530937183503"/>
  </r>
  <r>
    <s v="ORD-114969"/>
    <x v="628"/>
    <x v="1"/>
    <s v="December"/>
    <x v="4"/>
    <s v="Bengaluru"/>
    <s v="Anjali Mehta"/>
    <x v="2"/>
    <x v="3"/>
    <s v="Refrigerators"/>
    <s v="Whirlpool 265L Refrigerator"/>
    <x v="1"/>
    <s v="Pending"/>
    <n v="30"/>
    <n v="27890"/>
    <n v="0.15"/>
    <n v="18800"/>
    <n v="836699.85"/>
    <n v="564000"/>
    <n v="272699.84999999998"/>
    <n v="0.32592314914362658"/>
  </r>
  <r>
    <s v="ORD-114979"/>
    <x v="628"/>
    <x v="1"/>
    <s v="December"/>
    <x v="3"/>
    <s v="Lucknow"/>
    <s v="Anjali Mehta"/>
    <x v="2"/>
    <x v="4"/>
    <s v="Fitness Equipment"/>
    <s v="Yoga Mat"/>
    <x v="1"/>
    <s v="Pending"/>
    <n v="22"/>
    <n v="1299"/>
    <n v="0.2"/>
    <n v="720"/>
    <n v="28577.8"/>
    <n v="15840"/>
    <n v="12737.8"/>
    <n v="0.44572360363638908"/>
  </r>
  <r>
    <s v="ORD-115042"/>
    <x v="628"/>
    <x v="1"/>
    <s v="December"/>
    <x v="4"/>
    <s v="Chennai"/>
    <s v="Ritika Ghosh"/>
    <x v="2"/>
    <x v="3"/>
    <s v="Washing Machines"/>
    <s v="Lg 6.5Kg Washing Machine"/>
    <x v="2"/>
    <s v="Delivered"/>
    <n v="6"/>
    <n v="29010"/>
    <n v="0.1"/>
    <n v="19150"/>
    <n v="174059.9"/>
    <n v="114900"/>
    <n v="59159.899999999994"/>
    <n v="0.33988241978767075"/>
  </r>
  <r>
    <s v="ORD-115487"/>
    <x v="628"/>
    <x v="1"/>
    <s v="December"/>
    <x v="4"/>
    <s v="Chennai"/>
    <s v="Imran Sheikh"/>
    <x v="2"/>
    <x v="2"/>
    <s v="Mobiles"/>
    <s v="Samsung Galaxy M34"/>
    <x v="2"/>
    <s v="Returned"/>
    <n v="28"/>
    <n v="22999"/>
    <n v="0.05"/>
    <n v="15100"/>
    <n v="643971.94999999995"/>
    <n v="422800"/>
    <n v="221171.94999999995"/>
    <n v="0.34344966422838752"/>
  </r>
  <r>
    <s v="ORD-114855"/>
    <x v="629"/>
    <x v="1"/>
    <s v="December"/>
    <x v="4"/>
    <s v="Kochi"/>
    <s v="Simran Kaur"/>
    <x v="2"/>
    <x v="2"/>
    <s v="Mobiles"/>
    <s v="Oneplus Nord Ce 3"/>
    <x v="1"/>
    <s v="Delivered"/>
    <n v="20"/>
    <n v="25999"/>
    <n v="0.12"/>
    <n v="17800"/>
    <n v="519979.88"/>
    <n v="356000"/>
    <n v="163979.88"/>
    <n v="0.31535812501052923"/>
  </r>
  <r>
    <s v="ORD-114887"/>
    <x v="629"/>
    <x v="1"/>
    <s v="December"/>
    <x v="3"/>
    <s v="Delhi"/>
    <s v="Sourav Das"/>
    <x v="2"/>
    <x v="3"/>
    <s v="Kitchen Appliances"/>
    <s v="Philips Air Fryer"/>
    <x v="2"/>
    <s v="Returned"/>
    <n v="23"/>
    <n v="7299"/>
    <n v="0.15"/>
    <n v="5010"/>
    <n v="167876.85"/>
    <n v="115230"/>
    <n v="52646.850000000006"/>
    <n v="0.31360399006771933"/>
  </r>
  <r>
    <s v="ORD-115265"/>
    <x v="629"/>
    <x v="1"/>
    <s v="December"/>
    <x v="0"/>
    <s v="Ranchi"/>
    <s v="Aditya Verma"/>
    <x v="0"/>
    <x v="3"/>
    <s v="Washing Machines"/>
    <s v="Samsung 7Kg Washing Machine"/>
    <x v="2"/>
    <s v="Returned"/>
    <n v="5"/>
    <n v="32800"/>
    <n v="0.12"/>
    <n v="23100"/>
    <n v="163999.88"/>
    <n v="115500"/>
    <n v="48499.880000000005"/>
    <n v="0.29573119199843317"/>
  </r>
  <r>
    <s v="ORD-114959"/>
    <x v="630"/>
    <x v="1"/>
    <s v="December"/>
    <x v="1"/>
    <s v="Mumbai"/>
    <s v="Kartik Raman"/>
    <x v="0"/>
    <x v="2"/>
    <s v="Mobiles"/>
    <s v="Oneplus Nord Ce 3"/>
    <x v="2"/>
    <s v="Delivered"/>
    <n v="18"/>
    <n v="25999"/>
    <n v="0.1"/>
    <n v="17800"/>
    <n v="467981.9"/>
    <n v="320400"/>
    <n v="147581.90000000002"/>
    <n v="0.31535813671426183"/>
  </r>
  <r>
    <s v="ORD-114985"/>
    <x v="630"/>
    <x v="1"/>
    <s v="December"/>
    <x v="1"/>
    <s v="Pune"/>
    <s v="Rahul Singh"/>
    <x v="2"/>
    <x v="1"/>
    <s v="Sofas"/>
    <s v="Single Seater Recliner"/>
    <x v="2"/>
    <s v="Cancelled"/>
    <n v="24"/>
    <n v="43500"/>
    <n v="0.1"/>
    <n v="29520"/>
    <n v="1043999.9"/>
    <n v="708480"/>
    <n v="335519.90000000002"/>
    <n v="0.321379245342839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567FC9-51A4-4C54-941E-6541C668AA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4">
    <pivotField dataField="1" showAll="0"/>
    <pivotField numFmtId="22" showAll="0">
      <items count="6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numFmtId="166" showAll="0"/>
    <pivotField showAll="0"/>
    <pivotField numFmtId="166" showAll="0"/>
    <pivotField dataField="1" numFmtId="166" showAll="0"/>
    <pivotField numFmtId="166" showAll="0"/>
    <pivotField dataField="1" numFmtId="166"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Sum of Profit/loss" fld="19" baseField="0" baseItem="0" numFmtId="166"/>
    <dataField name="Sum of Sales Amount" fld="17" baseField="0" baseItem="0" numFmtId="166"/>
    <dataField name="Total Order " fld="0" subtotal="count" baseField="0" baseItem="0"/>
  </dataFields>
  <formats count="3">
    <format dxfId="48">
      <pivotArea type="all" dataOnly="0" outline="0" fieldPosition="0"/>
    </format>
    <format dxfId="47">
      <pivotArea outline="0" collapsedLevelsAreSubtotals="1" fieldPosition="0"/>
    </format>
    <format dxfId="4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BB09CD-AC30-4FE7-B4D1-0E8BFAC911E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ategory">
  <location ref="A56:B62" firstHeaderRow="1" firstDataRow="1" firstDataCol="1"/>
  <pivotFields count="24">
    <pivotField showAll="0"/>
    <pivotField numFmtId="22" showAll="0">
      <items count="6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showAll="0">
      <items count="3">
        <item x="0"/>
        <item x="1"/>
        <item t="default"/>
      </items>
    </pivotField>
    <pivotField showAll="0"/>
    <pivotField showAll="0"/>
    <pivotField showAll="0"/>
    <pivotField showAll="0"/>
    <pivotField showAll="0">
      <items count="4">
        <item x="0"/>
        <item x="2"/>
        <item x="1"/>
        <item t="default"/>
      </items>
    </pivotField>
    <pivotField axis="axisRow" showAll="0">
      <items count="6">
        <item x="2"/>
        <item x="0"/>
        <item x="1"/>
        <item x="3"/>
        <item x="4"/>
        <item t="default"/>
      </items>
    </pivotField>
    <pivotField showAll="0"/>
    <pivotField showAll="0"/>
    <pivotField showAll="0"/>
    <pivotField showAll="0"/>
    <pivotField showAll="0"/>
    <pivotField numFmtId="166" showAll="0"/>
    <pivotField showAll="0"/>
    <pivotField numFmtId="166" showAll="0"/>
    <pivotField numFmtId="166" showAll="0"/>
    <pivotField numFmtId="166" showAll="0"/>
    <pivotField dataField="1"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6">
    <i>
      <x/>
    </i>
    <i>
      <x v="1"/>
    </i>
    <i>
      <x v="2"/>
    </i>
    <i>
      <x v="3"/>
    </i>
    <i>
      <x v="4"/>
    </i>
    <i t="grand">
      <x/>
    </i>
  </rowItems>
  <colItems count="1">
    <i/>
  </colItems>
  <dataFields count="1">
    <dataField name="Sum of Profit/loss" fld="19" baseField="0" baseItem="0" numFmtId="166"/>
  </dataFields>
  <formats count="8">
    <format dxfId="56">
      <pivotArea type="all" dataOnly="0" outline="0" fieldPosition="0"/>
    </format>
    <format dxfId="55">
      <pivotArea outline="0" collapsedLevelsAreSubtotals="1" fieldPosition="0"/>
    </format>
    <format dxfId="54">
      <pivotArea type="origin" dataOnly="0" labelOnly="1" outline="0" fieldPosition="0"/>
    </format>
    <format dxfId="53">
      <pivotArea field="2" type="button" dataOnly="0" labelOnly="1" outline="0"/>
    </format>
    <format dxfId="52">
      <pivotArea type="topRight" dataOnly="0" labelOnly="1" outline="0" fieldPosition="0"/>
    </format>
    <format dxfId="51">
      <pivotArea field="21" type="button" dataOnly="0" labelOnly="1" outline="0"/>
    </format>
    <format dxfId="50">
      <pivotArea dataOnly="0" labelOnly="1" grandRow="1" outline="0" fieldPosition="0"/>
    </format>
    <format dxfId="49">
      <pivotArea dataOnly="0" labelOnly="1" grandCol="1" outline="0" fieldPosition="0"/>
    </format>
  </formats>
  <chartFormats count="1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8" count="1" selected="0">
            <x v="4"/>
          </reference>
        </references>
      </pivotArea>
    </chartFormat>
    <chartFormat chart="13" format="2">
      <pivotArea type="data" outline="0" fieldPosition="0">
        <references count="2">
          <reference field="4294967294" count="1" selected="0">
            <x v="0"/>
          </reference>
          <reference field="8" count="1" selected="0">
            <x v="2"/>
          </reference>
        </references>
      </pivotArea>
    </chartFormat>
    <chartFormat chart="13" format="3">
      <pivotArea type="data" outline="0" fieldPosition="0">
        <references count="2">
          <reference field="4294967294" count="1" selected="0">
            <x v="0"/>
          </reference>
          <reference field="8" count="1" selected="0">
            <x v="0"/>
          </reference>
        </references>
      </pivotArea>
    </chartFormat>
    <chartFormat chart="13" format="4">
      <pivotArea type="data" outline="0" fieldPosition="0">
        <references count="2">
          <reference field="4294967294" count="1" selected="0">
            <x v="0"/>
          </reference>
          <reference field="8" count="1" selected="0">
            <x v="3"/>
          </reference>
        </references>
      </pivotArea>
    </chartFormat>
    <chartFormat chart="13" format="5">
      <pivotArea type="data" outline="0" fieldPosition="0">
        <references count="2">
          <reference field="4294967294" count="1" selected="0">
            <x v="0"/>
          </reference>
          <reference field="8" count="1" selected="0">
            <x v="1"/>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8" count="1" selected="0">
            <x v="0"/>
          </reference>
        </references>
      </pivotArea>
    </chartFormat>
    <chartFormat chart="16" format="14">
      <pivotArea type="data" outline="0" fieldPosition="0">
        <references count="2">
          <reference field="4294967294" count="1" selected="0">
            <x v="0"/>
          </reference>
          <reference field="8" count="1" selected="0">
            <x v="1"/>
          </reference>
        </references>
      </pivotArea>
    </chartFormat>
    <chartFormat chart="16" format="15">
      <pivotArea type="data" outline="0" fieldPosition="0">
        <references count="2">
          <reference field="4294967294" count="1" selected="0">
            <x v="0"/>
          </reference>
          <reference field="8" count="1" selected="0">
            <x v="2"/>
          </reference>
        </references>
      </pivotArea>
    </chartFormat>
    <chartFormat chart="16" format="16">
      <pivotArea type="data" outline="0" fieldPosition="0">
        <references count="2">
          <reference field="4294967294" count="1" selected="0">
            <x v="0"/>
          </reference>
          <reference field="8" count="1" selected="0">
            <x v="3"/>
          </reference>
        </references>
      </pivotArea>
    </chartFormat>
    <chartFormat chart="16" format="17">
      <pivotArea type="data" outline="0" fieldPosition="0">
        <references count="2">
          <reference field="4294967294" count="1" selected="0">
            <x v="0"/>
          </reference>
          <reference field="8" count="1" selected="0">
            <x v="4"/>
          </reference>
        </references>
      </pivotArea>
    </chartFormat>
    <chartFormat chart="18" format="24" series="1">
      <pivotArea type="data" outline="0" fieldPosition="0">
        <references count="1">
          <reference field="4294967294" count="1" selected="0">
            <x v="0"/>
          </reference>
        </references>
      </pivotArea>
    </chartFormat>
    <chartFormat chart="18" format="25">
      <pivotArea type="data" outline="0" fieldPosition="0">
        <references count="2">
          <reference field="4294967294" count="1" selected="0">
            <x v="0"/>
          </reference>
          <reference field="8" count="1" selected="0">
            <x v="0"/>
          </reference>
        </references>
      </pivotArea>
    </chartFormat>
    <chartFormat chart="18" format="26">
      <pivotArea type="data" outline="0" fieldPosition="0">
        <references count="2">
          <reference field="4294967294" count="1" selected="0">
            <x v="0"/>
          </reference>
          <reference field="8" count="1" selected="0">
            <x v="1"/>
          </reference>
        </references>
      </pivotArea>
    </chartFormat>
    <chartFormat chart="18" format="27">
      <pivotArea type="data" outline="0" fieldPosition="0">
        <references count="2">
          <reference field="4294967294" count="1" selected="0">
            <x v="0"/>
          </reference>
          <reference field="8" count="1" selected="0">
            <x v="2"/>
          </reference>
        </references>
      </pivotArea>
    </chartFormat>
    <chartFormat chart="18" format="28">
      <pivotArea type="data" outline="0" fieldPosition="0">
        <references count="2">
          <reference field="4294967294" count="1" selected="0">
            <x v="0"/>
          </reference>
          <reference field="8" count="1" selected="0">
            <x v="3"/>
          </reference>
        </references>
      </pivotArea>
    </chartFormat>
    <chartFormat chart="18" format="29">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1FCDC6-8DAB-4961-AA30-94BB381007D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y">
  <location ref="A37:B43" firstHeaderRow="1" firstDataRow="1" firstDataCol="1"/>
  <pivotFields count="24">
    <pivotField showAll="0"/>
    <pivotField numFmtId="22" showAll="0">
      <items count="6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showAll="0">
      <items count="3">
        <item x="0"/>
        <item x="1"/>
        <item t="default"/>
      </items>
    </pivotField>
    <pivotField showAll="0"/>
    <pivotField showAll="0"/>
    <pivotField showAll="0"/>
    <pivotField showAll="0"/>
    <pivotField showAll="0">
      <items count="4">
        <item x="0"/>
        <item x="2"/>
        <item x="1"/>
        <item t="default"/>
      </items>
    </pivotField>
    <pivotField axis="axisRow" showAll="0">
      <items count="6">
        <item x="2"/>
        <item x="0"/>
        <item x="1"/>
        <item x="3"/>
        <item x="4"/>
        <item t="default"/>
      </items>
    </pivotField>
    <pivotField showAll="0"/>
    <pivotField showAll="0"/>
    <pivotField showAll="0"/>
    <pivotField showAll="0"/>
    <pivotField showAll="0"/>
    <pivotField numFmtId="166" showAll="0"/>
    <pivotField showAll="0"/>
    <pivotField numFmtId="166" showAll="0"/>
    <pivotField dataField="1" numFmtId="166" showAll="0"/>
    <pivotField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6">
    <i>
      <x/>
    </i>
    <i>
      <x v="1"/>
    </i>
    <i>
      <x v="2"/>
    </i>
    <i>
      <x v="3"/>
    </i>
    <i>
      <x v="4"/>
    </i>
    <i t="grand">
      <x/>
    </i>
  </rowItems>
  <colItems count="1">
    <i/>
  </colItems>
  <dataFields count="1">
    <dataField name="Sum of Sales Amount" fld="17" baseField="0" baseItem="0" numFmtId="166"/>
  </dataFields>
  <formats count="8">
    <format dxfId="64">
      <pivotArea type="all" dataOnly="0" outline="0" fieldPosition="0"/>
    </format>
    <format dxfId="63">
      <pivotArea outline="0" collapsedLevelsAreSubtotals="1" fieldPosition="0"/>
    </format>
    <format dxfId="62">
      <pivotArea type="origin" dataOnly="0" labelOnly="1" outline="0" fieldPosition="0"/>
    </format>
    <format dxfId="61">
      <pivotArea field="2" type="button" dataOnly="0" labelOnly="1" outline="0"/>
    </format>
    <format dxfId="60">
      <pivotArea type="topRight" dataOnly="0" labelOnly="1" outline="0" fieldPosition="0"/>
    </format>
    <format dxfId="59">
      <pivotArea field="21" type="button" dataOnly="0" labelOnly="1" outline="0"/>
    </format>
    <format dxfId="58">
      <pivotArea dataOnly="0" labelOnly="1" grandRow="1" outline="0" fieldPosition="0"/>
    </format>
    <format dxfId="57">
      <pivotArea dataOnly="0" labelOnly="1" grandCol="1" outline="0" fieldPosition="0"/>
    </format>
  </formats>
  <chartFormats count="3">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539436-59BB-42E9-95AE-FD3547DCB07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s">
  <location ref="A26:B32" firstHeaderRow="1" firstDataRow="1" firstDataCol="1"/>
  <pivotFields count="24">
    <pivotField showAll="0"/>
    <pivotField numFmtId="22" showAll="0">
      <items count="6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showAll="0">
      <items count="3">
        <item x="0"/>
        <item x="1"/>
        <item t="default"/>
      </items>
    </pivotField>
    <pivotField showAll="0"/>
    <pivotField axis="axisRow" showAll="0">
      <items count="6">
        <item x="2"/>
        <item x="0"/>
        <item x="3"/>
        <item x="4"/>
        <item x="1"/>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 numFmtId="166" showAll="0"/>
    <pivotField showAll="0"/>
    <pivotField numFmtId="166" showAll="0"/>
    <pivotField dataField="1" numFmtId="166" showAll="0"/>
    <pivotField numFmtId="166" showAll="0"/>
    <pivotField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6">
    <i>
      <x/>
    </i>
    <i>
      <x v="1"/>
    </i>
    <i>
      <x v="2"/>
    </i>
    <i>
      <x v="3"/>
    </i>
    <i>
      <x v="4"/>
    </i>
    <i t="grand">
      <x/>
    </i>
  </rowItems>
  <colItems count="1">
    <i/>
  </colItems>
  <dataFields count="1">
    <dataField name="Sum of Sales Amount" fld="17" baseField="0" baseItem="0" numFmtId="166"/>
  </dataFields>
  <formats count="8">
    <format dxfId="72">
      <pivotArea type="all" dataOnly="0" outline="0" fieldPosition="0"/>
    </format>
    <format dxfId="71">
      <pivotArea outline="0" collapsedLevelsAreSubtotals="1" fieldPosition="0"/>
    </format>
    <format dxfId="70">
      <pivotArea type="origin" dataOnly="0" labelOnly="1" outline="0" fieldPosition="0"/>
    </format>
    <format dxfId="69">
      <pivotArea field="2" type="button" dataOnly="0" labelOnly="1" outline="0"/>
    </format>
    <format dxfId="68">
      <pivotArea type="topRight" dataOnly="0" labelOnly="1" outline="0" fieldPosition="0"/>
    </format>
    <format dxfId="67">
      <pivotArea field="21" type="button" dataOnly="0" labelOnly="1" outline="0"/>
    </format>
    <format dxfId="66">
      <pivotArea dataOnly="0" labelOnly="1" grandRow="1" outline="0" fieldPosition="0"/>
    </format>
    <format dxfId="65">
      <pivotArea dataOnly="0" labelOnly="1" grandCol="1" outline="0" fieldPosition="0"/>
    </format>
  </format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4093FC-6C1C-47F7-89F8-FF18F01D387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B24" firstHeaderRow="0" firstDataRow="1" firstDataCol="0"/>
  <pivotFields count="24">
    <pivotField showAll="0"/>
    <pivotField numFmtId="22" showAll="0">
      <items count="6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showAll="0">
      <items count="3">
        <item x="0"/>
        <item x="1"/>
        <item t="default"/>
      </items>
    </pivotField>
    <pivotField showAll="0"/>
    <pivotField showAll="0">
      <items count="6">
        <item x="2"/>
        <item x="0"/>
        <item x="3"/>
        <item x="4"/>
        <item x="1"/>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 numFmtId="166" showAll="0"/>
    <pivotField showAll="0"/>
    <pivotField numFmtId="166" showAll="0"/>
    <pivotField dataField="1" numFmtId="166" showAll="0"/>
    <pivotField numFmtId="166" showAll="0"/>
    <pivotField dataField="1" numFmtId="166"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Fields count="1">
    <field x="-2"/>
  </colFields>
  <colItems count="2">
    <i>
      <x/>
    </i>
    <i i="1">
      <x v="1"/>
    </i>
  </colItems>
  <dataFields count="2">
    <dataField name="Sum of Sales Amount" fld="17" baseField="0" baseItem="0" numFmtId="166"/>
    <dataField name="Sum of Profit/loss" fld="19" baseField="0" baseItem="0" numFmtId="166"/>
  </dataFields>
  <formats count="8">
    <format dxfId="80">
      <pivotArea type="all" dataOnly="0" outline="0" fieldPosition="0"/>
    </format>
    <format dxfId="79">
      <pivotArea outline="0" collapsedLevelsAreSubtotals="1" fieldPosition="0"/>
    </format>
    <format dxfId="78">
      <pivotArea type="origin" dataOnly="0" labelOnly="1" outline="0" fieldPosition="0"/>
    </format>
    <format dxfId="77">
      <pivotArea field="2" type="button" dataOnly="0" labelOnly="1" outline="0"/>
    </format>
    <format dxfId="76">
      <pivotArea type="topRight" dataOnly="0" labelOnly="1" outline="0" fieldPosition="0"/>
    </format>
    <format dxfId="75">
      <pivotArea field="21" type="button" dataOnly="0" labelOnly="1" outline="0"/>
    </format>
    <format dxfId="74">
      <pivotArea dataOnly="0" labelOnly="1" grandRow="1" outline="0" fieldPosition="0"/>
    </format>
    <format dxfId="73">
      <pivotArea dataOnly="0" labelOnly="1" grandCol="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84020E-C7EB-49FB-98CE-0D13A260427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D20" firstHeaderRow="1" firstDataRow="2" firstDataCol="1"/>
  <pivotFields count="24">
    <pivotField showAll="0"/>
    <pivotField axis="axisRow" numFmtId="22" showAll="0">
      <items count="6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axis="axisCol" showAll="0">
      <items count="3">
        <item x="0"/>
        <item x="1"/>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items count="4">
        <item x="0"/>
        <item x="2"/>
        <item x="1"/>
        <item t="default"/>
      </items>
    </pivotField>
    <pivotField showAll="0"/>
    <pivotField showAll="0"/>
    <pivotField numFmtId="166" showAll="0"/>
    <pivotField showAll="0"/>
    <pivotField numFmtId="166" showAll="0"/>
    <pivotField dataField="1" numFmtId="166" showAll="0"/>
    <pivotField numFmtId="166" showAll="0"/>
    <pivotField numFmtId="166"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21"/>
    <field x="1"/>
  </rowFields>
  <rowItems count="13">
    <i>
      <x v="1"/>
    </i>
    <i>
      <x v="2"/>
    </i>
    <i>
      <x v="3"/>
    </i>
    <i>
      <x v="4"/>
    </i>
    <i>
      <x v="5"/>
    </i>
    <i>
      <x v="6"/>
    </i>
    <i>
      <x v="7"/>
    </i>
    <i>
      <x v="8"/>
    </i>
    <i>
      <x v="9"/>
    </i>
    <i>
      <x v="10"/>
    </i>
    <i>
      <x v="11"/>
    </i>
    <i>
      <x v="12"/>
    </i>
    <i t="grand">
      <x/>
    </i>
  </rowItems>
  <colFields count="1">
    <field x="2"/>
  </colFields>
  <colItems count="3">
    <i>
      <x/>
    </i>
    <i>
      <x v="1"/>
    </i>
    <i t="grand">
      <x/>
    </i>
  </colItems>
  <dataFields count="1">
    <dataField name="Sum of Sales Amount" fld="17" baseField="0" baseItem="0" numFmtId="166"/>
  </dataFields>
  <formats count="10">
    <format dxfId="90">
      <pivotArea type="all" dataOnly="0" outline="0" fieldPosition="0"/>
    </format>
    <format dxfId="89">
      <pivotArea outline="0" collapsedLevelsAreSubtotals="1" fieldPosition="0"/>
    </format>
    <format dxfId="88">
      <pivotArea type="origin" dataOnly="0" labelOnly="1" outline="0" fieldPosition="0"/>
    </format>
    <format dxfId="87">
      <pivotArea field="2" type="button" dataOnly="0" labelOnly="1" outline="0" axis="axisCol" fieldPosition="0"/>
    </format>
    <format dxfId="86">
      <pivotArea type="topRight" dataOnly="0" labelOnly="1" outline="0" fieldPosition="0"/>
    </format>
    <format dxfId="85">
      <pivotArea field="21" type="button" dataOnly="0" labelOnly="1" outline="0" axis="axisRow" fieldPosition="0"/>
    </format>
    <format dxfId="84">
      <pivotArea dataOnly="0" labelOnly="1" fieldPosition="0">
        <references count="1">
          <reference field="21" count="12">
            <x v="1"/>
            <x v="2"/>
            <x v="3"/>
            <x v="4"/>
            <x v="5"/>
            <x v="6"/>
            <x v="7"/>
            <x v="8"/>
            <x v="9"/>
            <x v="10"/>
            <x v="11"/>
            <x v="12"/>
          </reference>
        </references>
      </pivotArea>
    </format>
    <format dxfId="83">
      <pivotArea dataOnly="0" labelOnly="1" grandRow="1" outline="0" fieldPosition="0"/>
    </format>
    <format dxfId="82">
      <pivotArea dataOnly="0" labelOnly="1" fieldPosition="0">
        <references count="1">
          <reference field="2" count="0"/>
        </references>
      </pivotArea>
    </format>
    <format dxfId="81">
      <pivotArea dataOnly="0" labelOnly="1" grandCol="1" outline="0"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0"/>
          </reference>
        </references>
      </pivotArea>
    </chartFormat>
    <chartFormat chart="8"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A66460-0BEA-454F-ADE4-29F8A90B4392}" autoFormatId="16" applyNumberFormats="0" applyBorderFormats="0" applyFontFormats="0" applyPatternFormats="0" applyAlignmentFormats="0" applyWidthHeightFormats="0">
  <queryTableRefresh nextId="22" unboundColumnsRight="4">
    <queryTableFields count="21">
      <queryTableField id="1" name="Order ID" tableColumnId="1"/>
      <queryTableField id="2" name="Order Date" tableColumnId="2"/>
      <queryTableField id="20" dataBound="0" tableColumnId="20"/>
      <queryTableField id="21" dataBound="0" tableColumnId="21"/>
      <queryTableField id="3" name="Region" tableColumnId="3"/>
      <queryTableField id="4" name="City" tableColumnId="4"/>
      <queryTableField id="5" name="Salesperson" tableColumnId="5"/>
      <queryTableField id="6" name="Customer Segment" tableColumnId="6"/>
      <queryTableField id="7" name="Category" tableColumnId="7"/>
      <queryTableField id="8" name="Sub-Category" tableColumnId="8"/>
      <queryTableField id="9" name="Product" tableColumnId="9"/>
      <queryTableField id="10" name="Channel" tableColumnId="10"/>
      <queryTableField id="11" name="Order Status" tableColumnId="11"/>
      <queryTableField id="12" name="Units Sold" tableColumnId="12"/>
      <queryTableField id="13" name="Unit Price" tableColumnId="13"/>
      <queryTableField id="14" name="Discount" tableColumnId="14"/>
      <queryTableField id="15" name="Unit Cost" tableColumnId="15"/>
      <queryTableField id="16" dataBound="0" tableColumnId="16"/>
      <queryTableField id="17" dataBound="0"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7FD24FA-8398-4019-9933-CBC65B41C03A}" sourceName="year">
  <pivotTables>
    <pivotTable tabId="6" name="PivotTable3"/>
  </pivotTables>
  <data>
    <tabular pivotCacheId="10834032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9B98921-7740-409F-AB78-D4126DB2C9E6}" sourceName="Customer Segment">
  <pivotTables>
    <pivotTable tabId="6" name="PivotTable3"/>
    <pivotTable tabId="6" name="PivotTable2"/>
    <pivotTable tabId="6" name="PivotTable4"/>
    <pivotTable tabId="6" name="PivotTable5"/>
    <pivotTable tabId="6" name="PivotTable6"/>
    <pivotTable tabId="6" name="PivotTable8"/>
  </pivotTables>
  <data>
    <tabular pivotCacheId="108340329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65E0D2D6-7207-4929-A340-40DF4E98D110}" sourceName="Channel">
  <pivotTables>
    <pivotTable tabId="6" name="PivotTable3"/>
  </pivotTables>
  <data>
    <tabular pivotCacheId="108340329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1134536-F114-4C88-ADAB-3E344AFABD8A}" cache="Slicer_year" caption="year" style="SlicerStyleLight2" rowHeight="234950"/>
  <slicer name="Customer Segment" xr10:uid="{FCC8805F-AD27-463B-A1B1-9A49CE7ED618}" cache="Slicer_Customer_Segment" caption="Customer Segment" style="SlicerStyleLight2" rowHeight="234950"/>
  <slicer name="Channel" xr10:uid="{8B165560-444D-42A9-B58D-DE8FAE076454}" cache="Slicer_Channel" caption="Channel" columnCount="2" style="SlicerStyleLight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371641-6399-4E0E-B005-A582BB38BDC3}" name="Table1" displayName="Table1" ref="A1:O1501" totalsRowShown="0" headerRowDxfId="45" dataDxfId="43" headerRowBorderDxfId="44" tableBorderDxfId="42" totalsRowBorderDxfId="41">
  <autoFilter ref="A1:O1501" xr:uid="{00000000-0009-0000-0000-000000000000}"/>
  <tableColumns count="15">
    <tableColumn id="1" xr3:uid="{79A90FCD-CFE2-46D2-BCE6-2604EEFA165C}" name="Order ID" dataDxfId="40"/>
    <tableColumn id="2" xr3:uid="{A52989B6-FA29-4D29-9423-F3326B5CB8BE}" name="Order Date" dataDxfId="39"/>
    <tableColumn id="3" xr3:uid="{B69989B5-E74E-4E41-A28C-1B1565E5AE09}" name="Region" dataDxfId="38"/>
    <tableColumn id="4" xr3:uid="{AA8EDEC3-EEE2-4B04-A1CB-24C28D58D7E6}" name="City" dataDxfId="37"/>
    <tableColumn id="5" xr3:uid="{D1DA042A-A209-4AA4-A22A-3AA7287CD1C7}" name="Salesperson" dataDxfId="36"/>
    <tableColumn id="6" xr3:uid="{C71A4F5A-5B33-4815-B71C-588991508BAF}" name="Customer Segment" dataDxfId="35"/>
    <tableColumn id="7" xr3:uid="{53C8616F-6701-42D2-8244-E496E9B8BD79}" name="Category" dataDxfId="34"/>
    <tableColumn id="8" xr3:uid="{154BA517-DE4C-4C74-B492-E07BB19F0AF3}" name="Sub-Category" dataDxfId="33"/>
    <tableColumn id="9" xr3:uid="{A2EBB20F-69B3-406E-9311-C187E211FD28}" name="Product" dataDxfId="32"/>
    <tableColumn id="10" xr3:uid="{7813FDAF-41F2-47BE-819A-5E86FE0822DB}" name="Channel" dataDxfId="31"/>
    <tableColumn id="11" xr3:uid="{9A3D8501-2B91-4C3E-A09B-DC2820126C3D}" name="Order Status" dataDxfId="30"/>
    <tableColumn id="12" xr3:uid="{C42789CE-87EA-441B-9AF5-135C1EA001E4}" name="Units Sold" dataDxfId="29"/>
    <tableColumn id="13" xr3:uid="{BA74CE41-A072-4478-A946-3FB2F2D323D2}" name="Unit Price" dataDxfId="28"/>
    <tableColumn id="14" xr3:uid="{7265C75A-C3F9-4D45-B428-8F4412EC88E2}" name="Discount" dataDxfId="27"/>
    <tableColumn id="15" xr3:uid="{2CC63D41-855C-4BC4-B776-9FAE44C2C385}" name="Unit Cost" dataDxfId="2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7026B3-7F89-4640-86EE-E6986FAA50A1}" name="Table1_1" displayName="Table1_1" ref="A1:U1501" tableType="queryTable" totalsRowShown="0" headerRowDxfId="25" dataDxfId="23" headerRowBorderDxfId="24" tableBorderDxfId="22" totalsRowBorderDxfId="21">
  <autoFilter ref="A1:U1501" xr:uid="{CA7026B3-7F89-4640-86EE-E6986FAA50A1}"/>
  <tableColumns count="21">
    <tableColumn id="1" xr3:uid="{3E83D0BF-3712-4ADF-A83F-ED9432B542AA}" uniqueName="1" name="Order ID" queryTableFieldId="1" dataDxfId="20"/>
    <tableColumn id="2" xr3:uid="{75E80F5A-DD99-44A5-995A-B682EBC78BF9}" uniqueName="2" name="Order Date" queryTableFieldId="2" dataDxfId="19"/>
    <tableColumn id="20" xr3:uid="{CEA1A1F4-707F-4C51-870A-34A50A852BF4}" uniqueName="20" name="year" queryTableFieldId="20" dataDxfId="18">
      <calculatedColumnFormula>YEAR(Table1_1[[#This Row],[Order Date]])</calculatedColumnFormula>
    </tableColumn>
    <tableColumn id="21" xr3:uid="{7DCB9BF1-E50C-4FDC-BE44-43C7C6B61213}" uniqueName="21" name="Month" queryTableFieldId="21" dataDxfId="17">
      <calculatedColumnFormula>TEXT(Table1_1[[#This Row],[Order Date]],"MMMM")</calculatedColumnFormula>
    </tableColumn>
    <tableColumn id="3" xr3:uid="{B5CC84BF-CB86-41E1-9ACA-D06033072A1C}" uniqueName="3" name="Region" queryTableFieldId="3" dataDxfId="16"/>
    <tableColumn id="4" xr3:uid="{F5B5219D-C8ED-4ED4-A1FE-02FFD940A0CD}" uniqueName="4" name="City" queryTableFieldId="4" dataDxfId="15"/>
    <tableColumn id="5" xr3:uid="{CE39AD91-D241-480D-ABF1-9FD2514A40C6}" uniqueName="5" name="Salesperson" queryTableFieldId="5" dataDxfId="14"/>
    <tableColumn id="6" xr3:uid="{114FCD99-967A-4086-91FD-3323EDC152F5}" uniqueName="6" name="Customer Segment" queryTableFieldId="6" dataDxfId="13"/>
    <tableColumn id="7" xr3:uid="{A5C4F5E2-4D11-482F-8A50-E0B42DD9A4D1}" uniqueName="7" name="Category" queryTableFieldId="7" dataDxfId="12"/>
    <tableColumn id="8" xr3:uid="{66DF8DA8-8734-4C89-A838-3FAB191FBBC1}" uniqueName="8" name="Sub-Category" queryTableFieldId="8" dataDxfId="11"/>
    <tableColumn id="9" xr3:uid="{F4E0B384-5C73-44F8-84F8-FBDBDC152BB3}" uniqueName="9" name="Product" queryTableFieldId="9" dataDxfId="10"/>
    <tableColumn id="10" xr3:uid="{D7F22AFC-4CAA-455F-9836-A8265DCE7EF9}" uniqueName="10" name="Channel" queryTableFieldId="10" dataDxfId="9"/>
    <tableColumn id="11" xr3:uid="{69446178-E8DF-4506-9A50-CF6E15A41E7C}" uniqueName="11" name="Order Status" queryTableFieldId="11" dataDxfId="8"/>
    <tableColumn id="12" xr3:uid="{3C49E7CC-D5E7-4B93-8BDB-9B4481439A11}" uniqueName="12" name="Units Sold" queryTableFieldId="12" dataDxfId="7"/>
    <tableColumn id="13" xr3:uid="{26E45825-0AFF-4E8C-BDFE-ECD7C56B0B14}" uniqueName="13" name="Unit Price" queryTableFieldId="13" dataDxfId="6"/>
    <tableColumn id="14" xr3:uid="{9B370939-8CFF-4602-8ED4-B988D8AD708A}" uniqueName="14" name="Discount" queryTableFieldId="14" dataDxfId="5"/>
    <tableColumn id="15" xr3:uid="{8D3F3015-A416-4786-BA38-FEAF336FA3BE}" uniqueName="15" name="Unit Cost" queryTableFieldId="15" dataDxfId="4"/>
    <tableColumn id="16" xr3:uid="{A4A95786-B529-4B51-AD81-2D31C7997457}" uniqueName="16" name="Sales Amount" queryTableFieldId="16" dataDxfId="3">
      <calculatedColumnFormula>Table1_1[[#This Row],[Units Sold]]*Table1_1[[#This Row],[Unit Price]]*1-Table1_1[[#This Row],[Discount]]</calculatedColumnFormula>
    </tableColumn>
    <tableColumn id="17" xr3:uid="{F1D0B401-86ED-4D2E-9E29-70634010E576}" uniqueName="17" name="Total Cost" queryTableFieldId="17" dataDxfId="2">
      <calculatedColumnFormula>Table1_1[[#This Row],[Units Sold]]*Table1_1[[#This Row],[Unit Cost]]</calculatedColumnFormula>
    </tableColumn>
    <tableColumn id="18" xr3:uid="{07DD5ABA-6095-4DC1-A231-9A5A7EBE6FCA}" uniqueName="18" name="Profit/loss" queryTableFieldId="18" dataDxfId="1">
      <calculatedColumnFormula>Table1_1[[#This Row],[Sales Amount]]-S2</calculatedColumnFormula>
    </tableColumn>
    <tableColumn id="19" xr3:uid="{9276BE50-A166-427C-80B2-23EB21F988C7}" uniqueName="19" name="Profit Margin" queryTableFieldId="19" dataDxfId="0">
      <calculatedColumnFormula>IFERROR(Table1_1[[#This Row],[Profit/loss]]/Table1_1[[#This Row],[Sales Amount]],0)</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6A29-41D6-42E1-9221-582DD33D3189}">
  <dimension ref="A3:D62"/>
  <sheetViews>
    <sheetView workbookViewId="0">
      <selection activeCell="B62" sqref="B62"/>
    </sheetView>
  </sheetViews>
  <sheetFormatPr defaultRowHeight="14.4" x14ac:dyDescent="0.3"/>
  <cols>
    <col min="1" max="1" width="15.109375" bestFit="1" customWidth="1"/>
    <col min="2" max="2" width="19.21875" bestFit="1" customWidth="1"/>
    <col min="3" max="4" width="15.77734375" bestFit="1" customWidth="1"/>
  </cols>
  <sheetData>
    <row r="3" spans="1:4" x14ac:dyDescent="0.3">
      <c r="A3" s="16" t="s">
        <v>1637</v>
      </c>
      <c r="B3" s="16" t="s">
        <v>1636</v>
      </c>
      <c r="C3" s="16" t="s">
        <v>1640</v>
      </c>
    </row>
    <row r="4" spans="1:4" x14ac:dyDescent="0.3">
      <c r="A4" s="34">
        <v>190120667.54999807</v>
      </c>
      <c r="B4" s="34">
        <v>555920527.54999852</v>
      </c>
      <c r="C4" s="16">
        <v>1500</v>
      </c>
    </row>
    <row r="6" spans="1:4" x14ac:dyDescent="0.3">
      <c r="A6" s="39" t="s">
        <v>1636</v>
      </c>
      <c r="B6" s="39" t="s">
        <v>1655</v>
      </c>
      <c r="C6" s="16"/>
      <c r="D6" s="16"/>
    </row>
    <row r="7" spans="1:4" x14ac:dyDescent="0.3">
      <c r="A7" s="39" t="s">
        <v>1638</v>
      </c>
      <c r="B7" s="16">
        <v>2024</v>
      </c>
      <c r="C7" s="16">
        <v>2025</v>
      </c>
      <c r="D7" s="16" t="s">
        <v>1639</v>
      </c>
    </row>
    <row r="8" spans="1:4" x14ac:dyDescent="0.3">
      <c r="A8" s="40" t="s">
        <v>1641</v>
      </c>
      <c r="B8" s="34">
        <v>18967962.330000009</v>
      </c>
      <c r="C8" s="34">
        <v>21386646.77</v>
      </c>
      <c r="D8" s="34">
        <v>40354609.100000009</v>
      </c>
    </row>
    <row r="9" spans="1:4" x14ac:dyDescent="0.3">
      <c r="A9" s="40" t="s">
        <v>1642</v>
      </c>
      <c r="B9" s="34">
        <v>12415506.540000005</v>
      </c>
      <c r="C9" s="34">
        <v>29328910.240000013</v>
      </c>
      <c r="D9" s="34">
        <v>41744416.780000016</v>
      </c>
    </row>
    <row r="10" spans="1:4" x14ac:dyDescent="0.3">
      <c r="A10" s="40" t="s">
        <v>1643</v>
      </c>
      <c r="B10" s="34">
        <v>23771653.430000003</v>
      </c>
      <c r="C10" s="34">
        <v>23542137.280000009</v>
      </c>
      <c r="D10" s="34">
        <v>47313790.710000008</v>
      </c>
    </row>
    <row r="11" spans="1:4" x14ac:dyDescent="0.3">
      <c r="A11" s="40" t="s">
        <v>1644</v>
      </c>
      <c r="B11" s="34">
        <v>20441862.559999999</v>
      </c>
      <c r="C11" s="34">
        <v>26904741.470000014</v>
      </c>
      <c r="D11" s="34">
        <v>47346604.030000016</v>
      </c>
    </row>
    <row r="12" spans="1:4" x14ac:dyDescent="0.3">
      <c r="A12" s="40" t="s">
        <v>1645</v>
      </c>
      <c r="B12" s="34">
        <v>21767026.600000005</v>
      </c>
      <c r="C12" s="34">
        <v>15807349.209999999</v>
      </c>
      <c r="D12" s="34">
        <v>37574375.810000002</v>
      </c>
    </row>
    <row r="13" spans="1:4" x14ac:dyDescent="0.3">
      <c r="A13" s="40" t="s">
        <v>1646</v>
      </c>
      <c r="B13" s="34">
        <v>21015217.139999993</v>
      </c>
      <c r="C13" s="34">
        <v>28067221.860000007</v>
      </c>
      <c r="D13" s="34">
        <v>49082439</v>
      </c>
    </row>
    <row r="14" spans="1:4" x14ac:dyDescent="0.3">
      <c r="A14" s="40" t="s">
        <v>1647</v>
      </c>
      <c r="B14" s="34">
        <v>28827072.820000004</v>
      </c>
      <c r="C14" s="34">
        <v>19285766.520000007</v>
      </c>
      <c r="D14" s="34">
        <v>48112839.340000011</v>
      </c>
    </row>
    <row r="15" spans="1:4" x14ac:dyDescent="0.3">
      <c r="A15" s="40" t="s">
        <v>1648</v>
      </c>
      <c r="B15" s="34">
        <v>18620486.530000005</v>
      </c>
      <c r="C15" s="34">
        <v>21926269.310000014</v>
      </c>
      <c r="D15" s="34">
        <v>40546755.840000018</v>
      </c>
    </row>
    <row r="16" spans="1:4" x14ac:dyDescent="0.3">
      <c r="A16" s="40" t="s">
        <v>1649</v>
      </c>
      <c r="B16" s="34">
        <v>21464546.720000003</v>
      </c>
      <c r="C16" s="34">
        <v>28090579.360000011</v>
      </c>
      <c r="D16" s="34">
        <v>49555126.080000013</v>
      </c>
    </row>
    <row r="17" spans="1:4" x14ac:dyDescent="0.3">
      <c r="A17" s="40" t="s">
        <v>1650</v>
      </c>
      <c r="B17" s="34">
        <v>28116645.499999996</v>
      </c>
      <c r="C17" s="34">
        <v>24757675.629999999</v>
      </c>
      <c r="D17" s="34">
        <v>52874321.129999995</v>
      </c>
    </row>
    <row r="18" spans="1:4" x14ac:dyDescent="0.3">
      <c r="A18" s="40" t="s">
        <v>1651</v>
      </c>
      <c r="B18" s="34">
        <v>21587759.250000004</v>
      </c>
      <c r="C18" s="34">
        <v>21905537.669999998</v>
      </c>
      <c r="D18" s="34">
        <v>43493296.920000002</v>
      </c>
    </row>
    <row r="19" spans="1:4" x14ac:dyDescent="0.3">
      <c r="A19" s="40" t="s">
        <v>1652</v>
      </c>
      <c r="B19" s="34">
        <v>26303298.450000018</v>
      </c>
      <c r="C19" s="34">
        <v>31618654.360000007</v>
      </c>
      <c r="D19" s="34">
        <v>57921952.810000025</v>
      </c>
    </row>
    <row r="20" spans="1:4" x14ac:dyDescent="0.3">
      <c r="A20" s="40" t="s">
        <v>1639</v>
      </c>
      <c r="B20" s="34">
        <v>263299037.87000003</v>
      </c>
      <c r="C20" s="34">
        <v>292621489.68000007</v>
      </c>
      <c r="D20" s="34">
        <v>555920527.55000019</v>
      </c>
    </row>
    <row r="23" spans="1:4" x14ac:dyDescent="0.3">
      <c r="A23" s="16" t="s">
        <v>1636</v>
      </c>
      <c r="B23" s="16" t="s">
        <v>1637</v>
      </c>
    </row>
    <row r="24" spans="1:4" x14ac:dyDescent="0.3">
      <c r="A24" s="34">
        <v>555920527.54999852</v>
      </c>
      <c r="B24" s="34">
        <v>190120667.54999807</v>
      </c>
    </row>
    <row r="26" spans="1:4" x14ac:dyDescent="0.3">
      <c r="A26" s="39" t="s">
        <v>1656</v>
      </c>
      <c r="B26" s="16" t="s">
        <v>1636</v>
      </c>
    </row>
    <row r="27" spans="1:4" x14ac:dyDescent="0.3">
      <c r="A27" s="40" t="s">
        <v>36</v>
      </c>
      <c r="B27" s="34">
        <v>125121748.80999988</v>
      </c>
    </row>
    <row r="28" spans="1:4" x14ac:dyDescent="0.3">
      <c r="A28" s="40" t="s">
        <v>16</v>
      </c>
      <c r="B28" s="34">
        <v>100962063.28999996</v>
      </c>
    </row>
    <row r="29" spans="1:4" x14ac:dyDescent="0.3">
      <c r="A29" s="40" t="s">
        <v>48</v>
      </c>
      <c r="B29" s="34">
        <v>101973554.42999989</v>
      </c>
    </row>
    <row r="30" spans="1:4" x14ac:dyDescent="0.3">
      <c r="A30" s="40" t="s">
        <v>82</v>
      </c>
      <c r="B30" s="34">
        <v>101011551.79000004</v>
      </c>
    </row>
    <row r="31" spans="1:4" x14ac:dyDescent="0.3">
      <c r="A31" s="40" t="s">
        <v>26</v>
      </c>
      <c r="B31" s="34">
        <v>126851609.22999994</v>
      </c>
    </row>
    <row r="32" spans="1:4" x14ac:dyDescent="0.3">
      <c r="A32" s="40" t="s">
        <v>1639</v>
      </c>
      <c r="B32" s="34">
        <v>555920527.54999971</v>
      </c>
    </row>
    <row r="37" spans="1:2" x14ac:dyDescent="0.3">
      <c r="A37" s="39" t="s">
        <v>6</v>
      </c>
      <c r="B37" s="16" t="s">
        <v>1636</v>
      </c>
    </row>
    <row r="38" spans="1:2" x14ac:dyDescent="0.3">
      <c r="A38" s="40" t="s">
        <v>40</v>
      </c>
      <c r="B38" s="34">
        <v>194650776.6199995</v>
      </c>
    </row>
    <row r="39" spans="1:2" x14ac:dyDescent="0.3">
      <c r="A39" s="40" t="s">
        <v>20</v>
      </c>
      <c r="B39" s="34">
        <v>24321450.670000017</v>
      </c>
    </row>
    <row r="40" spans="1:2" x14ac:dyDescent="0.3">
      <c r="A40" s="40" t="s">
        <v>30</v>
      </c>
      <c r="B40" s="34">
        <v>194032687.55999959</v>
      </c>
    </row>
    <row r="41" spans="1:2" x14ac:dyDescent="0.3">
      <c r="A41" s="40" t="s">
        <v>54</v>
      </c>
      <c r="B41" s="34">
        <v>131910854.54999994</v>
      </c>
    </row>
    <row r="42" spans="1:2" x14ac:dyDescent="0.3">
      <c r="A42" s="40" t="s">
        <v>70</v>
      </c>
      <c r="B42" s="34">
        <v>11004758.150000021</v>
      </c>
    </row>
    <row r="43" spans="1:2" x14ac:dyDescent="0.3">
      <c r="A43" s="40" t="s">
        <v>1639</v>
      </c>
      <c r="B43" s="34">
        <v>555920527.549999</v>
      </c>
    </row>
    <row r="54" spans="1:2" x14ac:dyDescent="0.3">
      <c r="A54" s="42"/>
      <c r="B54" s="42"/>
    </row>
    <row r="55" spans="1:2" x14ac:dyDescent="0.3">
      <c r="A55" s="42"/>
      <c r="B55" s="42"/>
    </row>
    <row r="56" spans="1:2" x14ac:dyDescent="0.3">
      <c r="A56" s="39" t="s">
        <v>6</v>
      </c>
      <c r="B56" s="16" t="s">
        <v>1637</v>
      </c>
    </row>
    <row r="57" spans="1:2" x14ac:dyDescent="0.3">
      <c r="A57" s="40" t="s">
        <v>40</v>
      </c>
      <c r="B57" s="34">
        <v>68590886.620000109</v>
      </c>
    </row>
    <row r="58" spans="1:2" x14ac:dyDescent="0.3">
      <c r="A58" s="40" t="s">
        <v>20</v>
      </c>
      <c r="B58" s="34">
        <v>8997430.6699999943</v>
      </c>
    </row>
    <row r="59" spans="1:2" x14ac:dyDescent="0.3">
      <c r="A59" s="40" t="s">
        <v>30</v>
      </c>
      <c r="B59" s="34">
        <v>65643297.560000107</v>
      </c>
    </row>
    <row r="60" spans="1:2" x14ac:dyDescent="0.3">
      <c r="A60" s="40" t="s">
        <v>54</v>
      </c>
      <c r="B60" s="34">
        <v>42429334.550000072</v>
      </c>
    </row>
    <row r="61" spans="1:2" x14ac:dyDescent="0.3">
      <c r="A61" s="40" t="s">
        <v>70</v>
      </c>
      <c r="B61" s="34">
        <v>4459718.1499999939</v>
      </c>
    </row>
    <row r="62" spans="1:2" x14ac:dyDescent="0.3">
      <c r="A62" s="40" t="s">
        <v>1639</v>
      </c>
      <c r="B62" s="34">
        <v>190120667.55000028</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4869B-385C-4EC5-BEA7-57D35E5E59ED}">
  <dimension ref="A2:W3"/>
  <sheetViews>
    <sheetView showGridLines="0" topLeftCell="A30" workbookViewId="0">
      <selection activeCell="B7" sqref="B7"/>
    </sheetView>
  </sheetViews>
  <sheetFormatPr defaultRowHeight="14.4" x14ac:dyDescent="0.3"/>
  <cols>
    <col min="1" max="5" width="8.88671875" style="41"/>
    <col min="6" max="6" width="11.6640625" style="41" customWidth="1"/>
    <col min="7" max="16384" width="8.88671875" style="41"/>
  </cols>
  <sheetData>
    <row r="2" spans="1:23" x14ac:dyDescent="0.3">
      <c r="A2" s="43" t="s">
        <v>1657</v>
      </c>
      <c r="B2" s="44"/>
      <c r="C2" s="44"/>
      <c r="D2" s="44"/>
      <c r="E2" s="44"/>
      <c r="F2" s="44"/>
      <c r="G2" s="44"/>
      <c r="H2" s="44"/>
      <c r="I2" s="44"/>
      <c r="J2" s="44"/>
      <c r="K2" s="44"/>
      <c r="L2" s="44"/>
      <c r="M2" s="44"/>
      <c r="N2" s="44"/>
      <c r="O2" s="44"/>
      <c r="P2" s="44"/>
      <c r="Q2" s="44"/>
      <c r="R2" s="44"/>
      <c r="S2" s="44"/>
      <c r="T2" s="44"/>
      <c r="U2" s="44"/>
      <c r="V2" s="44"/>
      <c r="W2" s="44"/>
    </row>
    <row r="3" spans="1:23" x14ac:dyDescent="0.3">
      <c r="A3" s="44"/>
      <c r="B3" s="44"/>
      <c r="C3" s="44"/>
      <c r="D3" s="44"/>
      <c r="E3" s="44"/>
      <c r="F3" s="44"/>
      <c r="G3" s="44"/>
      <c r="H3" s="44"/>
      <c r="I3" s="44"/>
      <c r="J3" s="44"/>
      <c r="K3" s="44"/>
      <c r="L3" s="44"/>
      <c r="M3" s="44"/>
      <c r="N3" s="44"/>
      <c r="O3" s="44"/>
      <c r="P3" s="44"/>
      <c r="Q3" s="44"/>
      <c r="R3" s="44"/>
      <c r="S3" s="44"/>
      <c r="T3" s="44"/>
      <c r="U3" s="44"/>
      <c r="V3" s="44"/>
      <c r="W3" s="44"/>
    </row>
  </sheetData>
  <mergeCells count="1">
    <mergeCell ref="A2: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01"/>
  <sheetViews>
    <sheetView tabSelected="1" topLeftCell="F1" workbookViewId="0">
      <pane ySplit="1" topLeftCell="A2" activePane="bottomLeft" state="frozen"/>
      <selection pane="bottomLeft" activeCell="F1" sqref="F1"/>
    </sheetView>
  </sheetViews>
  <sheetFormatPr defaultRowHeight="14.4" x14ac:dyDescent="0.3"/>
  <cols>
    <col min="1" max="1" width="12.44140625" bestFit="1" customWidth="1"/>
    <col min="2" max="2" width="14.5546875" bestFit="1" customWidth="1"/>
    <col min="3" max="3" width="12.77734375" bestFit="1" customWidth="1"/>
    <col min="4" max="4" width="15.21875" bestFit="1" customWidth="1"/>
    <col min="5" max="5" width="18.77734375" bestFit="1" customWidth="1"/>
    <col min="6" max="6" width="26" bestFit="1" customWidth="1"/>
    <col min="7" max="7" width="19" bestFit="1" customWidth="1"/>
    <col min="8" max="8" width="20.6640625" bestFit="1" customWidth="1"/>
    <col min="9" max="9" width="26.5546875" bestFit="1" customWidth="1"/>
    <col min="10" max="10" width="14" bestFit="1" customWidth="1"/>
    <col min="11" max="11" width="18.88671875" bestFit="1" customWidth="1"/>
    <col min="12" max="12" width="16.109375" bestFit="1" customWidth="1"/>
    <col min="13" max="13" width="15.88671875" bestFit="1" customWidth="1"/>
    <col min="14" max="14" width="14.77734375" bestFit="1" customWidth="1"/>
    <col min="15" max="15" width="15.109375" bestFit="1" customWidth="1"/>
  </cols>
  <sheetData>
    <row r="1" spans="1:15" ht="18" x14ac:dyDescent="0.35">
      <c r="A1" s="2" t="s">
        <v>0</v>
      </c>
      <c r="B1" s="3" t="s">
        <v>1</v>
      </c>
      <c r="C1" s="3" t="s">
        <v>2</v>
      </c>
      <c r="D1" s="3" t="s">
        <v>3</v>
      </c>
      <c r="E1" s="17" t="s">
        <v>4</v>
      </c>
      <c r="F1" s="17" t="s">
        <v>5</v>
      </c>
      <c r="G1" s="17" t="s">
        <v>6</v>
      </c>
      <c r="H1" s="17" t="s">
        <v>7</v>
      </c>
      <c r="I1" s="17" t="s">
        <v>8</v>
      </c>
      <c r="J1" s="17" t="s">
        <v>9</v>
      </c>
      <c r="K1" s="17" t="s">
        <v>10</v>
      </c>
      <c r="L1" s="17" t="s">
        <v>11</v>
      </c>
      <c r="M1" s="17" t="s">
        <v>12</v>
      </c>
      <c r="N1" s="17" t="s">
        <v>13</v>
      </c>
      <c r="O1" s="18" t="s">
        <v>14</v>
      </c>
    </row>
    <row r="2" spans="1:15" ht="18" x14ac:dyDescent="0.35">
      <c r="A2" s="4" t="s">
        <v>15</v>
      </c>
      <c r="B2" s="5">
        <v>45292</v>
      </c>
      <c r="C2" s="6" t="s">
        <v>16</v>
      </c>
      <c r="D2" s="6" t="s">
        <v>17</v>
      </c>
      <c r="E2" s="6" t="s">
        <v>18</v>
      </c>
      <c r="F2" s="6" t="s">
        <v>19</v>
      </c>
      <c r="G2" s="6" t="s">
        <v>20</v>
      </c>
      <c r="H2" s="6" t="s">
        <v>21</v>
      </c>
      <c r="I2" s="6" t="s">
        <v>22</v>
      </c>
      <c r="J2" s="6" t="s">
        <v>23</v>
      </c>
      <c r="K2" s="6" t="s">
        <v>24</v>
      </c>
      <c r="L2" s="6">
        <v>26</v>
      </c>
      <c r="M2" s="7">
        <v>4499</v>
      </c>
      <c r="N2" s="8">
        <v>0.15</v>
      </c>
      <c r="O2" s="9">
        <v>2910</v>
      </c>
    </row>
    <row r="3" spans="1:15" ht="18" x14ac:dyDescent="0.35">
      <c r="A3" s="4" t="s">
        <v>25</v>
      </c>
      <c r="B3" s="5">
        <v>45292</v>
      </c>
      <c r="C3" s="6" t="s">
        <v>26</v>
      </c>
      <c r="D3" s="6" t="s">
        <v>27</v>
      </c>
      <c r="E3" s="6" t="s">
        <v>28</v>
      </c>
      <c r="F3" s="6" t="s">
        <v>29</v>
      </c>
      <c r="G3" s="6" t="s">
        <v>30</v>
      </c>
      <c r="H3" s="6" t="s">
        <v>31</v>
      </c>
      <c r="I3" s="6" t="s">
        <v>32</v>
      </c>
      <c r="J3" s="6" t="s">
        <v>33</v>
      </c>
      <c r="K3" s="6" t="s">
        <v>34</v>
      </c>
      <c r="L3" s="6">
        <v>33</v>
      </c>
      <c r="M3" s="7">
        <v>38990</v>
      </c>
      <c r="N3" s="8">
        <v>0.2</v>
      </c>
      <c r="O3" s="9">
        <v>25400</v>
      </c>
    </row>
    <row r="4" spans="1:15" ht="18" x14ac:dyDescent="0.35">
      <c r="A4" s="4" t="s">
        <v>35</v>
      </c>
      <c r="B4" s="5">
        <v>45292</v>
      </c>
      <c r="C4" s="6" t="s">
        <v>36</v>
      </c>
      <c r="D4" s="6" t="s">
        <v>37</v>
      </c>
      <c r="E4" s="6" t="s">
        <v>38</v>
      </c>
      <c r="F4" s="6" t="s">
        <v>39</v>
      </c>
      <c r="G4" s="6" t="s">
        <v>40</v>
      </c>
      <c r="H4" s="6" t="s">
        <v>41</v>
      </c>
      <c r="I4" s="6" t="s">
        <v>42</v>
      </c>
      <c r="J4" s="6" t="s">
        <v>23</v>
      </c>
      <c r="K4" s="6" t="s">
        <v>24</v>
      </c>
      <c r="L4" s="6">
        <v>39</v>
      </c>
      <c r="M4" s="7">
        <v>55230</v>
      </c>
      <c r="N4" s="8">
        <v>0.15</v>
      </c>
      <c r="O4" s="9">
        <v>33800</v>
      </c>
    </row>
    <row r="5" spans="1:15" ht="18" x14ac:dyDescent="0.35">
      <c r="A5" s="4" t="s">
        <v>43</v>
      </c>
      <c r="B5" s="5">
        <v>45292</v>
      </c>
      <c r="C5" s="6" t="s">
        <v>36</v>
      </c>
      <c r="D5" s="6" t="s">
        <v>44</v>
      </c>
      <c r="E5" s="6" t="s">
        <v>38</v>
      </c>
      <c r="F5" s="6" t="s">
        <v>39</v>
      </c>
      <c r="G5" s="6" t="s">
        <v>20</v>
      </c>
      <c r="H5" s="6" t="s">
        <v>45</v>
      </c>
      <c r="I5" s="6" t="s">
        <v>46</v>
      </c>
      <c r="J5" s="6" t="s">
        <v>23</v>
      </c>
      <c r="K5" s="6" t="s">
        <v>24</v>
      </c>
      <c r="L5" s="6">
        <v>19</v>
      </c>
      <c r="M5" s="7">
        <v>1899</v>
      </c>
      <c r="N5" s="8">
        <v>0.08</v>
      </c>
      <c r="O5" s="9">
        <v>1080</v>
      </c>
    </row>
    <row r="6" spans="1:15" ht="18" x14ac:dyDescent="0.35">
      <c r="A6" s="4" t="s">
        <v>47</v>
      </c>
      <c r="B6" s="5">
        <v>45292</v>
      </c>
      <c r="C6" s="6" t="s">
        <v>48</v>
      </c>
      <c r="D6" s="6" t="s">
        <v>49</v>
      </c>
      <c r="E6" s="6" t="s">
        <v>50</v>
      </c>
      <c r="F6" s="6" t="s">
        <v>39</v>
      </c>
      <c r="G6" s="6" t="s">
        <v>20</v>
      </c>
      <c r="H6" s="6" t="s">
        <v>21</v>
      </c>
      <c r="I6" s="6" t="s">
        <v>51</v>
      </c>
      <c r="J6" s="6" t="s">
        <v>33</v>
      </c>
      <c r="K6" s="6" t="s">
        <v>24</v>
      </c>
      <c r="L6" s="6">
        <v>36</v>
      </c>
      <c r="M6" s="7">
        <v>5999</v>
      </c>
      <c r="N6" s="8">
        <v>0.05</v>
      </c>
      <c r="O6" s="9">
        <v>3890</v>
      </c>
    </row>
    <row r="7" spans="1:15" ht="18" x14ac:dyDescent="0.35">
      <c r="A7" s="4" t="s">
        <v>52</v>
      </c>
      <c r="B7" s="5">
        <v>45293</v>
      </c>
      <c r="C7" s="6" t="s">
        <v>26</v>
      </c>
      <c r="D7" s="6" t="s">
        <v>53</v>
      </c>
      <c r="E7" s="6" t="s">
        <v>50</v>
      </c>
      <c r="F7" s="6" t="s">
        <v>39</v>
      </c>
      <c r="G7" s="6" t="s">
        <v>54</v>
      </c>
      <c r="H7" s="6" t="s">
        <v>55</v>
      </c>
      <c r="I7" s="6" t="s">
        <v>56</v>
      </c>
      <c r="J7" s="6" t="s">
        <v>57</v>
      </c>
      <c r="K7" s="6" t="s">
        <v>24</v>
      </c>
      <c r="L7" s="6">
        <v>33</v>
      </c>
      <c r="M7" s="7">
        <v>7299</v>
      </c>
      <c r="N7" s="8">
        <v>0.1</v>
      </c>
      <c r="O7" s="9">
        <v>5010</v>
      </c>
    </row>
    <row r="8" spans="1:15" ht="18" x14ac:dyDescent="0.35">
      <c r="A8" s="4" t="s">
        <v>58</v>
      </c>
      <c r="B8" s="5">
        <v>45294</v>
      </c>
      <c r="C8" s="6" t="s">
        <v>36</v>
      </c>
      <c r="D8" s="6" t="s">
        <v>59</v>
      </c>
      <c r="E8" s="6" t="s">
        <v>60</v>
      </c>
      <c r="F8" s="6" t="s">
        <v>19</v>
      </c>
      <c r="G8" s="6" t="s">
        <v>30</v>
      </c>
      <c r="H8" s="6" t="s">
        <v>61</v>
      </c>
      <c r="I8" s="6" t="s">
        <v>62</v>
      </c>
      <c r="J8" s="6" t="s">
        <v>23</v>
      </c>
      <c r="K8" s="6" t="s">
        <v>24</v>
      </c>
      <c r="L8" s="6">
        <v>8</v>
      </c>
      <c r="M8" s="7">
        <v>12490</v>
      </c>
      <c r="N8" s="8">
        <v>0.05</v>
      </c>
      <c r="O8" s="9">
        <v>7900</v>
      </c>
    </row>
    <row r="9" spans="1:15" ht="18" x14ac:dyDescent="0.35">
      <c r="A9" s="4" t="s">
        <v>63</v>
      </c>
      <c r="B9" s="5">
        <v>45295</v>
      </c>
      <c r="C9" s="6" t="s">
        <v>26</v>
      </c>
      <c r="D9" s="6" t="s">
        <v>53</v>
      </c>
      <c r="E9" s="6" t="s">
        <v>38</v>
      </c>
      <c r="F9" s="6" t="s">
        <v>39</v>
      </c>
      <c r="G9" s="6" t="s">
        <v>40</v>
      </c>
      <c r="H9" s="6" t="s">
        <v>64</v>
      </c>
      <c r="I9" s="6" t="s">
        <v>65</v>
      </c>
      <c r="J9" s="6" t="s">
        <v>33</v>
      </c>
      <c r="K9" s="6" t="s">
        <v>66</v>
      </c>
      <c r="L9" s="6">
        <v>4</v>
      </c>
      <c r="M9" s="7">
        <v>1930</v>
      </c>
      <c r="N9" s="8">
        <v>0.2</v>
      </c>
      <c r="O9" s="9">
        <v>1120</v>
      </c>
    </row>
    <row r="10" spans="1:15" ht="18" x14ac:dyDescent="0.35">
      <c r="A10" s="4" t="s">
        <v>67</v>
      </c>
      <c r="B10" s="5">
        <v>45295</v>
      </c>
      <c r="C10" s="6" t="s">
        <v>48</v>
      </c>
      <c r="D10" s="6" t="s">
        <v>68</v>
      </c>
      <c r="E10" s="6" t="s">
        <v>69</v>
      </c>
      <c r="F10" s="6" t="s">
        <v>29</v>
      </c>
      <c r="G10" s="6" t="s">
        <v>70</v>
      </c>
      <c r="H10" s="6" t="s">
        <v>71</v>
      </c>
      <c r="I10" s="6" t="s">
        <v>72</v>
      </c>
      <c r="J10" s="6" t="s">
        <v>57</v>
      </c>
      <c r="K10" s="6" t="s">
        <v>34</v>
      </c>
      <c r="L10" s="6">
        <v>31</v>
      </c>
      <c r="M10" s="7">
        <v>3499</v>
      </c>
      <c r="N10" s="8">
        <v>0.15</v>
      </c>
      <c r="O10" s="9">
        <v>2190</v>
      </c>
    </row>
    <row r="11" spans="1:15" ht="18" x14ac:dyDescent="0.35">
      <c r="A11" s="4" t="s">
        <v>73</v>
      </c>
      <c r="B11" s="5">
        <v>45295</v>
      </c>
      <c r="C11" s="6" t="s">
        <v>26</v>
      </c>
      <c r="D11" s="6" t="s">
        <v>74</v>
      </c>
      <c r="E11" s="6" t="s">
        <v>75</v>
      </c>
      <c r="F11" s="6" t="s">
        <v>39</v>
      </c>
      <c r="G11" s="6" t="s">
        <v>40</v>
      </c>
      <c r="H11" s="6" t="s">
        <v>76</v>
      </c>
      <c r="I11" s="6" t="s">
        <v>77</v>
      </c>
      <c r="J11" s="6" t="s">
        <v>33</v>
      </c>
      <c r="K11" s="6" t="s">
        <v>78</v>
      </c>
      <c r="L11" s="6">
        <v>9</v>
      </c>
      <c r="M11" s="7">
        <v>52990</v>
      </c>
      <c r="N11" s="8">
        <v>0.1</v>
      </c>
      <c r="O11" s="9">
        <v>39500</v>
      </c>
    </row>
    <row r="12" spans="1:15" ht="18" x14ac:dyDescent="0.35">
      <c r="A12" s="4" t="s">
        <v>79</v>
      </c>
      <c r="B12" s="5">
        <v>45295</v>
      </c>
      <c r="C12" s="6" t="s">
        <v>36</v>
      </c>
      <c r="D12" s="6" t="s">
        <v>37</v>
      </c>
      <c r="E12" s="6" t="s">
        <v>60</v>
      </c>
      <c r="F12" s="6" t="s">
        <v>29</v>
      </c>
      <c r="G12" s="6" t="s">
        <v>70</v>
      </c>
      <c r="H12" s="6" t="s">
        <v>71</v>
      </c>
      <c r="I12" s="6" t="s">
        <v>80</v>
      </c>
      <c r="J12" s="6" t="s">
        <v>33</v>
      </c>
      <c r="K12" s="6" t="s">
        <v>34</v>
      </c>
      <c r="L12" s="6">
        <v>6</v>
      </c>
      <c r="M12" s="7">
        <v>1299</v>
      </c>
      <c r="N12" s="8">
        <v>0.05</v>
      </c>
      <c r="O12" s="9">
        <v>720</v>
      </c>
    </row>
    <row r="13" spans="1:15" ht="18" x14ac:dyDescent="0.35">
      <c r="A13" s="4" t="s">
        <v>81</v>
      </c>
      <c r="B13" s="5">
        <v>45297</v>
      </c>
      <c r="C13" s="6" t="s">
        <v>82</v>
      </c>
      <c r="D13" s="6" t="s">
        <v>83</v>
      </c>
      <c r="E13" s="6" t="s">
        <v>84</v>
      </c>
      <c r="F13" s="6" t="s">
        <v>29</v>
      </c>
      <c r="G13" s="6" t="s">
        <v>30</v>
      </c>
      <c r="H13" s="6" t="s">
        <v>31</v>
      </c>
      <c r="I13" s="6" t="s">
        <v>85</v>
      </c>
      <c r="J13" s="6" t="s">
        <v>23</v>
      </c>
      <c r="K13" s="6" t="s">
        <v>24</v>
      </c>
      <c r="L13" s="6">
        <v>22</v>
      </c>
      <c r="M13" s="7">
        <v>43500</v>
      </c>
      <c r="N13" s="8">
        <v>0.12</v>
      </c>
      <c r="O13" s="9">
        <v>29520</v>
      </c>
    </row>
    <row r="14" spans="1:15" ht="18" x14ac:dyDescent="0.35">
      <c r="A14" s="4" t="s">
        <v>86</v>
      </c>
      <c r="B14" s="5">
        <v>45297</v>
      </c>
      <c r="C14" s="6" t="s">
        <v>82</v>
      </c>
      <c r="D14" s="6" t="s">
        <v>87</v>
      </c>
      <c r="E14" s="6" t="s">
        <v>84</v>
      </c>
      <c r="F14" s="6" t="s">
        <v>39</v>
      </c>
      <c r="G14" s="6" t="s">
        <v>70</v>
      </c>
      <c r="H14" s="6" t="s">
        <v>71</v>
      </c>
      <c r="I14" s="6" t="s">
        <v>88</v>
      </c>
      <c r="J14" s="6" t="s">
        <v>33</v>
      </c>
      <c r="K14" s="6" t="s">
        <v>24</v>
      </c>
      <c r="L14" s="6">
        <v>35</v>
      </c>
      <c r="M14" s="7">
        <v>999</v>
      </c>
      <c r="N14" s="8">
        <v>0.2</v>
      </c>
      <c r="O14" s="9">
        <v>540</v>
      </c>
    </row>
    <row r="15" spans="1:15" ht="18" x14ac:dyDescent="0.35">
      <c r="A15" s="4" t="s">
        <v>89</v>
      </c>
      <c r="B15" s="5">
        <v>45297</v>
      </c>
      <c r="C15" s="6" t="s">
        <v>16</v>
      </c>
      <c r="D15" s="6" t="s">
        <v>17</v>
      </c>
      <c r="E15" s="6" t="s">
        <v>50</v>
      </c>
      <c r="F15" s="6" t="s">
        <v>19</v>
      </c>
      <c r="G15" s="6" t="s">
        <v>54</v>
      </c>
      <c r="H15" s="6" t="s">
        <v>90</v>
      </c>
      <c r="I15" s="6" t="s">
        <v>91</v>
      </c>
      <c r="J15" s="6" t="s">
        <v>23</v>
      </c>
      <c r="K15" s="6" t="s">
        <v>66</v>
      </c>
      <c r="L15" s="6">
        <v>30</v>
      </c>
      <c r="M15" s="7">
        <v>31990</v>
      </c>
      <c r="N15" s="8">
        <v>0.05</v>
      </c>
      <c r="O15" s="9">
        <v>21800</v>
      </c>
    </row>
    <row r="16" spans="1:15" ht="18" x14ac:dyDescent="0.35">
      <c r="A16" s="4" t="s">
        <v>92</v>
      </c>
      <c r="B16" s="5">
        <v>45298</v>
      </c>
      <c r="C16" s="6" t="s">
        <v>48</v>
      </c>
      <c r="D16" s="6" t="s">
        <v>93</v>
      </c>
      <c r="E16" s="6" t="s">
        <v>38</v>
      </c>
      <c r="F16" s="6" t="s">
        <v>19</v>
      </c>
      <c r="G16" s="6" t="s">
        <v>20</v>
      </c>
      <c r="H16" s="6" t="s">
        <v>21</v>
      </c>
      <c r="I16" s="6" t="s">
        <v>51</v>
      </c>
      <c r="J16" s="6" t="s">
        <v>57</v>
      </c>
      <c r="K16" s="6" t="s">
        <v>24</v>
      </c>
      <c r="L16" s="6">
        <v>6</v>
      </c>
      <c r="M16" s="7">
        <v>5999</v>
      </c>
      <c r="N16" s="8">
        <v>0.15</v>
      </c>
      <c r="O16" s="9">
        <v>3890</v>
      </c>
    </row>
    <row r="17" spans="1:15" ht="18" x14ac:dyDescent="0.35">
      <c r="A17" s="4" t="s">
        <v>94</v>
      </c>
      <c r="B17" s="5">
        <v>45298</v>
      </c>
      <c r="C17" s="6" t="s">
        <v>26</v>
      </c>
      <c r="D17" s="6" t="s">
        <v>53</v>
      </c>
      <c r="E17" s="6" t="s">
        <v>38</v>
      </c>
      <c r="F17" s="6" t="s">
        <v>19</v>
      </c>
      <c r="G17" s="6" t="s">
        <v>30</v>
      </c>
      <c r="H17" s="6" t="s">
        <v>31</v>
      </c>
      <c r="I17" s="6" t="s">
        <v>85</v>
      </c>
      <c r="J17" s="6" t="s">
        <v>33</v>
      </c>
      <c r="K17" s="6" t="s">
        <v>34</v>
      </c>
      <c r="L17" s="6">
        <v>24</v>
      </c>
      <c r="M17" s="7">
        <v>43500</v>
      </c>
      <c r="N17" s="8">
        <v>0.08</v>
      </c>
      <c r="O17" s="9">
        <v>29520</v>
      </c>
    </row>
    <row r="18" spans="1:15" ht="18" x14ac:dyDescent="0.35">
      <c r="A18" s="4" t="s">
        <v>95</v>
      </c>
      <c r="B18" s="5">
        <v>45302</v>
      </c>
      <c r="C18" s="6" t="s">
        <v>36</v>
      </c>
      <c r="D18" s="6" t="s">
        <v>44</v>
      </c>
      <c r="E18" s="6" t="s">
        <v>75</v>
      </c>
      <c r="F18" s="6" t="s">
        <v>19</v>
      </c>
      <c r="G18" s="6" t="s">
        <v>30</v>
      </c>
      <c r="H18" s="6" t="s">
        <v>61</v>
      </c>
      <c r="I18" s="6" t="s">
        <v>96</v>
      </c>
      <c r="J18" s="6" t="s">
        <v>23</v>
      </c>
      <c r="K18" s="6" t="s">
        <v>34</v>
      </c>
      <c r="L18" s="6">
        <v>18</v>
      </c>
      <c r="M18" s="7">
        <v>25110</v>
      </c>
      <c r="N18" s="8">
        <v>0.1</v>
      </c>
      <c r="O18" s="9">
        <v>16730</v>
      </c>
    </row>
    <row r="19" spans="1:15" ht="18" x14ac:dyDescent="0.35">
      <c r="A19" s="4" t="s">
        <v>97</v>
      </c>
      <c r="B19" s="5">
        <v>45302</v>
      </c>
      <c r="C19" s="6" t="s">
        <v>16</v>
      </c>
      <c r="D19" s="6" t="s">
        <v>98</v>
      </c>
      <c r="E19" s="6" t="s">
        <v>69</v>
      </c>
      <c r="F19" s="6" t="s">
        <v>39</v>
      </c>
      <c r="G19" s="6" t="s">
        <v>30</v>
      </c>
      <c r="H19" s="6" t="s">
        <v>61</v>
      </c>
      <c r="I19" s="6" t="s">
        <v>62</v>
      </c>
      <c r="J19" s="6" t="s">
        <v>33</v>
      </c>
      <c r="K19" s="6" t="s">
        <v>66</v>
      </c>
      <c r="L19" s="6">
        <v>7</v>
      </c>
      <c r="M19" s="7">
        <v>12490</v>
      </c>
      <c r="N19" s="8">
        <v>0.18</v>
      </c>
      <c r="O19" s="9">
        <v>7900</v>
      </c>
    </row>
    <row r="20" spans="1:15" ht="18" x14ac:dyDescent="0.35">
      <c r="A20" s="4" t="s">
        <v>99</v>
      </c>
      <c r="B20" s="5">
        <v>45302</v>
      </c>
      <c r="C20" s="6" t="s">
        <v>82</v>
      </c>
      <c r="D20" s="6" t="s">
        <v>100</v>
      </c>
      <c r="E20" s="6" t="s">
        <v>101</v>
      </c>
      <c r="F20" s="6" t="s">
        <v>39</v>
      </c>
      <c r="G20" s="6" t="s">
        <v>40</v>
      </c>
      <c r="H20" s="6" t="s">
        <v>64</v>
      </c>
      <c r="I20" s="6" t="s">
        <v>65</v>
      </c>
      <c r="J20" s="6" t="s">
        <v>57</v>
      </c>
      <c r="K20" s="6" t="s">
        <v>24</v>
      </c>
      <c r="L20" s="6">
        <v>22</v>
      </c>
      <c r="M20" s="7">
        <v>1930</v>
      </c>
      <c r="N20" s="8">
        <v>0.08</v>
      </c>
      <c r="O20" s="9">
        <v>1120</v>
      </c>
    </row>
    <row r="21" spans="1:15" ht="18" x14ac:dyDescent="0.35">
      <c r="A21" s="4" t="s">
        <v>102</v>
      </c>
      <c r="B21" s="5">
        <v>45303</v>
      </c>
      <c r="C21" s="6" t="s">
        <v>36</v>
      </c>
      <c r="D21" s="6" t="s">
        <v>59</v>
      </c>
      <c r="E21" s="6" t="s">
        <v>75</v>
      </c>
      <c r="F21" s="6" t="s">
        <v>19</v>
      </c>
      <c r="G21" s="6" t="s">
        <v>20</v>
      </c>
      <c r="H21" s="6" t="s">
        <v>45</v>
      </c>
      <c r="I21" s="6" t="s">
        <v>103</v>
      </c>
      <c r="J21" s="6" t="s">
        <v>33</v>
      </c>
      <c r="K21" s="6" t="s">
        <v>66</v>
      </c>
      <c r="L21" s="6">
        <v>31</v>
      </c>
      <c r="M21" s="7">
        <v>1599</v>
      </c>
      <c r="N21" s="8">
        <v>0.15</v>
      </c>
      <c r="O21" s="9">
        <v>920</v>
      </c>
    </row>
    <row r="22" spans="1:15" ht="18" x14ac:dyDescent="0.35">
      <c r="A22" s="4" t="s">
        <v>104</v>
      </c>
      <c r="B22" s="5">
        <v>45304</v>
      </c>
      <c r="C22" s="6" t="s">
        <v>48</v>
      </c>
      <c r="D22" s="6" t="s">
        <v>68</v>
      </c>
      <c r="E22" s="6" t="s">
        <v>105</v>
      </c>
      <c r="F22" s="6" t="s">
        <v>29</v>
      </c>
      <c r="G22" s="6" t="s">
        <v>30</v>
      </c>
      <c r="H22" s="6" t="s">
        <v>31</v>
      </c>
      <c r="I22" s="6" t="s">
        <v>106</v>
      </c>
      <c r="J22" s="6" t="s">
        <v>33</v>
      </c>
      <c r="K22" s="6" t="s">
        <v>78</v>
      </c>
      <c r="L22" s="6">
        <v>20</v>
      </c>
      <c r="M22" s="7">
        <v>52990</v>
      </c>
      <c r="N22" s="8">
        <v>0.05</v>
      </c>
      <c r="O22" s="9">
        <v>35100</v>
      </c>
    </row>
    <row r="23" spans="1:15" ht="18" x14ac:dyDescent="0.35">
      <c r="A23" s="4" t="s">
        <v>107</v>
      </c>
      <c r="B23" s="5">
        <v>45306</v>
      </c>
      <c r="C23" s="6" t="s">
        <v>82</v>
      </c>
      <c r="D23" s="6" t="s">
        <v>87</v>
      </c>
      <c r="E23" s="6" t="s">
        <v>105</v>
      </c>
      <c r="F23" s="6" t="s">
        <v>29</v>
      </c>
      <c r="G23" s="6" t="s">
        <v>54</v>
      </c>
      <c r="H23" s="6" t="s">
        <v>55</v>
      </c>
      <c r="I23" s="6" t="s">
        <v>108</v>
      </c>
      <c r="J23" s="6" t="s">
        <v>57</v>
      </c>
      <c r="K23" s="6" t="s">
        <v>66</v>
      </c>
      <c r="L23" s="6">
        <v>23</v>
      </c>
      <c r="M23" s="7">
        <v>5890</v>
      </c>
      <c r="N23" s="8">
        <v>0.15</v>
      </c>
      <c r="O23" s="9">
        <v>3980</v>
      </c>
    </row>
    <row r="24" spans="1:15" ht="18" x14ac:dyDescent="0.35">
      <c r="A24" s="4" t="s">
        <v>109</v>
      </c>
      <c r="B24" s="5">
        <v>45306</v>
      </c>
      <c r="C24" s="6" t="s">
        <v>26</v>
      </c>
      <c r="D24" s="6" t="s">
        <v>74</v>
      </c>
      <c r="E24" s="6" t="s">
        <v>60</v>
      </c>
      <c r="F24" s="6" t="s">
        <v>19</v>
      </c>
      <c r="G24" s="6" t="s">
        <v>70</v>
      </c>
      <c r="H24" s="6" t="s">
        <v>71</v>
      </c>
      <c r="I24" s="6" t="s">
        <v>72</v>
      </c>
      <c r="J24" s="6" t="s">
        <v>33</v>
      </c>
      <c r="K24" s="6" t="s">
        <v>24</v>
      </c>
      <c r="L24" s="6">
        <v>6</v>
      </c>
      <c r="M24" s="7">
        <v>3499</v>
      </c>
      <c r="N24" s="8">
        <v>0.1</v>
      </c>
      <c r="O24" s="9">
        <v>2190</v>
      </c>
    </row>
    <row r="25" spans="1:15" ht="18" x14ac:dyDescent="0.35">
      <c r="A25" s="4" t="s">
        <v>110</v>
      </c>
      <c r="B25" s="5">
        <v>45306</v>
      </c>
      <c r="C25" s="6" t="s">
        <v>16</v>
      </c>
      <c r="D25" s="6" t="s">
        <v>111</v>
      </c>
      <c r="E25" s="6" t="s">
        <v>28</v>
      </c>
      <c r="F25" s="6" t="s">
        <v>19</v>
      </c>
      <c r="G25" s="6" t="s">
        <v>70</v>
      </c>
      <c r="H25" s="6" t="s">
        <v>71</v>
      </c>
      <c r="I25" s="6" t="s">
        <v>80</v>
      </c>
      <c r="J25" s="6" t="s">
        <v>57</v>
      </c>
      <c r="K25" s="6" t="s">
        <v>34</v>
      </c>
      <c r="L25" s="6">
        <v>30</v>
      </c>
      <c r="M25" s="7">
        <v>1299</v>
      </c>
      <c r="N25" s="8">
        <v>0.15</v>
      </c>
      <c r="O25" s="9">
        <v>720</v>
      </c>
    </row>
    <row r="26" spans="1:15" ht="18" x14ac:dyDescent="0.35">
      <c r="A26" s="4" t="s">
        <v>112</v>
      </c>
      <c r="B26" s="5">
        <v>45306</v>
      </c>
      <c r="C26" s="6" t="s">
        <v>16</v>
      </c>
      <c r="D26" s="6" t="s">
        <v>98</v>
      </c>
      <c r="E26" s="6" t="s">
        <v>101</v>
      </c>
      <c r="F26" s="6" t="s">
        <v>39</v>
      </c>
      <c r="G26" s="6" t="s">
        <v>40</v>
      </c>
      <c r="H26" s="6" t="s">
        <v>76</v>
      </c>
      <c r="I26" s="6" t="s">
        <v>113</v>
      </c>
      <c r="J26" s="6" t="s">
        <v>23</v>
      </c>
      <c r="K26" s="6" t="s">
        <v>24</v>
      </c>
      <c r="L26" s="6">
        <v>21</v>
      </c>
      <c r="M26" s="7">
        <v>22999</v>
      </c>
      <c r="N26" s="8">
        <v>0.08</v>
      </c>
      <c r="O26" s="9">
        <v>15100</v>
      </c>
    </row>
    <row r="27" spans="1:15" ht="18" x14ac:dyDescent="0.35">
      <c r="A27" s="4" t="s">
        <v>114</v>
      </c>
      <c r="B27" s="5">
        <v>45307</v>
      </c>
      <c r="C27" s="6" t="s">
        <v>48</v>
      </c>
      <c r="D27" s="6" t="s">
        <v>68</v>
      </c>
      <c r="E27" s="6" t="s">
        <v>84</v>
      </c>
      <c r="F27" s="6" t="s">
        <v>29</v>
      </c>
      <c r="G27" s="6" t="s">
        <v>20</v>
      </c>
      <c r="H27" s="6" t="s">
        <v>21</v>
      </c>
      <c r="I27" s="6" t="s">
        <v>115</v>
      </c>
      <c r="J27" s="6" t="s">
        <v>23</v>
      </c>
      <c r="K27" s="6" t="s">
        <v>34</v>
      </c>
      <c r="L27" s="6">
        <v>26</v>
      </c>
      <c r="M27" s="7">
        <v>6499</v>
      </c>
      <c r="N27" s="8">
        <v>0.12</v>
      </c>
      <c r="O27" s="9">
        <v>4210</v>
      </c>
    </row>
    <row r="28" spans="1:15" ht="18" x14ac:dyDescent="0.35">
      <c r="A28" s="4" t="s">
        <v>116</v>
      </c>
      <c r="B28" s="5">
        <v>45307</v>
      </c>
      <c r="C28" s="6" t="s">
        <v>16</v>
      </c>
      <c r="D28" s="6" t="s">
        <v>111</v>
      </c>
      <c r="E28" s="6" t="s">
        <v>101</v>
      </c>
      <c r="F28" s="6" t="s">
        <v>29</v>
      </c>
      <c r="G28" s="6" t="s">
        <v>70</v>
      </c>
      <c r="H28" s="6" t="s">
        <v>71</v>
      </c>
      <c r="I28" s="6" t="s">
        <v>80</v>
      </c>
      <c r="J28" s="6" t="s">
        <v>23</v>
      </c>
      <c r="K28" s="6" t="s">
        <v>24</v>
      </c>
      <c r="L28" s="6">
        <v>25</v>
      </c>
      <c r="M28" s="7">
        <v>1299</v>
      </c>
      <c r="N28" s="8">
        <v>0.2</v>
      </c>
      <c r="O28" s="9">
        <v>720</v>
      </c>
    </row>
    <row r="29" spans="1:15" ht="18" x14ac:dyDescent="0.35">
      <c r="A29" s="4" t="s">
        <v>117</v>
      </c>
      <c r="B29" s="5">
        <v>45308</v>
      </c>
      <c r="C29" s="6" t="s">
        <v>82</v>
      </c>
      <c r="D29" s="6" t="s">
        <v>87</v>
      </c>
      <c r="E29" s="6" t="s">
        <v>69</v>
      </c>
      <c r="F29" s="6" t="s">
        <v>19</v>
      </c>
      <c r="G29" s="6" t="s">
        <v>70</v>
      </c>
      <c r="H29" s="6" t="s">
        <v>71</v>
      </c>
      <c r="I29" s="6" t="s">
        <v>88</v>
      </c>
      <c r="J29" s="6" t="s">
        <v>57</v>
      </c>
      <c r="K29" s="6" t="s">
        <v>24</v>
      </c>
      <c r="L29" s="6">
        <v>15</v>
      </c>
      <c r="M29" s="7">
        <v>999</v>
      </c>
      <c r="N29" s="8">
        <v>0.2</v>
      </c>
      <c r="O29" s="9">
        <v>540</v>
      </c>
    </row>
    <row r="30" spans="1:15" ht="18" x14ac:dyDescent="0.35">
      <c r="A30" s="4" t="s">
        <v>118</v>
      </c>
      <c r="B30" s="5">
        <v>45308</v>
      </c>
      <c r="C30" s="6" t="s">
        <v>36</v>
      </c>
      <c r="D30" s="6" t="s">
        <v>44</v>
      </c>
      <c r="E30" s="6" t="s">
        <v>75</v>
      </c>
      <c r="F30" s="6" t="s">
        <v>29</v>
      </c>
      <c r="G30" s="6" t="s">
        <v>40</v>
      </c>
      <c r="H30" s="6" t="s">
        <v>41</v>
      </c>
      <c r="I30" s="6" t="s">
        <v>119</v>
      </c>
      <c r="J30" s="6" t="s">
        <v>57</v>
      </c>
      <c r="K30" s="6" t="s">
        <v>24</v>
      </c>
      <c r="L30" s="6">
        <v>25</v>
      </c>
      <c r="M30" s="7">
        <v>48990</v>
      </c>
      <c r="N30" s="8">
        <v>0.15</v>
      </c>
      <c r="O30" s="9">
        <v>30100</v>
      </c>
    </row>
    <row r="31" spans="1:15" ht="18" x14ac:dyDescent="0.35">
      <c r="A31" s="4" t="s">
        <v>120</v>
      </c>
      <c r="B31" s="5">
        <v>45308</v>
      </c>
      <c r="C31" s="6" t="s">
        <v>36</v>
      </c>
      <c r="D31" s="6" t="s">
        <v>121</v>
      </c>
      <c r="E31" s="6" t="s">
        <v>75</v>
      </c>
      <c r="F31" s="6" t="s">
        <v>29</v>
      </c>
      <c r="G31" s="6" t="s">
        <v>54</v>
      </c>
      <c r="H31" s="6" t="s">
        <v>55</v>
      </c>
      <c r="I31" s="6" t="s">
        <v>108</v>
      </c>
      <c r="J31" s="6" t="s">
        <v>57</v>
      </c>
      <c r="K31" s="6" t="s">
        <v>24</v>
      </c>
      <c r="L31" s="6">
        <v>10</v>
      </c>
      <c r="M31" s="7">
        <v>5890</v>
      </c>
      <c r="N31" s="8">
        <v>0.2</v>
      </c>
      <c r="O31" s="9">
        <v>3980</v>
      </c>
    </row>
    <row r="32" spans="1:15" ht="18" x14ac:dyDescent="0.35">
      <c r="A32" s="4" t="s">
        <v>122</v>
      </c>
      <c r="B32" s="5">
        <v>45308</v>
      </c>
      <c r="C32" s="6" t="s">
        <v>36</v>
      </c>
      <c r="D32" s="6" t="s">
        <v>121</v>
      </c>
      <c r="E32" s="6" t="s">
        <v>50</v>
      </c>
      <c r="F32" s="6" t="s">
        <v>39</v>
      </c>
      <c r="G32" s="6" t="s">
        <v>20</v>
      </c>
      <c r="H32" s="6" t="s">
        <v>21</v>
      </c>
      <c r="I32" s="6" t="s">
        <v>22</v>
      </c>
      <c r="J32" s="6" t="s">
        <v>33</v>
      </c>
      <c r="K32" s="6" t="s">
        <v>24</v>
      </c>
      <c r="L32" s="6">
        <v>21</v>
      </c>
      <c r="M32" s="7">
        <v>4499</v>
      </c>
      <c r="N32" s="8">
        <v>0.18</v>
      </c>
      <c r="O32" s="9">
        <v>2910</v>
      </c>
    </row>
    <row r="33" spans="1:15" ht="18" x14ac:dyDescent="0.35">
      <c r="A33" s="4" t="s">
        <v>123</v>
      </c>
      <c r="B33" s="5">
        <v>45310</v>
      </c>
      <c r="C33" s="6" t="s">
        <v>16</v>
      </c>
      <c r="D33" s="6" t="s">
        <v>17</v>
      </c>
      <c r="E33" s="6" t="s">
        <v>28</v>
      </c>
      <c r="F33" s="6" t="s">
        <v>39</v>
      </c>
      <c r="G33" s="6" t="s">
        <v>20</v>
      </c>
      <c r="H33" s="6" t="s">
        <v>21</v>
      </c>
      <c r="I33" s="6" t="s">
        <v>115</v>
      </c>
      <c r="J33" s="6" t="s">
        <v>33</v>
      </c>
      <c r="K33" s="6" t="s">
        <v>66</v>
      </c>
      <c r="L33" s="6">
        <v>10</v>
      </c>
      <c r="M33" s="7">
        <v>6499</v>
      </c>
      <c r="N33" s="8">
        <v>0.15</v>
      </c>
      <c r="O33" s="9">
        <v>4210</v>
      </c>
    </row>
    <row r="34" spans="1:15" ht="18" x14ac:dyDescent="0.35">
      <c r="A34" s="4" t="s">
        <v>124</v>
      </c>
      <c r="B34" s="5">
        <v>45310</v>
      </c>
      <c r="C34" s="6" t="s">
        <v>48</v>
      </c>
      <c r="D34" s="6" t="s">
        <v>49</v>
      </c>
      <c r="E34" s="6" t="s">
        <v>75</v>
      </c>
      <c r="F34" s="6" t="s">
        <v>29</v>
      </c>
      <c r="G34" s="6" t="s">
        <v>40</v>
      </c>
      <c r="H34" s="6" t="s">
        <v>76</v>
      </c>
      <c r="I34" s="6" t="s">
        <v>113</v>
      </c>
      <c r="J34" s="6" t="s">
        <v>57</v>
      </c>
      <c r="K34" s="6" t="s">
        <v>24</v>
      </c>
      <c r="L34" s="6">
        <v>12</v>
      </c>
      <c r="M34" s="7">
        <v>22999</v>
      </c>
      <c r="N34" s="8">
        <v>0.2</v>
      </c>
      <c r="O34" s="9">
        <v>15100</v>
      </c>
    </row>
    <row r="35" spans="1:15" ht="18" x14ac:dyDescent="0.35">
      <c r="A35" s="4" t="s">
        <v>125</v>
      </c>
      <c r="B35" s="5">
        <v>45310</v>
      </c>
      <c r="C35" s="6" t="s">
        <v>16</v>
      </c>
      <c r="D35" s="6" t="s">
        <v>126</v>
      </c>
      <c r="E35" s="6" t="s">
        <v>38</v>
      </c>
      <c r="F35" s="6" t="s">
        <v>19</v>
      </c>
      <c r="G35" s="6" t="s">
        <v>30</v>
      </c>
      <c r="H35" s="6" t="s">
        <v>61</v>
      </c>
      <c r="I35" s="6" t="s">
        <v>96</v>
      </c>
      <c r="J35" s="6" t="s">
        <v>23</v>
      </c>
      <c r="K35" s="6" t="s">
        <v>66</v>
      </c>
      <c r="L35" s="6">
        <v>9</v>
      </c>
      <c r="M35" s="7">
        <v>25110</v>
      </c>
      <c r="N35" s="8">
        <v>0.08</v>
      </c>
      <c r="O35" s="9">
        <v>16730</v>
      </c>
    </row>
    <row r="36" spans="1:15" ht="18" x14ac:dyDescent="0.35">
      <c r="A36" s="4" t="s">
        <v>127</v>
      </c>
      <c r="B36" s="5">
        <v>45310</v>
      </c>
      <c r="C36" s="6" t="s">
        <v>26</v>
      </c>
      <c r="D36" s="6" t="s">
        <v>74</v>
      </c>
      <c r="E36" s="6" t="s">
        <v>38</v>
      </c>
      <c r="F36" s="6" t="s">
        <v>19</v>
      </c>
      <c r="G36" s="6" t="s">
        <v>70</v>
      </c>
      <c r="H36" s="6" t="s">
        <v>71</v>
      </c>
      <c r="I36" s="6" t="s">
        <v>72</v>
      </c>
      <c r="J36" s="6" t="s">
        <v>57</v>
      </c>
      <c r="K36" s="6" t="s">
        <v>24</v>
      </c>
      <c r="L36" s="6">
        <v>19</v>
      </c>
      <c r="M36" s="7">
        <v>3499</v>
      </c>
      <c r="N36" s="8">
        <v>0.08</v>
      </c>
      <c r="O36" s="9">
        <v>2190</v>
      </c>
    </row>
    <row r="37" spans="1:15" ht="18" x14ac:dyDescent="0.35">
      <c r="A37" s="4" t="s">
        <v>128</v>
      </c>
      <c r="B37" s="5">
        <v>45312</v>
      </c>
      <c r="C37" s="6" t="s">
        <v>36</v>
      </c>
      <c r="D37" s="6" t="s">
        <v>59</v>
      </c>
      <c r="E37" s="6" t="s">
        <v>75</v>
      </c>
      <c r="F37" s="6" t="s">
        <v>29</v>
      </c>
      <c r="G37" s="6" t="s">
        <v>54</v>
      </c>
      <c r="H37" s="6" t="s">
        <v>129</v>
      </c>
      <c r="I37" s="6" t="s">
        <v>130</v>
      </c>
      <c r="J37" s="6" t="s">
        <v>23</v>
      </c>
      <c r="K37" s="6" t="s">
        <v>24</v>
      </c>
      <c r="L37" s="6">
        <v>18</v>
      </c>
      <c r="M37" s="7">
        <v>27890</v>
      </c>
      <c r="N37" s="8">
        <v>0.15</v>
      </c>
      <c r="O37" s="9">
        <v>18800</v>
      </c>
    </row>
    <row r="38" spans="1:15" ht="18" x14ac:dyDescent="0.35">
      <c r="A38" s="4" t="s">
        <v>131</v>
      </c>
      <c r="B38" s="5">
        <v>45312</v>
      </c>
      <c r="C38" s="6" t="s">
        <v>16</v>
      </c>
      <c r="D38" s="6" t="s">
        <v>111</v>
      </c>
      <c r="E38" s="6" t="s">
        <v>28</v>
      </c>
      <c r="F38" s="6" t="s">
        <v>39</v>
      </c>
      <c r="G38" s="6" t="s">
        <v>54</v>
      </c>
      <c r="H38" s="6" t="s">
        <v>55</v>
      </c>
      <c r="I38" s="6" t="s">
        <v>108</v>
      </c>
      <c r="J38" s="6" t="s">
        <v>57</v>
      </c>
      <c r="K38" s="6" t="s">
        <v>24</v>
      </c>
      <c r="L38" s="6">
        <v>9</v>
      </c>
      <c r="M38" s="7">
        <v>5890</v>
      </c>
      <c r="N38" s="8">
        <v>0.1</v>
      </c>
      <c r="O38" s="9">
        <v>3980</v>
      </c>
    </row>
    <row r="39" spans="1:15" ht="18" x14ac:dyDescent="0.35">
      <c r="A39" s="4" t="s">
        <v>132</v>
      </c>
      <c r="B39" s="5">
        <v>45313</v>
      </c>
      <c r="C39" s="6" t="s">
        <v>36</v>
      </c>
      <c r="D39" s="6" t="s">
        <v>44</v>
      </c>
      <c r="E39" s="6" t="s">
        <v>38</v>
      </c>
      <c r="F39" s="6" t="s">
        <v>39</v>
      </c>
      <c r="G39" s="6" t="s">
        <v>40</v>
      </c>
      <c r="H39" s="6" t="s">
        <v>64</v>
      </c>
      <c r="I39" s="6" t="s">
        <v>65</v>
      </c>
      <c r="J39" s="6" t="s">
        <v>57</v>
      </c>
      <c r="K39" s="6" t="s">
        <v>78</v>
      </c>
      <c r="L39" s="6">
        <v>24</v>
      </c>
      <c r="M39" s="7">
        <v>1930</v>
      </c>
      <c r="N39" s="8">
        <v>0.15</v>
      </c>
      <c r="O39" s="9">
        <v>1120</v>
      </c>
    </row>
    <row r="40" spans="1:15" ht="18" x14ac:dyDescent="0.35">
      <c r="A40" s="4" t="s">
        <v>133</v>
      </c>
      <c r="B40" s="5">
        <v>45313</v>
      </c>
      <c r="C40" s="6" t="s">
        <v>82</v>
      </c>
      <c r="D40" s="6" t="s">
        <v>87</v>
      </c>
      <c r="E40" s="6" t="s">
        <v>105</v>
      </c>
      <c r="F40" s="6" t="s">
        <v>29</v>
      </c>
      <c r="G40" s="6" t="s">
        <v>54</v>
      </c>
      <c r="H40" s="6" t="s">
        <v>90</v>
      </c>
      <c r="I40" s="6" t="s">
        <v>134</v>
      </c>
      <c r="J40" s="6" t="s">
        <v>33</v>
      </c>
      <c r="K40" s="6" t="s">
        <v>24</v>
      </c>
      <c r="L40" s="6">
        <v>24</v>
      </c>
      <c r="M40" s="7">
        <v>32800</v>
      </c>
      <c r="N40" s="8">
        <v>0.08</v>
      </c>
      <c r="O40" s="9">
        <v>23100</v>
      </c>
    </row>
    <row r="41" spans="1:15" ht="18" x14ac:dyDescent="0.35">
      <c r="A41" s="4" t="s">
        <v>135</v>
      </c>
      <c r="B41" s="5">
        <v>45313</v>
      </c>
      <c r="C41" s="6" t="s">
        <v>48</v>
      </c>
      <c r="D41" s="6" t="s">
        <v>136</v>
      </c>
      <c r="E41" s="6" t="s">
        <v>28</v>
      </c>
      <c r="F41" s="6" t="s">
        <v>39</v>
      </c>
      <c r="G41" s="6" t="s">
        <v>20</v>
      </c>
      <c r="H41" s="6" t="s">
        <v>45</v>
      </c>
      <c r="I41" s="6" t="s">
        <v>103</v>
      </c>
      <c r="J41" s="6" t="s">
        <v>33</v>
      </c>
      <c r="K41" s="6" t="s">
        <v>34</v>
      </c>
      <c r="L41" s="6">
        <v>26</v>
      </c>
      <c r="M41" s="7">
        <v>1599</v>
      </c>
      <c r="N41" s="8">
        <v>0.2</v>
      </c>
      <c r="O41" s="9">
        <v>920</v>
      </c>
    </row>
    <row r="42" spans="1:15" ht="18" x14ac:dyDescent="0.35">
      <c r="A42" s="4" t="s">
        <v>137</v>
      </c>
      <c r="B42" s="5">
        <v>45313</v>
      </c>
      <c r="C42" s="6" t="s">
        <v>36</v>
      </c>
      <c r="D42" s="6" t="s">
        <v>44</v>
      </c>
      <c r="E42" s="6" t="s">
        <v>105</v>
      </c>
      <c r="F42" s="6" t="s">
        <v>19</v>
      </c>
      <c r="G42" s="6" t="s">
        <v>70</v>
      </c>
      <c r="H42" s="6" t="s">
        <v>71</v>
      </c>
      <c r="I42" s="6" t="s">
        <v>88</v>
      </c>
      <c r="J42" s="6" t="s">
        <v>33</v>
      </c>
      <c r="K42" s="6" t="s">
        <v>34</v>
      </c>
      <c r="L42" s="6">
        <v>30</v>
      </c>
      <c r="M42" s="7">
        <v>999</v>
      </c>
      <c r="N42" s="8">
        <v>0.2</v>
      </c>
      <c r="O42" s="9">
        <v>540</v>
      </c>
    </row>
    <row r="43" spans="1:15" ht="18" x14ac:dyDescent="0.35">
      <c r="A43" s="4" t="s">
        <v>138</v>
      </c>
      <c r="B43" s="5">
        <v>45314</v>
      </c>
      <c r="C43" s="6" t="s">
        <v>82</v>
      </c>
      <c r="D43" s="6" t="s">
        <v>100</v>
      </c>
      <c r="E43" s="6" t="s">
        <v>105</v>
      </c>
      <c r="F43" s="6" t="s">
        <v>29</v>
      </c>
      <c r="G43" s="6" t="s">
        <v>40</v>
      </c>
      <c r="H43" s="6" t="s">
        <v>76</v>
      </c>
      <c r="I43" s="6" t="s">
        <v>139</v>
      </c>
      <c r="J43" s="6" t="s">
        <v>57</v>
      </c>
      <c r="K43" s="6" t="s">
        <v>24</v>
      </c>
      <c r="L43" s="6">
        <v>39</v>
      </c>
      <c r="M43" s="7">
        <v>25999</v>
      </c>
      <c r="N43" s="8">
        <v>0.1</v>
      </c>
      <c r="O43" s="9">
        <v>17800</v>
      </c>
    </row>
    <row r="44" spans="1:15" ht="18" x14ac:dyDescent="0.35">
      <c r="A44" s="4" t="s">
        <v>140</v>
      </c>
      <c r="B44" s="5">
        <v>45315</v>
      </c>
      <c r="C44" s="6" t="s">
        <v>82</v>
      </c>
      <c r="D44" s="6" t="s">
        <v>83</v>
      </c>
      <c r="E44" s="6" t="s">
        <v>18</v>
      </c>
      <c r="F44" s="6" t="s">
        <v>19</v>
      </c>
      <c r="G44" s="6" t="s">
        <v>54</v>
      </c>
      <c r="H44" s="6" t="s">
        <v>90</v>
      </c>
      <c r="I44" s="6" t="s">
        <v>134</v>
      </c>
      <c r="J44" s="6" t="s">
        <v>23</v>
      </c>
      <c r="K44" s="6" t="s">
        <v>78</v>
      </c>
      <c r="L44" s="6">
        <v>9</v>
      </c>
      <c r="M44" s="7">
        <v>32800</v>
      </c>
      <c r="N44" s="8">
        <v>0.1</v>
      </c>
      <c r="O44" s="9">
        <v>23100</v>
      </c>
    </row>
    <row r="45" spans="1:15" ht="18" x14ac:dyDescent="0.35">
      <c r="A45" s="4" t="s">
        <v>141</v>
      </c>
      <c r="B45" s="5">
        <v>45316</v>
      </c>
      <c r="C45" s="6" t="s">
        <v>16</v>
      </c>
      <c r="D45" s="6" t="s">
        <v>111</v>
      </c>
      <c r="E45" s="6" t="s">
        <v>75</v>
      </c>
      <c r="F45" s="6" t="s">
        <v>39</v>
      </c>
      <c r="G45" s="6" t="s">
        <v>70</v>
      </c>
      <c r="H45" s="6" t="s">
        <v>71</v>
      </c>
      <c r="I45" s="6" t="s">
        <v>88</v>
      </c>
      <c r="J45" s="6" t="s">
        <v>23</v>
      </c>
      <c r="K45" s="6" t="s">
        <v>34</v>
      </c>
      <c r="L45" s="6">
        <v>36</v>
      </c>
      <c r="M45" s="7">
        <v>999</v>
      </c>
      <c r="N45" s="8">
        <v>0.12</v>
      </c>
      <c r="O45" s="9">
        <v>540</v>
      </c>
    </row>
    <row r="46" spans="1:15" ht="18" x14ac:dyDescent="0.35">
      <c r="A46" s="4" t="s">
        <v>142</v>
      </c>
      <c r="B46" s="5">
        <v>45317</v>
      </c>
      <c r="C46" s="6" t="s">
        <v>16</v>
      </c>
      <c r="D46" s="6" t="s">
        <v>98</v>
      </c>
      <c r="E46" s="6" t="s">
        <v>105</v>
      </c>
      <c r="F46" s="6" t="s">
        <v>29</v>
      </c>
      <c r="G46" s="6" t="s">
        <v>20</v>
      </c>
      <c r="H46" s="6" t="s">
        <v>21</v>
      </c>
      <c r="I46" s="6" t="s">
        <v>51</v>
      </c>
      <c r="J46" s="6" t="s">
        <v>57</v>
      </c>
      <c r="K46" s="6" t="s">
        <v>24</v>
      </c>
      <c r="L46" s="6">
        <v>10</v>
      </c>
      <c r="M46" s="7">
        <v>5999</v>
      </c>
      <c r="N46" s="8">
        <v>0.05</v>
      </c>
      <c r="O46" s="9">
        <v>3890</v>
      </c>
    </row>
    <row r="47" spans="1:15" ht="18" x14ac:dyDescent="0.35">
      <c r="A47" s="4" t="s">
        <v>143</v>
      </c>
      <c r="B47" s="5">
        <v>45317</v>
      </c>
      <c r="C47" s="6" t="s">
        <v>82</v>
      </c>
      <c r="D47" s="6" t="s">
        <v>83</v>
      </c>
      <c r="E47" s="6" t="s">
        <v>50</v>
      </c>
      <c r="F47" s="6" t="s">
        <v>29</v>
      </c>
      <c r="G47" s="6" t="s">
        <v>54</v>
      </c>
      <c r="H47" s="6" t="s">
        <v>55</v>
      </c>
      <c r="I47" s="6" t="s">
        <v>56</v>
      </c>
      <c r="J47" s="6" t="s">
        <v>23</v>
      </c>
      <c r="K47" s="6" t="s">
        <v>24</v>
      </c>
      <c r="L47" s="6">
        <v>35</v>
      </c>
      <c r="M47" s="7">
        <v>7299</v>
      </c>
      <c r="N47" s="8">
        <v>0.12</v>
      </c>
      <c r="O47" s="9">
        <v>5010</v>
      </c>
    </row>
    <row r="48" spans="1:15" ht="18" x14ac:dyDescent="0.35">
      <c r="A48" s="4" t="s">
        <v>144</v>
      </c>
      <c r="B48" s="5">
        <v>45318</v>
      </c>
      <c r="C48" s="6" t="s">
        <v>36</v>
      </c>
      <c r="D48" s="6" t="s">
        <v>44</v>
      </c>
      <c r="E48" s="6" t="s">
        <v>69</v>
      </c>
      <c r="F48" s="6" t="s">
        <v>29</v>
      </c>
      <c r="G48" s="6" t="s">
        <v>54</v>
      </c>
      <c r="H48" s="6" t="s">
        <v>129</v>
      </c>
      <c r="I48" s="6" t="s">
        <v>145</v>
      </c>
      <c r="J48" s="6" t="s">
        <v>23</v>
      </c>
      <c r="K48" s="6" t="s">
        <v>34</v>
      </c>
      <c r="L48" s="6">
        <v>29</v>
      </c>
      <c r="M48" s="7">
        <v>31490</v>
      </c>
      <c r="N48" s="8">
        <v>0.2</v>
      </c>
      <c r="O48" s="9">
        <v>21300</v>
      </c>
    </row>
    <row r="49" spans="1:15" ht="18" x14ac:dyDescent="0.35">
      <c r="A49" s="4" t="s">
        <v>146</v>
      </c>
      <c r="B49" s="5">
        <v>45320</v>
      </c>
      <c r="C49" s="6" t="s">
        <v>82</v>
      </c>
      <c r="D49" s="6" t="s">
        <v>83</v>
      </c>
      <c r="E49" s="6" t="s">
        <v>84</v>
      </c>
      <c r="F49" s="6" t="s">
        <v>39</v>
      </c>
      <c r="G49" s="6" t="s">
        <v>40</v>
      </c>
      <c r="H49" s="6" t="s">
        <v>41</v>
      </c>
      <c r="I49" s="6" t="s">
        <v>42</v>
      </c>
      <c r="J49" s="6" t="s">
        <v>57</v>
      </c>
      <c r="K49" s="6" t="s">
        <v>34</v>
      </c>
      <c r="L49" s="6">
        <v>36</v>
      </c>
      <c r="M49" s="7">
        <v>55230</v>
      </c>
      <c r="N49" s="8">
        <v>0.12</v>
      </c>
      <c r="O49" s="9">
        <v>33800</v>
      </c>
    </row>
    <row r="50" spans="1:15" ht="18" x14ac:dyDescent="0.35">
      <c r="A50" s="4" t="s">
        <v>147</v>
      </c>
      <c r="B50" s="5">
        <v>45320</v>
      </c>
      <c r="C50" s="6" t="s">
        <v>36</v>
      </c>
      <c r="D50" s="6" t="s">
        <v>59</v>
      </c>
      <c r="E50" s="6" t="s">
        <v>50</v>
      </c>
      <c r="F50" s="6" t="s">
        <v>29</v>
      </c>
      <c r="G50" s="6" t="s">
        <v>54</v>
      </c>
      <c r="H50" s="6" t="s">
        <v>55</v>
      </c>
      <c r="I50" s="6" t="s">
        <v>148</v>
      </c>
      <c r="J50" s="6" t="s">
        <v>23</v>
      </c>
      <c r="K50" s="6" t="s">
        <v>24</v>
      </c>
      <c r="L50" s="6">
        <v>18</v>
      </c>
      <c r="M50" s="7">
        <v>4680</v>
      </c>
      <c r="N50" s="8">
        <v>0.15</v>
      </c>
      <c r="O50" s="9">
        <v>3250</v>
      </c>
    </row>
    <row r="51" spans="1:15" ht="18" x14ac:dyDescent="0.35">
      <c r="A51" s="4" t="s">
        <v>149</v>
      </c>
      <c r="B51" s="5">
        <v>45320</v>
      </c>
      <c r="C51" s="6" t="s">
        <v>82</v>
      </c>
      <c r="D51" s="6" t="s">
        <v>87</v>
      </c>
      <c r="E51" s="6" t="s">
        <v>50</v>
      </c>
      <c r="F51" s="6" t="s">
        <v>29</v>
      </c>
      <c r="G51" s="6" t="s">
        <v>70</v>
      </c>
      <c r="H51" s="6" t="s">
        <v>71</v>
      </c>
      <c r="I51" s="6" t="s">
        <v>80</v>
      </c>
      <c r="J51" s="6" t="s">
        <v>23</v>
      </c>
      <c r="K51" s="6" t="s">
        <v>78</v>
      </c>
      <c r="L51" s="6">
        <v>25</v>
      </c>
      <c r="M51" s="7">
        <v>1299</v>
      </c>
      <c r="N51" s="8">
        <v>0.05</v>
      </c>
      <c r="O51" s="9">
        <v>720</v>
      </c>
    </row>
    <row r="52" spans="1:15" ht="18" x14ac:dyDescent="0.35">
      <c r="A52" s="4" t="s">
        <v>150</v>
      </c>
      <c r="B52" s="5">
        <v>45320</v>
      </c>
      <c r="C52" s="6" t="s">
        <v>36</v>
      </c>
      <c r="D52" s="6" t="s">
        <v>44</v>
      </c>
      <c r="E52" s="6" t="s">
        <v>84</v>
      </c>
      <c r="F52" s="6" t="s">
        <v>39</v>
      </c>
      <c r="G52" s="6" t="s">
        <v>20</v>
      </c>
      <c r="H52" s="6" t="s">
        <v>21</v>
      </c>
      <c r="I52" s="6" t="s">
        <v>51</v>
      </c>
      <c r="J52" s="6" t="s">
        <v>57</v>
      </c>
      <c r="K52" s="6" t="s">
        <v>78</v>
      </c>
      <c r="L52" s="6">
        <v>39</v>
      </c>
      <c r="M52" s="7">
        <v>5999</v>
      </c>
      <c r="N52" s="8">
        <v>0.15</v>
      </c>
      <c r="O52" s="9">
        <v>3890</v>
      </c>
    </row>
    <row r="53" spans="1:15" ht="18" x14ac:dyDescent="0.35">
      <c r="A53" s="4" t="s">
        <v>151</v>
      </c>
      <c r="B53" s="5">
        <v>45322</v>
      </c>
      <c r="C53" s="6" t="s">
        <v>48</v>
      </c>
      <c r="D53" s="6" t="s">
        <v>49</v>
      </c>
      <c r="E53" s="6" t="s">
        <v>75</v>
      </c>
      <c r="F53" s="6" t="s">
        <v>19</v>
      </c>
      <c r="G53" s="6" t="s">
        <v>20</v>
      </c>
      <c r="H53" s="6" t="s">
        <v>21</v>
      </c>
      <c r="I53" s="6" t="s">
        <v>115</v>
      </c>
      <c r="J53" s="6" t="s">
        <v>33</v>
      </c>
      <c r="K53" s="6" t="s">
        <v>24</v>
      </c>
      <c r="L53" s="6">
        <v>33</v>
      </c>
      <c r="M53" s="7">
        <v>6499</v>
      </c>
      <c r="N53" s="8">
        <v>0.15</v>
      </c>
      <c r="O53" s="9">
        <v>4210</v>
      </c>
    </row>
    <row r="54" spans="1:15" ht="18" x14ac:dyDescent="0.35">
      <c r="A54" s="4" t="s">
        <v>152</v>
      </c>
      <c r="B54" s="5">
        <v>45324</v>
      </c>
      <c r="C54" s="6" t="s">
        <v>16</v>
      </c>
      <c r="D54" s="6" t="s">
        <v>98</v>
      </c>
      <c r="E54" s="6" t="s">
        <v>18</v>
      </c>
      <c r="F54" s="6" t="s">
        <v>19</v>
      </c>
      <c r="G54" s="6" t="s">
        <v>40</v>
      </c>
      <c r="H54" s="6" t="s">
        <v>64</v>
      </c>
      <c r="I54" s="6" t="s">
        <v>153</v>
      </c>
      <c r="J54" s="6" t="s">
        <v>57</v>
      </c>
      <c r="K54" s="6" t="s">
        <v>78</v>
      </c>
      <c r="L54" s="6">
        <v>15</v>
      </c>
      <c r="M54" s="7">
        <v>4490</v>
      </c>
      <c r="N54" s="8">
        <v>0.18</v>
      </c>
      <c r="O54" s="9">
        <v>2950</v>
      </c>
    </row>
    <row r="55" spans="1:15" ht="18" x14ac:dyDescent="0.35">
      <c r="A55" s="4" t="s">
        <v>154</v>
      </c>
      <c r="B55" s="5">
        <v>45324</v>
      </c>
      <c r="C55" s="6" t="s">
        <v>26</v>
      </c>
      <c r="D55" s="6" t="s">
        <v>74</v>
      </c>
      <c r="E55" s="6" t="s">
        <v>105</v>
      </c>
      <c r="F55" s="6" t="s">
        <v>39</v>
      </c>
      <c r="G55" s="6" t="s">
        <v>40</v>
      </c>
      <c r="H55" s="6" t="s">
        <v>64</v>
      </c>
      <c r="I55" s="6" t="s">
        <v>65</v>
      </c>
      <c r="J55" s="6" t="s">
        <v>23</v>
      </c>
      <c r="K55" s="6" t="s">
        <v>34</v>
      </c>
      <c r="L55" s="6">
        <v>23</v>
      </c>
      <c r="M55" s="7">
        <v>1930</v>
      </c>
      <c r="N55" s="8">
        <v>0.2</v>
      </c>
      <c r="O55" s="9">
        <v>1120</v>
      </c>
    </row>
    <row r="56" spans="1:15" ht="18" x14ac:dyDescent="0.35">
      <c r="A56" s="4" t="s">
        <v>155</v>
      </c>
      <c r="B56" s="5">
        <v>45324</v>
      </c>
      <c r="C56" s="6" t="s">
        <v>36</v>
      </c>
      <c r="D56" s="6" t="s">
        <v>37</v>
      </c>
      <c r="E56" s="6" t="s">
        <v>60</v>
      </c>
      <c r="F56" s="6" t="s">
        <v>19</v>
      </c>
      <c r="G56" s="6" t="s">
        <v>40</v>
      </c>
      <c r="H56" s="6" t="s">
        <v>41</v>
      </c>
      <c r="I56" s="6" t="s">
        <v>156</v>
      </c>
      <c r="J56" s="6" t="s">
        <v>57</v>
      </c>
      <c r="K56" s="6" t="s">
        <v>78</v>
      </c>
      <c r="L56" s="6">
        <v>28</v>
      </c>
      <c r="M56" s="7">
        <v>48500</v>
      </c>
      <c r="N56" s="8">
        <v>0.05</v>
      </c>
      <c r="O56" s="9">
        <v>30200</v>
      </c>
    </row>
    <row r="57" spans="1:15" ht="18" x14ac:dyDescent="0.35">
      <c r="A57" s="4" t="s">
        <v>157</v>
      </c>
      <c r="B57" s="5">
        <v>45324</v>
      </c>
      <c r="C57" s="6" t="s">
        <v>36</v>
      </c>
      <c r="D57" s="6" t="s">
        <v>121</v>
      </c>
      <c r="E57" s="6" t="s">
        <v>75</v>
      </c>
      <c r="F57" s="6" t="s">
        <v>39</v>
      </c>
      <c r="G57" s="6" t="s">
        <v>20</v>
      </c>
      <c r="H57" s="6" t="s">
        <v>21</v>
      </c>
      <c r="I57" s="6" t="s">
        <v>115</v>
      </c>
      <c r="J57" s="6" t="s">
        <v>33</v>
      </c>
      <c r="K57" s="6" t="s">
        <v>24</v>
      </c>
      <c r="L57" s="6">
        <v>39</v>
      </c>
      <c r="M57" s="7">
        <v>6499</v>
      </c>
      <c r="N57" s="8">
        <v>0.1</v>
      </c>
      <c r="O57" s="9">
        <v>4210</v>
      </c>
    </row>
    <row r="58" spans="1:15" ht="18" x14ac:dyDescent="0.35">
      <c r="A58" s="4" t="s">
        <v>158</v>
      </c>
      <c r="B58" s="5">
        <v>45326</v>
      </c>
      <c r="C58" s="6" t="s">
        <v>48</v>
      </c>
      <c r="D58" s="6" t="s">
        <v>49</v>
      </c>
      <c r="E58" s="6" t="s">
        <v>69</v>
      </c>
      <c r="F58" s="6" t="s">
        <v>19</v>
      </c>
      <c r="G58" s="6" t="s">
        <v>40</v>
      </c>
      <c r="H58" s="6" t="s">
        <v>64</v>
      </c>
      <c r="I58" s="6" t="s">
        <v>159</v>
      </c>
      <c r="J58" s="6" t="s">
        <v>57</v>
      </c>
      <c r="K58" s="6" t="s">
        <v>24</v>
      </c>
      <c r="L58" s="6">
        <v>2</v>
      </c>
      <c r="M58" s="7">
        <v>3299</v>
      </c>
      <c r="N58" s="8">
        <v>0.1</v>
      </c>
      <c r="O58" s="9">
        <v>2050</v>
      </c>
    </row>
    <row r="59" spans="1:15" ht="18" x14ac:dyDescent="0.35">
      <c r="A59" s="4" t="s">
        <v>160</v>
      </c>
      <c r="B59" s="5">
        <v>45326</v>
      </c>
      <c r="C59" s="6" t="s">
        <v>26</v>
      </c>
      <c r="D59" s="6" t="s">
        <v>53</v>
      </c>
      <c r="E59" s="6" t="s">
        <v>38</v>
      </c>
      <c r="F59" s="6" t="s">
        <v>19</v>
      </c>
      <c r="G59" s="6" t="s">
        <v>30</v>
      </c>
      <c r="H59" s="6" t="s">
        <v>31</v>
      </c>
      <c r="I59" s="6" t="s">
        <v>85</v>
      </c>
      <c r="J59" s="6" t="s">
        <v>57</v>
      </c>
      <c r="K59" s="6" t="s">
        <v>66</v>
      </c>
      <c r="L59" s="6">
        <v>29</v>
      </c>
      <c r="M59" s="7">
        <v>43500</v>
      </c>
      <c r="N59" s="8">
        <v>0.1</v>
      </c>
      <c r="O59" s="9">
        <v>29520</v>
      </c>
    </row>
    <row r="60" spans="1:15" ht="18" x14ac:dyDescent="0.35">
      <c r="A60" s="4" t="s">
        <v>161</v>
      </c>
      <c r="B60" s="5">
        <v>45326</v>
      </c>
      <c r="C60" s="6" t="s">
        <v>82</v>
      </c>
      <c r="D60" s="6" t="s">
        <v>100</v>
      </c>
      <c r="E60" s="6" t="s">
        <v>38</v>
      </c>
      <c r="F60" s="6" t="s">
        <v>19</v>
      </c>
      <c r="G60" s="6" t="s">
        <v>54</v>
      </c>
      <c r="H60" s="6" t="s">
        <v>90</v>
      </c>
      <c r="I60" s="6" t="s">
        <v>91</v>
      </c>
      <c r="J60" s="6" t="s">
        <v>33</v>
      </c>
      <c r="K60" s="6" t="s">
        <v>66</v>
      </c>
      <c r="L60" s="6">
        <v>1</v>
      </c>
      <c r="M60" s="7">
        <v>31990</v>
      </c>
      <c r="N60" s="8">
        <v>0.2</v>
      </c>
      <c r="O60" s="9">
        <v>21800</v>
      </c>
    </row>
    <row r="61" spans="1:15" ht="18" x14ac:dyDescent="0.35">
      <c r="A61" s="4" t="s">
        <v>162</v>
      </c>
      <c r="B61" s="5">
        <v>45327</v>
      </c>
      <c r="C61" s="6" t="s">
        <v>26</v>
      </c>
      <c r="D61" s="6" t="s">
        <v>163</v>
      </c>
      <c r="E61" s="6" t="s">
        <v>101</v>
      </c>
      <c r="F61" s="6" t="s">
        <v>29</v>
      </c>
      <c r="G61" s="6" t="s">
        <v>54</v>
      </c>
      <c r="H61" s="6" t="s">
        <v>55</v>
      </c>
      <c r="I61" s="6" t="s">
        <v>108</v>
      </c>
      <c r="J61" s="6" t="s">
        <v>33</v>
      </c>
      <c r="K61" s="6" t="s">
        <v>34</v>
      </c>
      <c r="L61" s="6">
        <v>22</v>
      </c>
      <c r="M61" s="7">
        <v>5890</v>
      </c>
      <c r="N61" s="8">
        <v>0.1</v>
      </c>
      <c r="O61" s="9">
        <v>3980</v>
      </c>
    </row>
    <row r="62" spans="1:15" ht="18" x14ac:dyDescent="0.35">
      <c r="A62" s="4" t="s">
        <v>164</v>
      </c>
      <c r="B62" s="5">
        <v>45328</v>
      </c>
      <c r="C62" s="6" t="s">
        <v>26</v>
      </c>
      <c r="D62" s="6" t="s">
        <v>74</v>
      </c>
      <c r="E62" s="6" t="s">
        <v>38</v>
      </c>
      <c r="F62" s="6" t="s">
        <v>39</v>
      </c>
      <c r="G62" s="6" t="s">
        <v>70</v>
      </c>
      <c r="H62" s="6" t="s">
        <v>71</v>
      </c>
      <c r="I62" s="6" t="s">
        <v>80</v>
      </c>
      <c r="J62" s="6" t="s">
        <v>57</v>
      </c>
      <c r="K62" s="6" t="s">
        <v>24</v>
      </c>
      <c r="L62" s="6">
        <v>39</v>
      </c>
      <c r="M62" s="7">
        <v>1299</v>
      </c>
      <c r="N62" s="8">
        <v>0.18</v>
      </c>
      <c r="O62" s="9">
        <v>720</v>
      </c>
    </row>
    <row r="63" spans="1:15" ht="18" x14ac:dyDescent="0.35">
      <c r="A63" s="4" t="s">
        <v>165</v>
      </c>
      <c r="B63" s="5">
        <v>45329</v>
      </c>
      <c r="C63" s="6" t="s">
        <v>26</v>
      </c>
      <c r="D63" s="6" t="s">
        <v>53</v>
      </c>
      <c r="E63" s="6" t="s">
        <v>101</v>
      </c>
      <c r="F63" s="6" t="s">
        <v>19</v>
      </c>
      <c r="G63" s="6" t="s">
        <v>30</v>
      </c>
      <c r="H63" s="6" t="s">
        <v>61</v>
      </c>
      <c r="I63" s="6" t="s">
        <v>96</v>
      </c>
      <c r="J63" s="6" t="s">
        <v>57</v>
      </c>
      <c r="K63" s="6" t="s">
        <v>78</v>
      </c>
      <c r="L63" s="6">
        <v>37</v>
      </c>
      <c r="M63" s="7">
        <v>25110</v>
      </c>
      <c r="N63" s="8">
        <v>0.05</v>
      </c>
      <c r="O63" s="9">
        <v>16730</v>
      </c>
    </row>
    <row r="64" spans="1:15" ht="18" x14ac:dyDescent="0.35">
      <c r="A64" s="4" t="s">
        <v>166</v>
      </c>
      <c r="B64" s="5">
        <v>45329</v>
      </c>
      <c r="C64" s="6" t="s">
        <v>16</v>
      </c>
      <c r="D64" s="6" t="s">
        <v>111</v>
      </c>
      <c r="E64" s="6" t="s">
        <v>28</v>
      </c>
      <c r="F64" s="6" t="s">
        <v>29</v>
      </c>
      <c r="G64" s="6" t="s">
        <v>70</v>
      </c>
      <c r="H64" s="6" t="s">
        <v>71</v>
      </c>
      <c r="I64" s="6" t="s">
        <v>88</v>
      </c>
      <c r="J64" s="6" t="s">
        <v>57</v>
      </c>
      <c r="K64" s="6" t="s">
        <v>24</v>
      </c>
      <c r="L64" s="6">
        <v>8</v>
      </c>
      <c r="M64" s="7">
        <v>999</v>
      </c>
      <c r="N64" s="8">
        <v>0.08</v>
      </c>
      <c r="O64" s="9">
        <v>540</v>
      </c>
    </row>
    <row r="65" spans="1:15" ht="18" x14ac:dyDescent="0.35">
      <c r="A65" s="4" t="s">
        <v>167</v>
      </c>
      <c r="B65" s="5">
        <v>45329</v>
      </c>
      <c r="C65" s="6" t="s">
        <v>36</v>
      </c>
      <c r="D65" s="6" t="s">
        <v>121</v>
      </c>
      <c r="E65" s="6" t="s">
        <v>60</v>
      </c>
      <c r="F65" s="6" t="s">
        <v>19</v>
      </c>
      <c r="G65" s="6" t="s">
        <v>40</v>
      </c>
      <c r="H65" s="6" t="s">
        <v>41</v>
      </c>
      <c r="I65" s="6" t="s">
        <v>42</v>
      </c>
      <c r="J65" s="6" t="s">
        <v>33</v>
      </c>
      <c r="K65" s="6" t="s">
        <v>24</v>
      </c>
      <c r="L65" s="6">
        <v>17</v>
      </c>
      <c r="M65" s="7">
        <v>55230</v>
      </c>
      <c r="N65" s="8">
        <v>0.05</v>
      </c>
      <c r="O65" s="9">
        <v>33800</v>
      </c>
    </row>
    <row r="66" spans="1:15" ht="18" x14ac:dyDescent="0.35">
      <c r="A66" s="4" t="s">
        <v>168</v>
      </c>
      <c r="B66" s="5">
        <v>45330</v>
      </c>
      <c r="C66" s="6" t="s">
        <v>48</v>
      </c>
      <c r="D66" s="6" t="s">
        <v>136</v>
      </c>
      <c r="E66" s="6" t="s">
        <v>50</v>
      </c>
      <c r="F66" s="6" t="s">
        <v>29</v>
      </c>
      <c r="G66" s="6" t="s">
        <v>30</v>
      </c>
      <c r="H66" s="6" t="s">
        <v>61</v>
      </c>
      <c r="I66" s="6" t="s">
        <v>62</v>
      </c>
      <c r="J66" s="6" t="s">
        <v>33</v>
      </c>
      <c r="K66" s="6" t="s">
        <v>24</v>
      </c>
      <c r="L66" s="6">
        <v>5</v>
      </c>
      <c r="M66" s="7">
        <v>12490</v>
      </c>
      <c r="N66" s="8">
        <v>0.18</v>
      </c>
      <c r="O66" s="9">
        <v>7900</v>
      </c>
    </row>
    <row r="67" spans="1:15" ht="18" x14ac:dyDescent="0.35">
      <c r="A67" s="4" t="s">
        <v>169</v>
      </c>
      <c r="B67" s="5">
        <v>45332</v>
      </c>
      <c r="C67" s="6" t="s">
        <v>48</v>
      </c>
      <c r="D67" s="6" t="s">
        <v>68</v>
      </c>
      <c r="E67" s="6" t="s">
        <v>28</v>
      </c>
      <c r="F67" s="6" t="s">
        <v>29</v>
      </c>
      <c r="G67" s="6" t="s">
        <v>40</v>
      </c>
      <c r="H67" s="6" t="s">
        <v>76</v>
      </c>
      <c r="I67" s="6" t="s">
        <v>113</v>
      </c>
      <c r="J67" s="6" t="s">
        <v>33</v>
      </c>
      <c r="K67" s="6" t="s">
        <v>24</v>
      </c>
      <c r="L67" s="6">
        <v>16</v>
      </c>
      <c r="M67" s="7">
        <v>22999</v>
      </c>
      <c r="N67" s="8">
        <v>0.15</v>
      </c>
      <c r="O67" s="9">
        <v>15100</v>
      </c>
    </row>
    <row r="68" spans="1:15" ht="18" x14ac:dyDescent="0.35">
      <c r="A68" s="4" t="s">
        <v>170</v>
      </c>
      <c r="B68" s="5">
        <v>45332</v>
      </c>
      <c r="C68" s="6" t="s">
        <v>36</v>
      </c>
      <c r="D68" s="6" t="s">
        <v>121</v>
      </c>
      <c r="E68" s="6" t="s">
        <v>101</v>
      </c>
      <c r="F68" s="6" t="s">
        <v>29</v>
      </c>
      <c r="G68" s="6" t="s">
        <v>54</v>
      </c>
      <c r="H68" s="6" t="s">
        <v>90</v>
      </c>
      <c r="I68" s="6" t="s">
        <v>91</v>
      </c>
      <c r="J68" s="6" t="s">
        <v>33</v>
      </c>
      <c r="K68" s="6" t="s">
        <v>24</v>
      </c>
      <c r="L68" s="6">
        <v>34</v>
      </c>
      <c r="M68" s="7">
        <v>31990</v>
      </c>
      <c r="N68" s="8">
        <v>0.1</v>
      </c>
      <c r="O68" s="9">
        <v>21800</v>
      </c>
    </row>
    <row r="69" spans="1:15" ht="18" x14ac:dyDescent="0.35">
      <c r="A69" s="4" t="s">
        <v>171</v>
      </c>
      <c r="B69" s="5">
        <v>45332</v>
      </c>
      <c r="C69" s="6" t="s">
        <v>36</v>
      </c>
      <c r="D69" s="6" t="s">
        <v>121</v>
      </c>
      <c r="E69" s="6" t="s">
        <v>84</v>
      </c>
      <c r="F69" s="6" t="s">
        <v>19</v>
      </c>
      <c r="G69" s="6" t="s">
        <v>54</v>
      </c>
      <c r="H69" s="6" t="s">
        <v>55</v>
      </c>
      <c r="I69" s="6" t="s">
        <v>148</v>
      </c>
      <c r="J69" s="6" t="s">
        <v>33</v>
      </c>
      <c r="K69" s="6" t="s">
        <v>24</v>
      </c>
      <c r="L69" s="6">
        <v>3</v>
      </c>
      <c r="M69" s="7">
        <v>4680</v>
      </c>
      <c r="N69" s="8">
        <v>0.12</v>
      </c>
      <c r="O69" s="9">
        <v>3250</v>
      </c>
    </row>
    <row r="70" spans="1:15" ht="18" x14ac:dyDescent="0.35">
      <c r="A70" s="4" t="s">
        <v>172</v>
      </c>
      <c r="B70" s="5">
        <v>45332</v>
      </c>
      <c r="C70" s="6" t="s">
        <v>36</v>
      </c>
      <c r="D70" s="6" t="s">
        <v>59</v>
      </c>
      <c r="E70" s="6" t="s">
        <v>50</v>
      </c>
      <c r="F70" s="6" t="s">
        <v>39</v>
      </c>
      <c r="G70" s="6" t="s">
        <v>70</v>
      </c>
      <c r="H70" s="6" t="s">
        <v>71</v>
      </c>
      <c r="I70" s="6" t="s">
        <v>88</v>
      </c>
      <c r="J70" s="6" t="s">
        <v>33</v>
      </c>
      <c r="K70" s="6" t="s">
        <v>24</v>
      </c>
      <c r="L70" s="6">
        <v>2</v>
      </c>
      <c r="M70" s="7">
        <v>999</v>
      </c>
      <c r="N70" s="8">
        <v>0.1</v>
      </c>
      <c r="O70" s="9">
        <v>540</v>
      </c>
    </row>
    <row r="71" spans="1:15" ht="18" x14ac:dyDescent="0.35">
      <c r="A71" s="4" t="s">
        <v>173</v>
      </c>
      <c r="B71" s="5">
        <v>45334</v>
      </c>
      <c r="C71" s="6" t="s">
        <v>16</v>
      </c>
      <c r="D71" s="6" t="s">
        <v>98</v>
      </c>
      <c r="E71" s="6" t="s">
        <v>50</v>
      </c>
      <c r="F71" s="6" t="s">
        <v>39</v>
      </c>
      <c r="G71" s="6" t="s">
        <v>54</v>
      </c>
      <c r="H71" s="6" t="s">
        <v>129</v>
      </c>
      <c r="I71" s="6" t="s">
        <v>130</v>
      </c>
      <c r="J71" s="6" t="s">
        <v>33</v>
      </c>
      <c r="K71" s="6" t="s">
        <v>24</v>
      </c>
      <c r="L71" s="6">
        <v>13</v>
      </c>
      <c r="M71" s="7">
        <v>27890</v>
      </c>
      <c r="N71" s="8">
        <v>0.05</v>
      </c>
      <c r="O71" s="9">
        <v>18800</v>
      </c>
    </row>
    <row r="72" spans="1:15" ht="18" x14ac:dyDescent="0.35">
      <c r="A72" s="4" t="s">
        <v>174</v>
      </c>
      <c r="B72" s="5">
        <v>45335</v>
      </c>
      <c r="C72" s="6" t="s">
        <v>82</v>
      </c>
      <c r="D72" s="6" t="s">
        <v>83</v>
      </c>
      <c r="E72" s="6" t="s">
        <v>50</v>
      </c>
      <c r="F72" s="6" t="s">
        <v>19</v>
      </c>
      <c r="G72" s="6" t="s">
        <v>70</v>
      </c>
      <c r="H72" s="6" t="s">
        <v>71</v>
      </c>
      <c r="I72" s="6" t="s">
        <v>80</v>
      </c>
      <c r="J72" s="6" t="s">
        <v>57</v>
      </c>
      <c r="K72" s="6" t="s">
        <v>24</v>
      </c>
      <c r="L72" s="6">
        <v>22</v>
      </c>
      <c r="M72" s="7">
        <v>1299</v>
      </c>
      <c r="N72" s="8">
        <v>0.18</v>
      </c>
      <c r="O72" s="9">
        <v>720</v>
      </c>
    </row>
    <row r="73" spans="1:15" ht="18" x14ac:dyDescent="0.35">
      <c r="A73" s="4" t="s">
        <v>175</v>
      </c>
      <c r="B73" s="5">
        <v>45336</v>
      </c>
      <c r="C73" s="6" t="s">
        <v>16</v>
      </c>
      <c r="D73" s="6" t="s">
        <v>111</v>
      </c>
      <c r="E73" s="6" t="s">
        <v>84</v>
      </c>
      <c r="F73" s="6" t="s">
        <v>29</v>
      </c>
      <c r="G73" s="6" t="s">
        <v>40</v>
      </c>
      <c r="H73" s="6" t="s">
        <v>76</v>
      </c>
      <c r="I73" s="6" t="s">
        <v>113</v>
      </c>
      <c r="J73" s="6" t="s">
        <v>57</v>
      </c>
      <c r="K73" s="6" t="s">
        <v>24</v>
      </c>
      <c r="L73" s="6">
        <v>7</v>
      </c>
      <c r="M73" s="7">
        <v>22999</v>
      </c>
      <c r="N73" s="8">
        <v>0.08</v>
      </c>
      <c r="O73" s="9">
        <v>15100</v>
      </c>
    </row>
    <row r="74" spans="1:15" ht="18" x14ac:dyDescent="0.35">
      <c r="A74" s="4" t="s">
        <v>176</v>
      </c>
      <c r="B74" s="5">
        <v>45336</v>
      </c>
      <c r="C74" s="6" t="s">
        <v>26</v>
      </c>
      <c r="D74" s="6" t="s">
        <v>53</v>
      </c>
      <c r="E74" s="6" t="s">
        <v>69</v>
      </c>
      <c r="F74" s="6" t="s">
        <v>29</v>
      </c>
      <c r="G74" s="6" t="s">
        <v>54</v>
      </c>
      <c r="H74" s="6" t="s">
        <v>90</v>
      </c>
      <c r="I74" s="6" t="s">
        <v>134</v>
      </c>
      <c r="J74" s="6" t="s">
        <v>57</v>
      </c>
      <c r="K74" s="6" t="s">
        <v>24</v>
      </c>
      <c r="L74" s="6">
        <v>23</v>
      </c>
      <c r="M74" s="7">
        <v>32800</v>
      </c>
      <c r="N74" s="8">
        <v>0.2</v>
      </c>
      <c r="O74" s="9">
        <v>23100</v>
      </c>
    </row>
    <row r="75" spans="1:15" ht="18" x14ac:dyDescent="0.35">
      <c r="A75" s="4" t="s">
        <v>177</v>
      </c>
      <c r="B75" s="5">
        <v>45336</v>
      </c>
      <c r="C75" s="6" t="s">
        <v>36</v>
      </c>
      <c r="D75" s="6" t="s">
        <v>37</v>
      </c>
      <c r="E75" s="6" t="s">
        <v>50</v>
      </c>
      <c r="F75" s="6" t="s">
        <v>29</v>
      </c>
      <c r="G75" s="6" t="s">
        <v>40</v>
      </c>
      <c r="H75" s="6" t="s">
        <v>76</v>
      </c>
      <c r="I75" s="6" t="s">
        <v>77</v>
      </c>
      <c r="J75" s="6" t="s">
        <v>33</v>
      </c>
      <c r="K75" s="6" t="s">
        <v>24</v>
      </c>
      <c r="L75" s="6">
        <v>20</v>
      </c>
      <c r="M75" s="7">
        <v>52990</v>
      </c>
      <c r="N75" s="8">
        <v>0.15</v>
      </c>
      <c r="O75" s="9">
        <v>39500</v>
      </c>
    </row>
    <row r="76" spans="1:15" ht="18" x14ac:dyDescent="0.35">
      <c r="A76" s="4" t="s">
        <v>178</v>
      </c>
      <c r="B76" s="5">
        <v>45337</v>
      </c>
      <c r="C76" s="6" t="s">
        <v>48</v>
      </c>
      <c r="D76" s="6" t="s">
        <v>93</v>
      </c>
      <c r="E76" s="6" t="s">
        <v>84</v>
      </c>
      <c r="F76" s="6" t="s">
        <v>29</v>
      </c>
      <c r="G76" s="6" t="s">
        <v>70</v>
      </c>
      <c r="H76" s="6" t="s">
        <v>71</v>
      </c>
      <c r="I76" s="6" t="s">
        <v>72</v>
      </c>
      <c r="J76" s="6" t="s">
        <v>23</v>
      </c>
      <c r="K76" s="6" t="s">
        <v>24</v>
      </c>
      <c r="L76" s="6">
        <v>34</v>
      </c>
      <c r="M76" s="7">
        <v>3499</v>
      </c>
      <c r="N76" s="8">
        <v>0.15</v>
      </c>
      <c r="O76" s="9">
        <v>2190</v>
      </c>
    </row>
    <row r="77" spans="1:15" ht="18" x14ac:dyDescent="0.35">
      <c r="A77" s="4" t="s">
        <v>179</v>
      </c>
      <c r="B77" s="5">
        <v>45338</v>
      </c>
      <c r="C77" s="6" t="s">
        <v>48</v>
      </c>
      <c r="D77" s="6" t="s">
        <v>93</v>
      </c>
      <c r="E77" s="6" t="s">
        <v>84</v>
      </c>
      <c r="F77" s="6" t="s">
        <v>29</v>
      </c>
      <c r="G77" s="6" t="s">
        <v>54</v>
      </c>
      <c r="H77" s="6" t="s">
        <v>129</v>
      </c>
      <c r="I77" s="6" t="s">
        <v>130</v>
      </c>
      <c r="J77" s="6" t="s">
        <v>23</v>
      </c>
      <c r="K77" s="6" t="s">
        <v>34</v>
      </c>
      <c r="L77" s="6">
        <v>36</v>
      </c>
      <c r="M77" s="7">
        <v>27890</v>
      </c>
      <c r="N77" s="8">
        <v>0.1</v>
      </c>
      <c r="O77" s="9">
        <v>18800</v>
      </c>
    </row>
    <row r="78" spans="1:15" ht="18" x14ac:dyDescent="0.35">
      <c r="A78" s="4" t="s">
        <v>180</v>
      </c>
      <c r="B78" s="5">
        <v>45338</v>
      </c>
      <c r="C78" s="6" t="s">
        <v>36</v>
      </c>
      <c r="D78" s="6" t="s">
        <v>121</v>
      </c>
      <c r="E78" s="6" t="s">
        <v>60</v>
      </c>
      <c r="F78" s="6" t="s">
        <v>19</v>
      </c>
      <c r="G78" s="6" t="s">
        <v>70</v>
      </c>
      <c r="H78" s="6" t="s">
        <v>71</v>
      </c>
      <c r="I78" s="6" t="s">
        <v>80</v>
      </c>
      <c r="J78" s="6" t="s">
        <v>23</v>
      </c>
      <c r="K78" s="6" t="s">
        <v>24</v>
      </c>
      <c r="L78" s="6">
        <v>38</v>
      </c>
      <c r="M78" s="7">
        <v>1299</v>
      </c>
      <c r="N78" s="8">
        <v>0.12</v>
      </c>
      <c r="O78" s="9">
        <v>720</v>
      </c>
    </row>
    <row r="79" spans="1:15" ht="18" x14ac:dyDescent="0.35">
      <c r="A79" s="4" t="s">
        <v>181</v>
      </c>
      <c r="B79" s="5">
        <v>45338</v>
      </c>
      <c r="C79" s="6" t="s">
        <v>26</v>
      </c>
      <c r="D79" s="6" t="s">
        <v>163</v>
      </c>
      <c r="E79" s="6" t="s">
        <v>18</v>
      </c>
      <c r="F79" s="6" t="s">
        <v>29</v>
      </c>
      <c r="G79" s="6" t="s">
        <v>40</v>
      </c>
      <c r="H79" s="6" t="s">
        <v>64</v>
      </c>
      <c r="I79" s="6" t="s">
        <v>65</v>
      </c>
      <c r="J79" s="6" t="s">
        <v>33</v>
      </c>
      <c r="K79" s="6" t="s">
        <v>78</v>
      </c>
      <c r="L79" s="6">
        <v>32</v>
      </c>
      <c r="M79" s="7">
        <v>1930</v>
      </c>
      <c r="N79" s="8">
        <v>0.08</v>
      </c>
      <c r="O79" s="9">
        <v>1120</v>
      </c>
    </row>
    <row r="80" spans="1:15" ht="18" x14ac:dyDescent="0.35">
      <c r="A80" s="4" t="s">
        <v>182</v>
      </c>
      <c r="B80" s="5">
        <v>45338</v>
      </c>
      <c r="C80" s="6" t="s">
        <v>82</v>
      </c>
      <c r="D80" s="6" t="s">
        <v>183</v>
      </c>
      <c r="E80" s="6" t="s">
        <v>75</v>
      </c>
      <c r="F80" s="6" t="s">
        <v>39</v>
      </c>
      <c r="G80" s="6" t="s">
        <v>20</v>
      </c>
      <c r="H80" s="6" t="s">
        <v>21</v>
      </c>
      <c r="I80" s="6" t="s">
        <v>51</v>
      </c>
      <c r="J80" s="6" t="s">
        <v>33</v>
      </c>
      <c r="K80" s="6" t="s">
        <v>24</v>
      </c>
      <c r="L80" s="6">
        <v>11</v>
      </c>
      <c r="M80" s="7">
        <v>5999</v>
      </c>
      <c r="N80" s="8">
        <v>0.12</v>
      </c>
      <c r="O80" s="9">
        <v>3890</v>
      </c>
    </row>
    <row r="81" spans="1:15" ht="18" x14ac:dyDescent="0.35">
      <c r="A81" s="4" t="s">
        <v>184</v>
      </c>
      <c r="B81" s="5">
        <v>45339</v>
      </c>
      <c r="C81" s="6" t="s">
        <v>82</v>
      </c>
      <c r="D81" s="6" t="s">
        <v>87</v>
      </c>
      <c r="E81" s="6" t="s">
        <v>28</v>
      </c>
      <c r="F81" s="6" t="s">
        <v>39</v>
      </c>
      <c r="G81" s="6" t="s">
        <v>70</v>
      </c>
      <c r="H81" s="6" t="s">
        <v>71</v>
      </c>
      <c r="I81" s="6" t="s">
        <v>80</v>
      </c>
      <c r="J81" s="6" t="s">
        <v>33</v>
      </c>
      <c r="K81" s="6" t="s">
        <v>24</v>
      </c>
      <c r="L81" s="6">
        <v>23</v>
      </c>
      <c r="M81" s="7">
        <v>1299</v>
      </c>
      <c r="N81" s="8">
        <v>0.15</v>
      </c>
      <c r="O81" s="9">
        <v>720</v>
      </c>
    </row>
    <row r="82" spans="1:15" ht="18" x14ac:dyDescent="0.35">
      <c r="A82" s="4" t="s">
        <v>185</v>
      </c>
      <c r="B82" s="5">
        <v>45339</v>
      </c>
      <c r="C82" s="6" t="s">
        <v>48</v>
      </c>
      <c r="D82" s="6" t="s">
        <v>136</v>
      </c>
      <c r="E82" s="6" t="s">
        <v>38</v>
      </c>
      <c r="F82" s="6" t="s">
        <v>29</v>
      </c>
      <c r="G82" s="6" t="s">
        <v>30</v>
      </c>
      <c r="H82" s="6" t="s">
        <v>61</v>
      </c>
      <c r="I82" s="6" t="s">
        <v>186</v>
      </c>
      <c r="J82" s="6" t="s">
        <v>23</v>
      </c>
      <c r="K82" s="6" t="s">
        <v>24</v>
      </c>
      <c r="L82" s="6">
        <v>29</v>
      </c>
      <c r="M82" s="7">
        <v>6999</v>
      </c>
      <c r="N82" s="8">
        <v>0.1</v>
      </c>
      <c r="O82" s="9">
        <v>4320</v>
      </c>
    </row>
    <row r="83" spans="1:15" ht="18" x14ac:dyDescent="0.35">
      <c r="A83" s="4" t="s">
        <v>187</v>
      </c>
      <c r="B83" s="5">
        <v>45340</v>
      </c>
      <c r="C83" s="6" t="s">
        <v>16</v>
      </c>
      <c r="D83" s="6" t="s">
        <v>126</v>
      </c>
      <c r="E83" s="6" t="s">
        <v>69</v>
      </c>
      <c r="F83" s="6" t="s">
        <v>19</v>
      </c>
      <c r="G83" s="6" t="s">
        <v>70</v>
      </c>
      <c r="H83" s="6" t="s">
        <v>71</v>
      </c>
      <c r="I83" s="6" t="s">
        <v>88</v>
      </c>
      <c r="J83" s="6" t="s">
        <v>23</v>
      </c>
      <c r="K83" s="6" t="s">
        <v>24</v>
      </c>
      <c r="L83" s="6">
        <v>5</v>
      </c>
      <c r="M83" s="7">
        <v>999</v>
      </c>
      <c r="N83" s="8">
        <v>0.1</v>
      </c>
      <c r="O83" s="9">
        <v>540</v>
      </c>
    </row>
    <row r="84" spans="1:15" ht="18" x14ac:dyDescent="0.35">
      <c r="A84" s="4" t="s">
        <v>188</v>
      </c>
      <c r="B84" s="5">
        <v>45340</v>
      </c>
      <c r="C84" s="6" t="s">
        <v>36</v>
      </c>
      <c r="D84" s="6" t="s">
        <v>37</v>
      </c>
      <c r="E84" s="6" t="s">
        <v>101</v>
      </c>
      <c r="F84" s="6" t="s">
        <v>19</v>
      </c>
      <c r="G84" s="6" t="s">
        <v>20</v>
      </c>
      <c r="H84" s="6" t="s">
        <v>21</v>
      </c>
      <c r="I84" s="6" t="s">
        <v>22</v>
      </c>
      <c r="J84" s="6" t="s">
        <v>33</v>
      </c>
      <c r="K84" s="6" t="s">
        <v>24</v>
      </c>
      <c r="L84" s="6">
        <v>8</v>
      </c>
      <c r="M84" s="7">
        <v>4499</v>
      </c>
      <c r="N84" s="8">
        <v>0.15</v>
      </c>
      <c r="O84" s="9">
        <v>2910</v>
      </c>
    </row>
    <row r="85" spans="1:15" ht="18" x14ac:dyDescent="0.35">
      <c r="A85" s="4" t="s">
        <v>189</v>
      </c>
      <c r="B85" s="5">
        <v>45340</v>
      </c>
      <c r="C85" s="6" t="s">
        <v>36</v>
      </c>
      <c r="D85" s="6" t="s">
        <v>121</v>
      </c>
      <c r="E85" s="6" t="s">
        <v>50</v>
      </c>
      <c r="F85" s="6" t="s">
        <v>29</v>
      </c>
      <c r="G85" s="6" t="s">
        <v>70</v>
      </c>
      <c r="H85" s="6" t="s">
        <v>71</v>
      </c>
      <c r="I85" s="6" t="s">
        <v>72</v>
      </c>
      <c r="J85" s="6" t="s">
        <v>33</v>
      </c>
      <c r="K85" s="6" t="s">
        <v>24</v>
      </c>
      <c r="L85" s="6">
        <v>32</v>
      </c>
      <c r="M85" s="7">
        <v>3499</v>
      </c>
      <c r="N85" s="8">
        <v>0.18</v>
      </c>
      <c r="O85" s="9">
        <v>2190</v>
      </c>
    </row>
    <row r="86" spans="1:15" ht="18" x14ac:dyDescent="0.35">
      <c r="A86" s="4" t="s">
        <v>190</v>
      </c>
      <c r="B86" s="5">
        <v>45341</v>
      </c>
      <c r="C86" s="6" t="s">
        <v>26</v>
      </c>
      <c r="D86" s="6" t="s">
        <v>53</v>
      </c>
      <c r="E86" s="6" t="s">
        <v>38</v>
      </c>
      <c r="F86" s="6" t="s">
        <v>29</v>
      </c>
      <c r="G86" s="6" t="s">
        <v>70</v>
      </c>
      <c r="H86" s="6" t="s">
        <v>71</v>
      </c>
      <c r="I86" s="6" t="s">
        <v>80</v>
      </c>
      <c r="J86" s="6" t="s">
        <v>57</v>
      </c>
      <c r="K86" s="6" t="s">
        <v>34</v>
      </c>
      <c r="L86" s="6">
        <v>13</v>
      </c>
      <c r="M86" s="7">
        <v>1299</v>
      </c>
      <c r="N86" s="8">
        <v>0.05</v>
      </c>
      <c r="O86" s="9">
        <v>720</v>
      </c>
    </row>
    <row r="87" spans="1:15" ht="18" x14ac:dyDescent="0.35">
      <c r="A87" s="4" t="s">
        <v>191</v>
      </c>
      <c r="B87" s="5">
        <v>45341</v>
      </c>
      <c r="C87" s="6" t="s">
        <v>16</v>
      </c>
      <c r="D87" s="6" t="s">
        <v>17</v>
      </c>
      <c r="E87" s="6" t="s">
        <v>50</v>
      </c>
      <c r="F87" s="6" t="s">
        <v>19</v>
      </c>
      <c r="G87" s="6" t="s">
        <v>54</v>
      </c>
      <c r="H87" s="6" t="s">
        <v>129</v>
      </c>
      <c r="I87" s="6" t="s">
        <v>192</v>
      </c>
      <c r="J87" s="6" t="s">
        <v>23</v>
      </c>
      <c r="K87" s="6" t="s">
        <v>24</v>
      </c>
      <c r="L87" s="6">
        <v>9</v>
      </c>
      <c r="M87" s="7">
        <v>29010</v>
      </c>
      <c r="N87" s="8">
        <v>0.18</v>
      </c>
      <c r="O87" s="9">
        <v>19100</v>
      </c>
    </row>
    <row r="88" spans="1:15" ht="18" x14ac:dyDescent="0.35">
      <c r="A88" s="4" t="s">
        <v>193</v>
      </c>
      <c r="B88" s="5">
        <v>45342</v>
      </c>
      <c r="C88" s="6" t="s">
        <v>26</v>
      </c>
      <c r="D88" s="6" t="s">
        <v>27</v>
      </c>
      <c r="E88" s="6" t="s">
        <v>50</v>
      </c>
      <c r="F88" s="6" t="s">
        <v>29</v>
      </c>
      <c r="G88" s="6" t="s">
        <v>54</v>
      </c>
      <c r="H88" s="6" t="s">
        <v>129</v>
      </c>
      <c r="I88" s="6" t="s">
        <v>130</v>
      </c>
      <c r="J88" s="6" t="s">
        <v>57</v>
      </c>
      <c r="K88" s="6" t="s">
        <v>24</v>
      </c>
      <c r="L88" s="6">
        <v>6</v>
      </c>
      <c r="M88" s="7">
        <v>27890</v>
      </c>
      <c r="N88" s="8">
        <v>0.12</v>
      </c>
      <c r="O88" s="9">
        <v>18800</v>
      </c>
    </row>
    <row r="89" spans="1:15" ht="18" x14ac:dyDescent="0.35">
      <c r="A89" s="4" t="s">
        <v>194</v>
      </c>
      <c r="B89" s="5">
        <v>45342</v>
      </c>
      <c r="C89" s="6" t="s">
        <v>36</v>
      </c>
      <c r="D89" s="6" t="s">
        <v>59</v>
      </c>
      <c r="E89" s="6" t="s">
        <v>69</v>
      </c>
      <c r="F89" s="6" t="s">
        <v>39</v>
      </c>
      <c r="G89" s="6" t="s">
        <v>54</v>
      </c>
      <c r="H89" s="6" t="s">
        <v>129</v>
      </c>
      <c r="I89" s="6" t="s">
        <v>130</v>
      </c>
      <c r="J89" s="6" t="s">
        <v>33</v>
      </c>
      <c r="K89" s="6" t="s">
        <v>78</v>
      </c>
      <c r="L89" s="6">
        <v>23</v>
      </c>
      <c r="M89" s="7">
        <v>27890</v>
      </c>
      <c r="N89" s="8">
        <v>0.05</v>
      </c>
      <c r="O89" s="9">
        <v>18800</v>
      </c>
    </row>
    <row r="90" spans="1:15" ht="18" x14ac:dyDescent="0.35">
      <c r="A90" s="4" t="s">
        <v>195</v>
      </c>
      <c r="B90" s="5">
        <v>45343</v>
      </c>
      <c r="C90" s="6" t="s">
        <v>82</v>
      </c>
      <c r="D90" s="6" t="s">
        <v>100</v>
      </c>
      <c r="E90" s="6" t="s">
        <v>18</v>
      </c>
      <c r="F90" s="6" t="s">
        <v>39</v>
      </c>
      <c r="G90" s="6" t="s">
        <v>20</v>
      </c>
      <c r="H90" s="6" t="s">
        <v>45</v>
      </c>
      <c r="I90" s="6" t="s">
        <v>196</v>
      </c>
      <c r="J90" s="6" t="s">
        <v>23</v>
      </c>
      <c r="K90" s="6" t="s">
        <v>78</v>
      </c>
      <c r="L90" s="6">
        <v>39</v>
      </c>
      <c r="M90" s="7">
        <v>2499</v>
      </c>
      <c r="N90" s="8">
        <v>0.1</v>
      </c>
      <c r="O90" s="9">
        <v>1510</v>
      </c>
    </row>
    <row r="91" spans="1:15" ht="18" x14ac:dyDescent="0.35">
      <c r="A91" s="4" t="s">
        <v>197</v>
      </c>
      <c r="B91" s="5">
        <v>45346</v>
      </c>
      <c r="C91" s="6" t="s">
        <v>82</v>
      </c>
      <c r="D91" s="6" t="s">
        <v>100</v>
      </c>
      <c r="E91" s="6" t="s">
        <v>101</v>
      </c>
      <c r="F91" s="6" t="s">
        <v>29</v>
      </c>
      <c r="G91" s="6" t="s">
        <v>54</v>
      </c>
      <c r="H91" s="6" t="s">
        <v>55</v>
      </c>
      <c r="I91" s="6" t="s">
        <v>148</v>
      </c>
      <c r="J91" s="6" t="s">
        <v>23</v>
      </c>
      <c r="K91" s="6" t="s">
        <v>24</v>
      </c>
      <c r="L91" s="6">
        <v>10</v>
      </c>
      <c r="M91" s="7">
        <v>4680</v>
      </c>
      <c r="N91" s="8">
        <v>0.2</v>
      </c>
      <c r="O91" s="9">
        <v>3250</v>
      </c>
    </row>
    <row r="92" spans="1:15" ht="18" x14ac:dyDescent="0.35">
      <c r="A92" s="4" t="s">
        <v>198</v>
      </c>
      <c r="B92" s="5">
        <v>45348</v>
      </c>
      <c r="C92" s="6" t="s">
        <v>26</v>
      </c>
      <c r="D92" s="6" t="s">
        <v>74</v>
      </c>
      <c r="E92" s="6" t="s">
        <v>50</v>
      </c>
      <c r="F92" s="6" t="s">
        <v>19</v>
      </c>
      <c r="G92" s="6" t="s">
        <v>20</v>
      </c>
      <c r="H92" s="6" t="s">
        <v>45</v>
      </c>
      <c r="I92" s="6" t="s">
        <v>46</v>
      </c>
      <c r="J92" s="6" t="s">
        <v>23</v>
      </c>
      <c r="K92" s="6" t="s">
        <v>24</v>
      </c>
      <c r="L92" s="6">
        <v>23</v>
      </c>
      <c r="M92" s="7">
        <v>1899</v>
      </c>
      <c r="N92" s="8">
        <v>0.12</v>
      </c>
      <c r="O92" s="9">
        <v>1080</v>
      </c>
    </row>
    <row r="93" spans="1:15" ht="18" x14ac:dyDescent="0.35">
      <c r="A93" s="4" t="s">
        <v>199</v>
      </c>
      <c r="B93" s="5">
        <v>45350</v>
      </c>
      <c r="C93" s="6" t="s">
        <v>26</v>
      </c>
      <c r="D93" s="6" t="s">
        <v>27</v>
      </c>
      <c r="E93" s="6" t="s">
        <v>69</v>
      </c>
      <c r="F93" s="6" t="s">
        <v>19</v>
      </c>
      <c r="G93" s="6" t="s">
        <v>70</v>
      </c>
      <c r="H93" s="6" t="s">
        <v>71</v>
      </c>
      <c r="I93" s="6" t="s">
        <v>88</v>
      </c>
      <c r="J93" s="6" t="s">
        <v>57</v>
      </c>
      <c r="K93" s="6" t="s">
        <v>78</v>
      </c>
      <c r="L93" s="6">
        <v>1</v>
      </c>
      <c r="M93" s="7">
        <v>999</v>
      </c>
      <c r="N93" s="8">
        <v>0.18</v>
      </c>
      <c r="O93" s="9">
        <v>540</v>
      </c>
    </row>
    <row r="94" spans="1:15" ht="18" x14ac:dyDescent="0.35">
      <c r="A94" s="4" t="s">
        <v>200</v>
      </c>
      <c r="B94" s="5">
        <v>45350</v>
      </c>
      <c r="C94" s="6" t="s">
        <v>26</v>
      </c>
      <c r="D94" s="6" t="s">
        <v>27</v>
      </c>
      <c r="E94" s="6" t="s">
        <v>69</v>
      </c>
      <c r="F94" s="6" t="s">
        <v>19</v>
      </c>
      <c r="G94" s="6" t="s">
        <v>30</v>
      </c>
      <c r="H94" s="6" t="s">
        <v>61</v>
      </c>
      <c r="I94" s="6" t="s">
        <v>186</v>
      </c>
      <c r="J94" s="6" t="s">
        <v>33</v>
      </c>
      <c r="K94" s="6" t="s">
        <v>24</v>
      </c>
      <c r="L94" s="6">
        <v>33</v>
      </c>
      <c r="M94" s="7">
        <v>6999</v>
      </c>
      <c r="N94" s="8">
        <v>0.18</v>
      </c>
      <c r="O94" s="9">
        <v>4320</v>
      </c>
    </row>
    <row r="95" spans="1:15" ht="18" x14ac:dyDescent="0.35">
      <c r="A95" s="4" t="s">
        <v>201</v>
      </c>
      <c r="B95" s="5">
        <v>45350</v>
      </c>
      <c r="C95" s="6" t="s">
        <v>82</v>
      </c>
      <c r="D95" s="6" t="s">
        <v>87</v>
      </c>
      <c r="E95" s="6" t="s">
        <v>105</v>
      </c>
      <c r="F95" s="6" t="s">
        <v>19</v>
      </c>
      <c r="G95" s="6" t="s">
        <v>20</v>
      </c>
      <c r="H95" s="6" t="s">
        <v>21</v>
      </c>
      <c r="I95" s="6" t="s">
        <v>51</v>
      </c>
      <c r="J95" s="6" t="s">
        <v>57</v>
      </c>
      <c r="K95" s="6" t="s">
        <v>24</v>
      </c>
      <c r="L95" s="6">
        <v>26</v>
      </c>
      <c r="M95" s="7">
        <v>5999</v>
      </c>
      <c r="N95" s="8">
        <v>0.1</v>
      </c>
      <c r="O95" s="9">
        <v>3890</v>
      </c>
    </row>
    <row r="96" spans="1:15" ht="18" x14ac:dyDescent="0.35">
      <c r="A96" s="4" t="s">
        <v>202</v>
      </c>
      <c r="B96" s="5">
        <v>45350</v>
      </c>
      <c r="C96" s="6" t="s">
        <v>26</v>
      </c>
      <c r="D96" s="6" t="s">
        <v>27</v>
      </c>
      <c r="E96" s="6" t="s">
        <v>101</v>
      </c>
      <c r="F96" s="6" t="s">
        <v>39</v>
      </c>
      <c r="G96" s="6" t="s">
        <v>20</v>
      </c>
      <c r="H96" s="6" t="s">
        <v>45</v>
      </c>
      <c r="I96" s="6" t="s">
        <v>196</v>
      </c>
      <c r="J96" s="6" t="s">
        <v>57</v>
      </c>
      <c r="K96" s="6" t="s">
        <v>78</v>
      </c>
      <c r="L96" s="6">
        <v>26</v>
      </c>
      <c r="M96" s="7">
        <v>2499</v>
      </c>
      <c r="N96" s="8">
        <v>0.15</v>
      </c>
      <c r="O96" s="9">
        <v>1510</v>
      </c>
    </row>
    <row r="97" spans="1:15" ht="18" x14ac:dyDescent="0.35">
      <c r="A97" s="4" t="s">
        <v>203</v>
      </c>
      <c r="B97" s="5">
        <v>45350</v>
      </c>
      <c r="C97" s="6" t="s">
        <v>82</v>
      </c>
      <c r="D97" s="6" t="s">
        <v>83</v>
      </c>
      <c r="E97" s="6" t="s">
        <v>105</v>
      </c>
      <c r="F97" s="6" t="s">
        <v>19</v>
      </c>
      <c r="G97" s="6" t="s">
        <v>70</v>
      </c>
      <c r="H97" s="6" t="s">
        <v>71</v>
      </c>
      <c r="I97" s="6" t="s">
        <v>88</v>
      </c>
      <c r="J97" s="6" t="s">
        <v>33</v>
      </c>
      <c r="K97" s="6" t="s">
        <v>24</v>
      </c>
      <c r="L97" s="6">
        <v>22</v>
      </c>
      <c r="M97" s="7">
        <v>999</v>
      </c>
      <c r="N97" s="8">
        <v>0.08</v>
      </c>
      <c r="O97" s="9">
        <v>540</v>
      </c>
    </row>
    <row r="98" spans="1:15" ht="18" x14ac:dyDescent="0.35">
      <c r="A98" s="4" t="s">
        <v>204</v>
      </c>
      <c r="B98" s="5">
        <v>45352</v>
      </c>
      <c r="C98" s="6" t="s">
        <v>82</v>
      </c>
      <c r="D98" s="6" t="s">
        <v>100</v>
      </c>
      <c r="E98" s="6" t="s">
        <v>101</v>
      </c>
      <c r="F98" s="6" t="s">
        <v>39</v>
      </c>
      <c r="G98" s="6" t="s">
        <v>40</v>
      </c>
      <c r="H98" s="6" t="s">
        <v>64</v>
      </c>
      <c r="I98" s="6" t="s">
        <v>159</v>
      </c>
      <c r="J98" s="6" t="s">
        <v>33</v>
      </c>
      <c r="K98" s="6" t="s">
        <v>24</v>
      </c>
      <c r="L98" s="6">
        <v>8</v>
      </c>
      <c r="M98" s="7">
        <v>3299</v>
      </c>
      <c r="N98" s="8">
        <v>0.12</v>
      </c>
      <c r="O98" s="9">
        <v>2050</v>
      </c>
    </row>
    <row r="99" spans="1:15" ht="18" x14ac:dyDescent="0.35">
      <c r="A99" s="4" t="s">
        <v>205</v>
      </c>
      <c r="B99" s="5">
        <v>45352</v>
      </c>
      <c r="C99" s="6" t="s">
        <v>16</v>
      </c>
      <c r="D99" s="6" t="s">
        <v>111</v>
      </c>
      <c r="E99" s="6" t="s">
        <v>18</v>
      </c>
      <c r="F99" s="6" t="s">
        <v>29</v>
      </c>
      <c r="G99" s="6" t="s">
        <v>40</v>
      </c>
      <c r="H99" s="6" t="s">
        <v>64</v>
      </c>
      <c r="I99" s="6" t="s">
        <v>65</v>
      </c>
      <c r="J99" s="6" t="s">
        <v>57</v>
      </c>
      <c r="K99" s="6" t="s">
        <v>78</v>
      </c>
      <c r="L99" s="6">
        <v>25</v>
      </c>
      <c r="M99" s="7">
        <v>1930</v>
      </c>
      <c r="N99" s="8">
        <v>0.15</v>
      </c>
      <c r="O99" s="9">
        <v>1120</v>
      </c>
    </row>
    <row r="100" spans="1:15" ht="18" x14ac:dyDescent="0.35">
      <c r="A100" s="4" t="s">
        <v>206</v>
      </c>
      <c r="B100" s="5">
        <v>45352</v>
      </c>
      <c r="C100" s="6" t="s">
        <v>16</v>
      </c>
      <c r="D100" s="6" t="s">
        <v>17</v>
      </c>
      <c r="E100" s="6" t="s">
        <v>28</v>
      </c>
      <c r="F100" s="6" t="s">
        <v>39</v>
      </c>
      <c r="G100" s="6" t="s">
        <v>70</v>
      </c>
      <c r="H100" s="6" t="s">
        <v>71</v>
      </c>
      <c r="I100" s="6" t="s">
        <v>80</v>
      </c>
      <c r="J100" s="6" t="s">
        <v>23</v>
      </c>
      <c r="K100" s="6" t="s">
        <v>24</v>
      </c>
      <c r="L100" s="6">
        <v>2</v>
      </c>
      <c r="M100" s="7">
        <v>1299</v>
      </c>
      <c r="N100" s="8">
        <v>0.18</v>
      </c>
      <c r="O100" s="9">
        <v>720</v>
      </c>
    </row>
    <row r="101" spans="1:15" ht="18" x14ac:dyDescent="0.35">
      <c r="A101" s="4" t="s">
        <v>207</v>
      </c>
      <c r="B101" s="5">
        <v>45353</v>
      </c>
      <c r="C101" s="6" t="s">
        <v>48</v>
      </c>
      <c r="D101" s="6" t="s">
        <v>49</v>
      </c>
      <c r="E101" s="6" t="s">
        <v>50</v>
      </c>
      <c r="F101" s="6" t="s">
        <v>29</v>
      </c>
      <c r="G101" s="6" t="s">
        <v>40</v>
      </c>
      <c r="H101" s="6" t="s">
        <v>64</v>
      </c>
      <c r="I101" s="6" t="s">
        <v>153</v>
      </c>
      <c r="J101" s="6" t="s">
        <v>33</v>
      </c>
      <c r="K101" s="6" t="s">
        <v>78</v>
      </c>
      <c r="L101" s="6">
        <v>8</v>
      </c>
      <c r="M101" s="7">
        <v>4490</v>
      </c>
      <c r="N101" s="8">
        <v>0.18</v>
      </c>
      <c r="O101" s="9">
        <v>2950</v>
      </c>
    </row>
    <row r="102" spans="1:15" ht="18" x14ac:dyDescent="0.35">
      <c r="A102" s="4" t="s">
        <v>208</v>
      </c>
      <c r="B102" s="5">
        <v>45353</v>
      </c>
      <c r="C102" s="6" t="s">
        <v>26</v>
      </c>
      <c r="D102" s="6" t="s">
        <v>27</v>
      </c>
      <c r="E102" s="6" t="s">
        <v>50</v>
      </c>
      <c r="F102" s="6" t="s">
        <v>39</v>
      </c>
      <c r="G102" s="6" t="s">
        <v>30</v>
      </c>
      <c r="H102" s="6" t="s">
        <v>31</v>
      </c>
      <c r="I102" s="6" t="s">
        <v>106</v>
      </c>
      <c r="J102" s="6" t="s">
        <v>57</v>
      </c>
      <c r="K102" s="6" t="s">
        <v>24</v>
      </c>
      <c r="L102" s="6">
        <v>31</v>
      </c>
      <c r="M102" s="7">
        <v>52990</v>
      </c>
      <c r="N102" s="8">
        <v>0.18</v>
      </c>
      <c r="O102" s="9">
        <v>35100</v>
      </c>
    </row>
    <row r="103" spans="1:15" ht="18" x14ac:dyDescent="0.35">
      <c r="A103" s="4" t="s">
        <v>209</v>
      </c>
      <c r="B103" s="5">
        <v>45355</v>
      </c>
      <c r="C103" s="6" t="s">
        <v>16</v>
      </c>
      <c r="D103" s="6" t="s">
        <v>17</v>
      </c>
      <c r="E103" s="6" t="s">
        <v>84</v>
      </c>
      <c r="F103" s="6" t="s">
        <v>29</v>
      </c>
      <c r="G103" s="6" t="s">
        <v>54</v>
      </c>
      <c r="H103" s="6" t="s">
        <v>90</v>
      </c>
      <c r="I103" s="6" t="s">
        <v>91</v>
      </c>
      <c r="J103" s="6" t="s">
        <v>23</v>
      </c>
      <c r="K103" s="6" t="s">
        <v>78</v>
      </c>
      <c r="L103" s="6">
        <v>19</v>
      </c>
      <c r="M103" s="7">
        <v>31990</v>
      </c>
      <c r="N103" s="8">
        <v>0.12</v>
      </c>
      <c r="O103" s="9">
        <v>21800</v>
      </c>
    </row>
    <row r="104" spans="1:15" ht="18" x14ac:dyDescent="0.35">
      <c r="A104" s="4" t="s">
        <v>210</v>
      </c>
      <c r="B104" s="5">
        <v>45355</v>
      </c>
      <c r="C104" s="6" t="s">
        <v>36</v>
      </c>
      <c r="D104" s="6" t="s">
        <v>59</v>
      </c>
      <c r="E104" s="6" t="s">
        <v>60</v>
      </c>
      <c r="F104" s="6" t="s">
        <v>39</v>
      </c>
      <c r="G104" s="6" t="s">
        <v>70</v>
      </c>
      <c r="H104" s="6" t="s">
        <v>71</v>
      </c>
      <c r="I104" s="6" t="s">
        <v>80</v>
      </c>
      <c r="J104" s="6" t="s">
        <v>57</v>
      </c>
      <c r="K104" s="6" t="s">
        <v>78</v>
      </c>
      <c r="L104" s="6">
        <v>4</v>
      </c>
      <c r="M104" s="7">
        <v>1299</v>
      </c>
      <c r="N104" s="8">
        <v>0.2</v>
      </c>
      <c r="O104" s="9">
        <v>720</v>
      </c>
    </row>
    <row r="105" spans="1:15" ht="18" x14ac:dyDescent="0.35">
      <c r="A105" s="4" t="s">
        <v>211</v>
      </c>
      <c r="B105" s="5">
        <v>45355</v>
      </c>
      <c r="C105" s="6" t="s">
        <v>48</v>
      </c>
      <c r="D105" s="6" t="s">
        <v>136</v>
      </c>
      <c r="E105" s="6" t="s">
        <v>18</v>
      </c>
      <c r="F105" s="6" t="s">
        <v>39</v>
      </c>
      <c r="G105" s="6" t="s">
        <v>54</v>
      </c>
      <c r="H105" s="6" t="s">
        <v>55</v>
      </c>
      <c r="I105" s="6" t="s">
        <v>108</v>
      </c>
      <c r="J105" s="6" t="s">
        <v>33</v>
      </c>
      <c r="K105" s="6" t="s">
        <v>78</v>
      </c>
      <c r="L105" s="6">
        <v>33</v>
      </c>
      <c r="M105" s="7">
        <v>5890</v>
      </c>
      <c r="N105" s="8">
        <v>0.08</v>
      </c>
      <c r="O105" s="9">
        <v>3980</v>
      </c>
    </row>
    <row r="106" spans="1:15" ht="18" x14ac:dyDescent="0.35">
      <c r="A106" s="4" t="s">
        <v>212</v>
      </c>
      <c r="B106" s="5">
        <v>45356</v>
      </c>
      <c r="C106" s="6" t="s">
        <v>48</v>
      </c>
      <c r="D106" s="6" t="s">
        <v>68</v>
      </c>
      <c r="E106" s="6" t="s">
        <v>28</v>
      </c>
      <c r="F106" s="6" t="s">
        <v>39</v>
      </c>
      <c r="G106" s="6" t="s">
        <v>20</v>
      </c>
      <c r="H106" s="6" t="s">
        <v>45</v>
      </c>
      <c r="I106" s="6" t="s">
        <v>196</v>
      </c>
      <c r="J106" s="6" t="s">
        <v>23</v>
      </c>
      <c r="K106" s="6" t="s">
        <v>24</v>
      </c>
      <c r="L106" s="6">
        <v>32</v>
      </c>
      <c r="M106" s="7">
        <v>2499</v>
      </c>
      <c r="N106" s="8">
        <v>0.05</v>
      </c>
      <c r="O106" s="9">
        <v>1510</v>
      </c>
    </row>
    <row r="107" spans="1:15" ht="18" x14ac:dyDescent="0.35">
      <c r="A107" s="4" t="s">
        <v>213</v>
      </c>
      <c r="B107" s="5">
        <v>45357</v>
      </c>
      <c r="C107" s="6" t="s">
        <v>26</v>
      </c>
      <c r="D107" s="6" t="s">
        <v>53</v>
      </c>
      <c r="E107" s="6" t="s">
        <v>50</v>
      </c>
      <c r="F107" s="6" t="s">
        <v>39</v>
      </c>
      <c r="G107" s="6" t="s">
        <v>40</v>
      </c>
      <c r="H107" s="6" t="s">
        <v>76</v>
      </c>
      <c r="I107" s="6" t="s">
        <v>77</v>
      </c>
      <c r="J107" s="6" t="s">
        <v>57</v>
      </c>
      <c r="K107" s="6" t="s">
        <v>66</v>
      </c>
      <c r="L107" s="6">
        <v>22</v>
      </c>
      <c r="M107" s="7">
        <v>52990</v>
      </c>
      <c r="N107" s="8">
        <v>0.2</v>
      </c>
      <c r="O107" s="9">
        <v>39500</v>
      </c>
    </row>
    <row r="108" spans="1:15" ht="18" x14ac:dyDescent="0.35">
      <c r="A108" s="4" t="s">
        <v>214</v>
      </c>
      <c r="B108" s="5">
        <v>45357</v>
      </c>
      <c r="C108" s="6" t="s">
        <v>16</v>
      </c>
      <c r="D108" s="6" t="s">
        <v>98</v>
      </c>
      <c r="E108" s="6" t="s">
        <v>50</v>
      </c>
      <c r="F108" s="6" t="s">
        <v>39</v>
      </c>
      <c r="G108" s="6" t="s">
        <v>30</v>
      </c>
      <c r="H108" s="6" t="s">
        <v>61</v>
      </c>
      <c r="I108" s="6" t="s">
        <v>96</v>
      </c>
      <c r="J108" s="6" t="s">
        <v>33</v>
      </c>
      <c r="K108" s="6" t="s">
        <v>24</v>
      </c>
      <c r="L108" s="6">
        <v>29</v>
      </c>
      <c r="M108" s="7">
        <v>25110</v>
      </c>
      <c r="N108" s="8">
        <v>0.2</v>
      </c>
      <c r="O108" s="9">
        <v>16730</v>
      </c>
    </row>
    <row r="109" spans="1:15" ht="18" x14ac:dyDescent="0.35">
      <c r="A109" s="4" t="s">
        <v>215</v>
      </c>
      <c r="B109" s="5">
        <v>45357</v>
      </c>
      <c r="C109" s="6" t="s">
        <v>82</v>
      </c>
      <c r="D109" s="6" t="s">
        <v>87</v>
      </c>
      <c r="E109" s="6" t="s">
        <v>105</v>
      </c>
      <c r="F109" s="6" t="s">
        <v>29</v>
      </c>
      <c r="G109" s="6" t="s">
        <v>20</v>
      </c>
      <c r="H109" s="6" t="s">
        <v>21</v>
      </c>
      <c r="I109" s="6" t="s">
        <v>22</v>
      </c>
      <c r="J109" s="6" t="s">
        <v>57</v>
      </c>
      <c r="K109" s="6" t="s">
        <v>24</v>
      </c>
      <c r="L109" s="6">
        <v>13</v>
      </c>
      <c r="M109" s="7">
        <v>4499</v>
      </c>
      <c r="N109" s="8">
        <v>0.1</v>
      </c>
      <c r="O109" s="9">
        <v>2910</v>
      </c>
    </row>
    <row r="110" spans="1:15" ht="18" x14ac:dyDescent="0.35">
      <c r="A110" s="4" t="s">
        <v>216</v>
      </c>
      <c r="B110" s="5">
        <v>45358</v>
      </c>
      <c r="C110" s="6" t="s">
        <v>16</v>
      </c>
      <c r="D110" s="6" t="s">
        <v>126</v>
      </c>
      <c r="E110" s="6" t="s">
        <v>101</v>
      </c>
      <c r="F110" s="6" t="s">
        <v>29</v>
      </c>
      <c r="G110" s="6" t="s">
        <v>40</v>
      </c>
      <c r="H110" s="6" t="s">
        <v>64</v>
      </c>
      <c r="I110" s="6" t="s">
        <v>159</v>
      </c>
      <c r="J110" s="6" t="s">
        <v>57</v>
      </c>
      <c r="K110" s="6" t="s">
        <v>24</v>
      </c>
      <c r="L110" s="6">
        <v>1</v>
      </c>
      <c r="M110" s="7">
        <v>3299</v>
      </c>
      <c r="N110" s="8">
        <v>0.1</v>
      </c>
      <c r="O110" s="9">
        <v>2050</v>
      </c>
    </row>
    <row r="111" spans="1:15" ht="18" x14ac:dyDescent="0.35">
      <c r="A111" s="4" t="s">
        <v>217</v>
      </c>
      <c r="B111" s="5">
        <v>45358</v>
      </c>
      <c r="C111" s="6" t="s">
        <v>16</v>
      </c>
      <c r="D111" s="6" t="s">
        <v>17</v>
      </c>
      <c r="E111" s="6" t="s">
        <v>60</v>
      </c>
      <c r="F111" s="6" t="s">
        <v>19</v>
      </c>
      <c r="G111" s="6" t="s">
        <v>30</v>
      </c>
      <c r="H111" s="6" t="s">
        <v>31</v>
      </c>
      <c r="I111" s="6" t="s">
        <v>85</v>
      </c>
      <c r="J111" s="6" t="s">
        <v>33</v>
      </c>
      <c r="K111" s="6" t="s">
        <v>34</v>
      </c>
      <c r="L111" s="6">
        <v>28</v>
      </c>
      <c r="M111" s="7">
        <v>43500</v>
      </c>
      <c r="N111" s="8">
        <v>0.08</v>
      </c>
      <c r="O111" s="9">
        <v>29520</v>
      </c>
    </row>
    <row r="112" spans="1:15" ht="18" x14ac:dyDescent="0.35">
      <c r="A112" s="4" t="s">
        <v>218</v>
      </c>
      <c r="B112" s="5">
        <v>45358</v>
      </c>
      <c r="C112" s="6" t="s">
        <v>26</v>
      </c>
      <c r="D112" s="6" t="s">
        <v>53</v>
      </c>
      <c r="E112" s="6" t="s">
        <v>105</v>
      </c>
      <c r="F112" s="6" t="s">
        <v>39</v>
      </c>
      <c r="G112" s="6" t="s">
        <v>54</v>
      </c>
      <c r="H112" s="6" t="s">
        <v>90</v>
      </c>
      <c r="I112" s="6" t="s">
        <v>91</v>
      </c>
      <c r="J112" s="6" t="s">
        <v>57</v>
      </c>
      <c r="K112" s="6" t="s">
        <v>66</v>
      </c>
      <c r="L112" s="6">
        <v>23</v>
      </c>
      <c r="M112" s="7">
        <v>31990</v>
      </c>
      <c r="N112" s="8">
        <v>0.12</v>
      </c>
      <c r="O112" s="9">
        <v>21800</v>
      </c>
    </row>
    <row r="113" spans="1:15" ht="18" x14ac:dyDescent="0.35">
      <c r="A113" s="4" t="s">
        <v>219</v>
      </c>
      <c r="B113" s="5">
        <v>45358</v>
      </c>
      <c r="C113" s="6" t="s">
        <v>26</v>
      </c>
      <c r="D113" s="6" t="s">
        <v>27</v>
      </c>
      <c r="E113" s="6" t="s">
        <v>18</v>
      </c>
      <c r="F113" s="6" t="s">
        <v>39</v>
      </c>
      <c r="G113" s="6" t="s">
        <v>54</v>
      </c>
      <c r="H113" s="6" t="s">
        <v>55</v>
      </c>
      <c r="I113" s="6" t="s">
        <v>56</v>
      </c>
      <c r="J113" s="6" t="s">
        <v>57</v>
      </c>
      <c r="K113" s="6" t="s">
        <v>66</v>
      </c>
      <c r="L113" s="6">
        <v>32</v>
      </c>
      <c r="M113" s="7">
        <v>7299</v>
      </c>
      <c r="N113" s="8">
        <v>0.12</v>
      </c>
      <c r="O113" s="9">
        <v>5010</v>
      </c>
    </row>
    <row r="114" spans="1:15" ht="18" x14ac:dyDescent="0.35">
      <c r="A114" s="4" t="s">
        <v>220</v>
      </c>
      <c r="B114" s="5">
        <v>45359</v>
      </c>
      <c r="C114" s="6" t="s">
        <v>26</v>
      </c>
      <c r="D114" s="6" t="s">
        <v>74</v>
      </c>
      <c r="E114" s="6" t="s">
        <v>18</v>
      </c>
      <c r="F114" s="6" t="s">
        <v>19</v>
      </c>
      <c r="G114" s="6" t="s">
        <v>30</v>
      </c>
      <c r="H114" s="6" t="s">
        <v>31</v>
      </c>
      <c r="I114" s="6" t="s">
        <v>32</v>
      </c>
      <c r="J114" s="6" t="s">
        <v>57</v>
      </c>
      <c r="K114" s="6" t="s">
        <v>34</v>
      </c>
      <c r="L114" s="6">
        <v>12</v>
      </c>
      <c r="M114" s="7">
        <v>38990</v>
      </c>
      <c r="N114" s="8">
        <v>0.15</v>
      </c>
      <c r="O114" s="9">
        <v>25400</v>
      </c>
    </row>
    <row r="115" spans="1:15" ht="18" x14ac:dyDescent="0.35">
      <c r="A115" s="4" t="s">
        <v>221</v>
      </c>
      <c r="B115" s="5">
        <v>45360</v>
      </c>
      <c r="C115" s="6" t="s">
        <v>36</v>
      </c>
      <c r="D115" s="6" t="s">
        <v>59</v>
      </c>
      <c r="E115" s="6" t="s">
        <v>38</v>
      </c>
      <c r="F115" s="6" t="s">
        <v>19</v>
      </c>
      <c r="G115" s="6" t="s">
        <v>20</v>
      </c>
      <c r="H115" s="6" t="s">
        <v>21</v>
      </c>
      <c r="I115" s="6" t="s">
        <v>51</v>
      </c>
      <c r="J115" s="6" t="s">
        <v>57</v>
      </c>
      <c r="K115" s="6" t="s">
        <v>24</v>
      </c>
      <c r="L115" s="6">
        <v>19</v>
      </c>
      <c r="M115" s="7">
        <v>5999</v>
      </c>
      <c r="N115" s="8">
        <v>0.12</v>
      </c>
      <c r="O115" s="9">
        <v>3890</v>
      </c>
    </row>
    <row r="116" spans="1:15" ht="18" x14ac:dyDescent="0.35">
      <c r="A116" s="4" t="s">
        <v>222</v>
      </c>
      <c r="B116" s="5">
        <v>45360</v>
      </c>
      <c r="C116" s="6" t="s">
        <v>36</v>
      </c>
      <c r="D116" s="6" t="s">
        <v>59</v>
      </c>
      <c r="E116" s="6" t="s">
        <v>60</v>
      </c>
      <c r="F116" s="6" t="s">
        <v>19</v>
      </c>
      <c r="G116" s="6" t="s">
        <v>40</v>
      </c>
      <c r="H116" s="6" t="s">
        <v>41</v>
      </c>
      <c r="I116" s="6" t="s">
        <v>42</v>
      </c>
      <c r="J116" s="6" t="s">
        <v>57</v>
      </c>
      <c r="K116" s="6" t="s">
        <v>34</v>
      </c>
      <c r="L116" s="6">
        <v>15</v>
      </c>
      <c r="M116" s="7">
        <v>55230</v>
      </c>
      <c r="N116" s="8">
        <v>0.18</v>
      </c>
      <c r="O116" s="9">
        <v>33800</v>
      </c>
    </row>
    <row r="117" spans="1:15" ht="18" x14ac:dyDescent="0.35">
      <c r="A117" s="4" t="s">
        <v>223</v>
      </c>
      <c r="B117" s="5">
        <v>45361</v>
      </c>
      <c r="C117" s="6" t="s">
        <v>26</v>
      </c>
      <c r="D117" s="6" t="s">
        <v>163</v>
      </c>
      <c r="E117" s="6" t="s">
        <v>60</v>
      </c>
      <c r="F117" s="6" t="s">
        <v>29</v>
      </c>
      <c r="G117" s="6" t="s">
        <v>30</v>
      </c>
      <c r="H117" s="6" t="s">
        <v>31</v>
      </c>
      <c r="I117" s="6" t="s">
        <v>106</v>
      </c>
      <c r="J117" s="6" t="s">
        <v>33</v>
      </c>
      <c r="K117" s="6" t="s">
        <v>24</v>
      </c>
      <c r="L117" s="6">
        <v>1</v>
      </c>
      <c r="M117" s="7">
        <v>52990</v>
      </c>
      <c r="N117" s="8">
        <v>0.12</v>
      </c>
      <c r="O117" s="9">
        <v>35100</v>
      </c>
    </row>
    <row r="118" spans="1:15" ht="18" x14ac:dyDescent="0.35">
      <c r="A118" s="4" t="s">
        <v>224</v>
      </c>
      <c r="B118" s="5">
        <v>45362</v>
      </c>
      <c r="C118" s="6" t="s">
        <v>16</v>
      </c>
      <c r="D118" s="6" t="s">
        <v>126</v>
      </c>
      <c r="E118" s="6" t="s">
        <v>60</v>
      </c>
      <c r="F118" s="6" t="s">
        <v>19</v>
      </c>
      <c r="G118" s="6" t="s">
        <v>54</v>
      </c>
      <c r="H118" s="6" t="s">
        <v>90</v>
      </c>
      <c r="I118" s="6" t="s">
        <v>91</v>
      </c>
      <c r="J118" s="6" t="s">
        <v>23</v>
      </c>
      <c r="K118" s="6" t="s">
        <v>34</v>
      </c>
      <c r="L118" s="6">
        <v>4</v>
      </c>
      <c r="M118" s="7">
        <v>31990</v>
      </c>
      <c r="N118" s="8">
        <v>0.18</v>
      </c>
      <c r="O118" s="9">
        <v>21800</v>
      </c>
    </row>
    <row r="119" spans="1:15" ht="18" x14ac:dyDescent="0.35">
      <c r="A119" s="4" t="s">
        <v>225</v>
      </c>
      <c r="B119" s="5">
        <v>45362</v>
      </c>
      <c r="C119" s="6" t="s">
        <v>48</v>
      </c>
      <c r="D119" s="6" t="s">
        <v>136</v>
      </c>
      <c r="E119" s="6" t="s">
        <v>18</v>
      </c>
      <c r="F119" s="6" t="s">
        <v>29</v>
      </c>
      <c r="G119" s="6" t="s">
        <v>40</v>
      </c>
      <c r="H119" s="6" t="s">
        <v>76</v>
      </c>
      <c r="I119" s="6" t="s">
        <v>113</v>
      </c>
      <c r="J119" s="6" t="s">
        <v>23</v>
      </c>
      <c r="K119" s="6" t="s">
        <v>34</v>
      </c>
      <c r="L119" s="6">
        <v>7</v>
      </c>
      <c r="M119" s="7">
        <v>22999</v>
      </c>
      <c r="N119" s="8">
        <v>0.18</v>
      </c>
      <c r="O119" s="9">
        <v>15100</v>
      </c>
    </row>
    <row r="120" spans="1:15" ht="18" x14ac:dyDescent="0.35">
      <c r="A120" s="4" t="s">
        <v>226</v>
      </c>
      <c r="B120" s="5">
        <v>45362</v>
      </c>
      <c r="C120" s="6" t="s">
        <v>48</v>
      </c>
      <c r="D120" s="6" t="s">
        <v>68</v>
      </c>
      <c r="E120" s="6" t="s">
        <v>69</v>
      </c>
      <c r="F120" s="6" t="s">
        <v>39</v>
      </c>
      <c r="G120" s="6" t="s">
        <v>40</v>
      </c>
      <c r="H120" s="6" t="s">
        <v>64</v>
      </c>
      <c r="I120" s="6" t="s">
        <v>153</v>
      </c>
      <c r="J120" s="6" t="s">
        <v>57</v>
      </c>
      <c r="K120" s="6" t="s">
        <v>78</v>
      </c>
      <c r="L120" s="6">
        <v>39</v>
      </c>
      <c r="M120" s="7">
        <v>4490</v>
      </c>
      <c r="N120" s="8">
        <v>0.18</v>
      </c>
      <c r="O120" s="9">
        <v>2950</v>
      </c>
    </row>
    <row r="121" spans="1:15" ht="18" x14ac:dyDescent="0.35">
      <c r="A121" s="4" t="s">
        <v>227</v>
      </c>
      <c r="B121" s="5">
        <v>45362</v>
      </c>
      <c r="C121" s="6" t="s">
        <v>48</v>
      </c>
      <c r="D121" s="6" t="s">
        <v>68</v>
      </c>
      <c r="E121" s="6" t="s">
        <v>105</v>
      </c>
      <c r="F121" s="6" t="s">
        <v>39</v>
      </c>
      <c r="G121" s="6" t="s">
        <v>30</v>
      </c>
      <c r="H121" s="6" t="s">
        <v>31</v>
      </c>
      <c r="I121" s="6" t="s">
        <v>106</v>
      </c>
      <c r="J121" s="6" t="s">
        <v>33</v>
      </c>
      <c r="K121" s="6" t="s">
        <v>24</v>
      </c>
      <c r="L121" s="6">
        <v>3</v>
      </c>
      <c r="M121" s="7">
        <v>52990</v>
      </c>
      <c r="N121" s="8">
        <v>0.05</v>
      </c>
      <c r="O121" s="9">
        <v>35100</v>
      </c>
    </row>
    <row r="122" spans="1:15" ht="18" x14ac:dyDescent="0.35">
      <c r="A122" s="4" t="s">
        <v>228</v>
      </c>
      <c r="B122" s="5">
        <v>45363</v>
      </c>
      <c r="C122" s="6" t="s">
        <v>82</v>
      </c>
      <c r="D122" s="6" t="s">
        <v>183</v>
      </c>
      <c r="E122" s="6" t="s">
        <v>105</v>
      </c>
      <c r="F122" s="6" t="s">
        <v>29</v>
      </c>
      <c r="G122" s="6" t="s">
        <v>30</v>
      </c>
      <c r="H122" s="6" t="s">
        <v>61</v>
      </c>
      <c r="I122" s="6" t="s">
        <v>96</v>
      </c>
      <c r="J122" s="6" t="s">
        <v>33</v>
      </c>
      <c r="K122" s="6" t="s">
        <v>24</v>
      </c>
      <c r="L122" s="6">
        <v>31</v>
      </c>
      <c r="M122" s="7">
        <v>25110</v>
      </c>
      <c r="N122" s="8">
        <v>0.18</v>
      </c>
      <c r="O122" s="9">
        <v>16730</v>
      </c>
    </row>
    <row r="123" spans="1:15" ht="18" x14ac:dyDescent="0.35">
      <c r="A123" s="4" t="s">
        <v>229</v>
      </c>
      <c r="B123" s="5">
        <v>45363</v>
      </c>
      <c r="C123" s="6" t="s">
        <v>16</v>
      </c>
      <c r="D123" s="6" t="s">
        <v>17</v>
      </c>
      <c r="E123" s="6" t="s">
        <v>60</v>
      </c>
      <c r="F123" s="6" t="s">
        <v>39</v>
      </c>
      <c r="G123" s="6" t="s">
        <v>54</v>
      </c>
      <c r="H123" s="6" t="s">
        <v>55</v>
      </c>
      <c r="I123" s="6" t="s">
        <v>108</v>
      </c>
      <c r="J123" s="6" t="s">
        <v>57</v>
      </c>
      <c r="K123" s="6" t="s">
        <v>66</v>
      </c>
      <c r="L123" s="6">
        <v>21</v>
      </c>
      <c r="M123" s="7">
        <v>5890</v>
      </c>
      <c r="N123" s="8">
        <v>0.18</v>
      </c>
      <c r="O123" s="9">
        <v>3980</v>
      </c>
    </row>
    <row r="124" spans="1:15" ht="18" x14ac:dyDescent="0.35">
      <c r="A124" s="4" t="s">
        <v>230</v>
      </c>
      <c r="B124" s="5">
        <v>45365</v>
      </c>
      <c r="C124" s="6" t="s">
        <v>26</v>
      </c>
      <c r="D124" s="6" t="s">
        <v>27</v>
      </c>
      <c r="E124" s="6" t="s">
        <v>84</v>
      </c>
      <c r="F124" s="6" t="s">
        <v>19</v>
      </c>
      <c r="G124" s="6" t="s">
        <v>70</v>
      </c>
      <c r="H124" s="6" t="s">
        <v>71</v>
      </c>
      <c r="I124" s="6" t="s">
        <v>88</v>
      </c>
      <c r="J124" s="6" t="s">
        <v>23</v>
      </c>
      <c r="K124" s="6" t="s">
        <v>78</v>
      </c>
      <c r="L124" s="6">
        <v>16</v>
      </c>
      <c r="M124" s="7">
        <v>999</v>
      </c>
      <c r="N124" s="8">
        <v>0.18</v>
      </c>
      <c r="O124" s="9">
        <v>540</v>
      </c>
    </row>
    <row r="125" spans="1:15" ht="18" x14ac:dyDescent="0.35">
      <c r="A125" s="4" t="s">
        <v>231</v>
      </c>
      <c r="B125" s="5">
        <v>45365</v>
      </c>
      <c r="C125" s="6" t="s">
        <v>16</v>
      </c>
      <c r="D125" s="6" t="s">
        <v>98</v>
      </c>
      <c r="E125" s="6" t="s">
        <v>84</v>
      </c>
      <c r="F125" s="6" t="s">
        <v>39</v>
      </c>
      <c r="G125" s="6" t="s">
        <v>20</v>
      </c>
      <c r="H125" s="6" t="s">
        <v>45</v>
      </c>
      <c r="I125" s="6" t="s">
        <v>196</v>
      </c>
      <c r="J125" s="6" t="s">
        <v>23</v>
      </c>
      <c r="K125" s="6" t="s">
        <v>66</v>
      </c>
      <c r="L125" s="6">
        <v>11</v>
      </c>
      <c r="M125" s="7">
        <v>2499</v>
      </c>
      <c r="N125" s="8">
        <v>0.05</v>
      </c>
      <c r="O125" s="9">
        <v>1510</v>
      </c>
    </row>
    <row r="126" spans="1:15" ht="18" x14ac:dyDescent="0.35">
      <c r="A126" s="4" t="s">
        <v>232</v>
      </c>
      <c r="B126" s="5">
        <v>45366</v>
      </c>
      <c r="C126" s="6" t="s">
        <v>82</v>
      </c>
      <c r="D126" s="6" t="s">
        <v>87</v>
      </c>
      <c r="E126" s="6" t="s">
        <v>101</v>
      </c>
      <c r="F126" s="6" t="s">
        <v>39</v>
      </c>
      <c r="G126" s="6" t="s">
        <v>30</v>
      </c>
      <c r="H126" s="6" t="s">
        <v>31</v>
      </c>
      <c r="I126" s="6" t="s">
        <v>32</v>
      </c>
      <c r="J126" s="6" t="s">
        <v>57</v>
      </c>
      <c r="K126" s="6" t="s">
        <v>24</v>
      </c>
      <c r="L126" s="6">
        <v>30</v>
      </c>
      <c r="M126" s="7">
        <v>38990</v>
      </c>
      <c r="N126" s="8">
        <v>0.15</v>
      </c>
      <c r="O126" s="9">
        <v>25400</v>
      </c>
    </row>
    <row r="127" spans="1:15" ht="18" x14ac:dyDescent="0.35">
      <c r="A127" s="4" t="s">
        <v>233</v>
      </c>
      <c r="B127" s="5">
        <v>45366</v>
      </c>
      <c r="C127" s="6" t="s">
        <v>16</v>
      </c>
      <c r="D127" s="6" t="s">
        <v>111</v>
      </c>
      <c r="E127" s="6" t="s">
        <v>38</v>
      </c>
      <c r="F127" s="6" t="s">
        <v>19</v>
      </c>
      <c r="G127" s="6" t="s">
        <v>20</v>
      </c>
      <c r="H127" s="6" t="s">
        <v>21</v>
      </c>
      <c r="I127" s="6" t="s">
        <v>51</v>
      </c>
      <c r="J127" s="6" t="s">
        <v>23</v>
      </c>
      <c r="K127" s="6" t="s">
        <v>24</v>
      </c>
      <c r="L127" s="6">
        <v>30</v>
      </c>
      <c r="M127" s="7">
        <v>5999</v>
      </c>
      <c r="N127" s="8">
        <v>0.18</v>
      </c>
      <c r="O127" s="9">
        <v>3890</v>
      </c>
    </row>
    <row r="128" spans="1:15" ht="18" x14ac:dyDescent="0.35">
      <c r="A128" s="4" t="s">
        <v>234</v>
      </c>
      <c r="B128" s="5">
        <v>45366</v>
      </c>
      <c r="C128" s="6" t="s">
        <v>36</v>
      </c>
      <c r="D128" s="6" t="s">
        <v>121</v>
      </c>
      <c r="E128" s="6" t="s">
        <v>69</v>
      </c>
      <c r="F128" s="6" t="s">
        <v>39</v>
      </c>
      <c r="G128" s="6" t="s">
        <v>20</v>
      </c>
      <c r="H128" s="6" t="s">
        <v>21</v>
      </c>
      <c r="I128" s="6" t="s">
        <v>115</v>
      </c>
      <c r="J128" s="6" t="s">
        <v>57</v>
      </c>
      <c r="K128" s="6" t="s">
        <v>78</v>
      </c>
      <c r="L128" s="6">
        <v>10</v>
      </c>
      <c r="M128" s="7">
        <v>6499</v>
      </c>
      <c r="N128" s="8">
        <v>0.08</v>
      </c>
      <c r="O128" s="9">
        <v>4210</v>
      </c>
    </row>
    <row r="129" spans="1:15" ht="18" x14ac:dyDescent="0.35">
      <c r="A129" s="4" t="s">
        <v>235</v>
      </c>
      <c r="B129" s="5">
        <v>45366</v>
      </c>
      <c r="C129" s="6" t="s">
        <v>16</v>
      </c>
      <c r="D129" s="6" t="s">
        <v>17</v>
      </c>
      <c r="E129" s="6" t="s">
        <v>101</v>
      </c>
      <c r="F129" s="6" t="s">
        <v>39</v>
      </c>
      <c r="G129" s="6" t="s">
        <v>54</v>
      </c>
      <c r="H129" s="6" t="s">
        <v>90</v>
      </c>
      <c r="I129" s="6" t="s">
        <v>134</v>
      </c>
      <c r="J129" s="6" t="s">
        <v>23</v>
      </c>
      <c r="K129" s="6" t="s">
        <v>24</v>
      </c>
      <c r="L129" s="6">
        <v>22</v>
      </c>
      <c r="M129" s="7">
        <v>32800</v>
      </c>
      <c r="N129" s="8">
        <v>0.05</v>
      </c>
      <c r="O129" s="9">
        <v>23100</v>
      </c>
    </row>
    <row r="130" spans="1:15" ht="18" x14ac:dyDescent="0.35">
      <c r="A130" s="4" t="s">
        <v>236</v>
      </c>
      <c r="B130" s="5">
        <v>45366</v>
      </c>
      <c r="C130" s="6" t="s">
        <v>48</v>
      </c>
      <c r="D130" s="6" t="s">
        <v>93</v>
      </c>
      <c r="E130" s="6" t="s">
        <v>38</v>
      </c>
      <c r="F130" s="6" t="s">
        <v>19</v>
      </c>
      <c r="G130" s="6" t="s">
        <v>40</v>
      </c>
      <c r="H130" s="6" t="s">
        <v>76</v>
      </c>
      <c r="I130" s="6" t="s">
        <v>77</v>
      </c>
      <c r="J130" s="6" t="s">
        <v>57</v>
      </c>
      <c r="K130" s="6" t="s">
        <v>34</v>
      </c>
      <c r="L130" s="6">
        <v>16</v>
      </c>
      <c r="M130" s="7">
        <v>52990</v>
      </c>
      <c r="N130" s="8">
        <v>0.1</v>
      </c>
      <c r="O130" s="9">
        <v>39500</v>
      </c>
    </row>
    <row r="131" spans="1:15" ht="18" x14ac:dyDescent="0.35">
      <c r="A131" s="4" t="s">
        <v>237</v>
      </c>
      <c r="B131" s="5">
        <v>45367</v>
      </c>
      <c r="C131" s="6" t="s">
        <v>48</v>
      </c>
      <c r="D131" s="6" t="s">
        <v>49</v>
      </c>
      <c r="E131" s="6" t="s">
        <v>69</v>
      </c>
      <c r="F131" s="6" t="s">
        <v>29</v>
      </c>
      <c r="G131" s="6" t="s">
        <v>30</v>
      </c>
      <c r="H131" s="6" t="s">
        <v>61</v>
      </c>
      <c r="I131" s="6" t="s">
        <v>96</v>
      </c>
      <c r="J131" s="6" t="s">
        <v>33</v>
      </c>
      <c r="K131" s="6" t="s">
        <v>24</v>
      </c>
      <c r="L131" s="6">
        <v>8</v>
      </c>
      <c r="M131" s="7">
        <v>25110</v>
      </c>
      <c r="N131" s="8">
        <v>0.18</v>
      </c>
      <c r="O131" s="9">
        <v>16730</v>
      </c>
    </row>
    <row r="132" spans="1:15" ht="18" x14ac:dyDescent="0.35">
      <c r="A132" s="4" t="s">
        <v>238</v>
      </c>
      <c r="B132" s="5">
        <v>45368</v>
      </c>
      <c r="C132" s="6" t="s">
        <v>26</v>
      </c>
      <c r="D132" s="6" t="s">
        <v>27</v>
      </c>
      <c r="E132" s="6" t="s">
        <v>18</v>
      </c>
      <c r="F132" s="6" t="s">
        <v>19</v>
      </c>
      <c r="G132" s="6" t="s">
        <v>70</v>
      </c>
      <c r="H132" s="6" t="s">
        <v>71</v>
      </c>
      <c r="I132" s="6" t="s">
        <v>72</v>
      </c>
      <c r="J132" s="6" t="s">
        <v>33</v>
      </c>
      <c r="K132" s="6" t="s">
        <v>78</v>
      </c>
      <c r="L132" s="6">
        <v>15</v>
      </c>
      <c r="M132" s="7">
        <v>3499</v>
      </c>
      <c r="N132" s="8">
        <v>0.18</v>
      </c>
      <c r="O132" s="9">
        <v>2190</v>
      </c>
    </row>
    <row r="133" spans="1:15" ht="18" x14ac:dyDescent="0.35">
      <c r="A133" s="4" t="s">
        <v>239</v>
      </c>
      <c r="B133" s="5">
        <v>45368</v>
      </c>
      <c r="C133" s="6" t="s">
        <v>36</v>
      </c>
      <c r="D133" s="6" t="s">
        <v>121</v>
      </c>
      <c r="E133" s="6" t="s">
        <v>84</v>
      </c>
      <c r="F133" s="6" t="s">
        <v>39</v>
      </c>
      <c r="G133" s="6" t="s">
        <v>30</v>
      </c>
      <c r="H133" s="6" t="s">
        <v>61</v>
      </c>
      <c r="I133" s="6" t="s">
        <v>62</v>
      </c>
      <c r="J133" s="6" t="s">
        <v>57</v>
      </c>
      <c r="K133" s="6" t="s">
        <v>34</v>
      </c>
      <c r="L133" s="6">
        <v>13</v>
      </c>
      <c r="M133" s="7">
        <v>12490</v>
      </c>
      <c r="N133" s="8">
        <v>0.08</v>
      </c>
      <c r="O133" s="9">
        <v>7900</v>
      </c>
    </row>
    <row r="134" spans="1:15" ht="18" x14ac:dyDescent="0.35">
      <c r="A134" s="4" t="s">
        <v>240</v>
      </c>
      <c r="B134" s="5">
        <v>45369</v>
      </c>
      <c r="C134" s="6" t="s">
        <v>36</v>
      </c>
      <c r="D134" s="6" t="s">
        <v>44</v>
      </c>
      <c r="E134" s="6" t="s">
        <v>50</v>
      </c>
      <c r="F134" s="6" t="s">
        <v>39</v>
      </c>
      <c r="G134" s="6" t="s">
        <v>40</v>
      </c>
      <c r="H134" s="6" t="s">
        <v>64</v>
      </c>
      <c r="I134" s="6" t="s">
        <v>65</v>
      </c>
      <c r="J134" s="6" t="s">
        <v>57</v>
      </c>
      <c r="K134" s="6" t="s">
        <v>34</v>
      </c>
      <c r="L134" s="6">
        <v>10</v>
      </c>
      <c r="M134" s="7">
        <v>1930</v>
      </c>
      <c r="N134" s="8">
        <v>0.08</v>
      </c>
      <c r="O134" s="9">
        <v>1120</v>
      </c>
    </row>
    <row r="135" spans="1:15" ht="18" x14ac:dyDescent="0.35">
      <c r="A135" s="4" t="s">
        <v>241</v>
      </c>
      <c r="B135" s="5">
        <v>45369</v>
      </c>
      <c r="C135" s="6" t="s">
        <v>26</v>
      </c>
      <c r="D135" s="6" t="s">
        <v>163</v>
      </c>
      <c r="E135" s="6" t="s">
        <v>101</v>
      </c>
      <c r="F135" s="6" t="s">
        <v>39</v>
      </c>
      <c r="G135" s="6" t="s">
        <v>30</v>
      </c>
      <c r="H135" s="6" t="s">
        <v>31</v>
      </c>
      <c r="I135" s="6" t="s">
        <v>32</v>
      </c>
      <c r="J135" s="6" t="s">
        <v>33</v>
      </c>
      <c r="K135" s="6" t="s">
        <v>24</v>
      </c>
      <c r="L135" s="6">
        <v>32</v>
      </c>
      <c r="M135" s="7">
        <v>38990</v>
      </c>
      <c r="N135" s="8">
        <v>0.2</v>
      </c>
      <c r="O135" s="9">
        <v>25400</v>
      </c>
    </row>
    <row r="136" spans="1:15" ht="18" x14ac:dyDescent="0.35">
      <c r="A136" s="4" t="s">
        <v>242</v>
      </c>
      <c r="B136" s="5">
        <v>45370</v>
      </c>
      <c r="C136" s="6" t="s">
        <v>36</v>
      </c>
      <c r="D136" s="6" t="s">
        <v>59</v>
      </c>
      <c r="E136" s="6" t="s">
        <v>84</v>
      </c>
      <c r="F136" s="6" t="s">
        <v>39</v>
      </c>
      <c r="G136" s="6" t="s">
        <v>30</v>
      </c>
      <c r="H136" s="6" t="s">
        <v>31</v>
      </c>
      <c r="I136" s="6" t="s">
        <v>106</v>
      </c>
      <c r="J136" s="6" t="s">
        <v>33</v>
      </c>
      <c r="K136" s="6" t="s">
        <v>24</v>
      </c>
      <c r="L136" s="6">
        <v>9</v>
      </c>
      <c r="M136" s="7">
        <v>52990</v>
      </c>
      <c r="N136" s="8">
        <v>0.12</v>
      </c>
      <c r="O136" s="9">
        <v>35100</v>
      </c>
    </row>
    <row r="137" spans="1:15" ht="18" x14ac:dyDescent="0.35">
      <c r="A137" s="4" t="s">
        <v>243</v>
      </c>
      <c r="B137" s="5">
        <v>45370</v>
      </c>
      <c r="C137" s="6" t="s">
        <v>26</v>
      </c>
      <c r="D137" s="6" t="s">
        <v>163</v>
      </c>
      <c r="E137" s="6" t="s">
        <v>84</v>
      </c>
      <c r="F137" s="6" t="s">
        <v>19</v>
      </c>
      <c r="G137" s="6" t="s">
        <v>20</v>
      </c>
      <c r="H137" s="6" t="s">
        <v>21</v>
      </c>
      <c r="I137" s="6" t="s">
        <v>22</v>
      </c>
      <c r="J137" s="6" t="s">
        <v>57</v>
      </c>
      <c r="K137" s="6" t="s">
        <v>24</v>
      </c>
      <c r="L137" s="6">
        <v>17</v>
      </c>
      <c r="M137" s="7">
        <v>4499</v>
      </c>
      <c r="N137" s="8">
        <v>0.18</v>
      </c>
      <c r="O137" s="9">
        <v>2910</v>
      </c>
    </row>
    <row r="138" spans="1:15" ht="18" x14ac:dyDescent="0.35">
      <c r="A138" s="4" t="s">
        <v>244</v>
      </c>
      <c r="B138" s="5">
        <v>45372</v>
      </c>
      <c r="C138" s="6" t="s">
        <v>82</v>
      </c>
      <c r="D138" s="6" t="s">
        <v>87</v>
      </c>
      <c r="E138" s="6" t="s">
        <v>105</v>
      </c>
      <c r="F138" s="6" t="s">
        <v>39</v>
      </c>
      <c r="G138" s="6" t="s">
        <v>40</v>
      </c>
      <c r="H138" s="6" t="s">
        <v>41</v>
      </c>
      <c r="I138" s="6" t="s">
        <v>156</v>
      </c>
      <c r="J138" s="6" t="s">
        <v>23</v>
      </c>
      <c r="K138" s="6" t="s">
        <v>34</v>
      </c>
      <c r="L138" s="6">
        <v>2</v>
      </c>
      <c r="M138" s="7">
        <v>48500</v>
      </c>
      <c r="N138" s="8">
        <v>0.05</v>
      </c>
      <c r="O138" s="9">
        <v>30200</v>
      </c>
    </row>
    <row r="139" spans="1:15" ht="18" x14ac:dyDescent="0.35">
      <c r="A139" s="4" t="s">
        <v>245</v>
      </c>
      <c r="B139" s="5">
        <v>45372</v>
      </c>
      <c r="C139" s="6" t="s">
        <v>26</v>
      </c>
      <c r="D139" s="6" t="s">
        <v>163</v>
      </c>
      <c r="E139" s="6" t="s">
        <v>105</v>
      </c>
      <c r="F139" s="6" t="s">
        <v>39</v>
      </c>
      <c r="G139" s="6" t="s">
        <v>20</v>
      </c>
      <c r="H139" s="6" t="s">
        <v>21</v>
      </c>
      <c r="I139" s="6" t="s">
        <v>115</v>
      </c>
      <c r="J139" s="6" t="s">
        <v>23</v>
      </c>
      <c r="K139" s="6" t="s">
        <v>24</v>
      </c>
      <c r="L139" s="6">
        <v>35</v>
      </c>
      <c r="M139" s="7">
        <v>6499</v>
      </c>
      <c r="N139" s="8">
        <v>0.08</v>
      </c>
      <c r="O139" s="9">
        <v>4210</v>
      </c>
    </row>
    <row r="140" spans="1:15" ht="18" x14ac:dyDescent="0.35">
      <c r="A140" s="4" t="s">
        <v>246</v>
      </c>
      <c r="B140" s="5">
        <v>45373</v>
      </c>
      <c r="C140" s="6" t="s">
        <v>26</v>
      </c>
      <c r="D140" s="6" t="s">
        <v>163</v>
      </c>
      <c r="E140" s="6" t="s">
        <v>18</v>
      </c>
      <c r="F140" s="6" t="s">
        <v>29</v>
      </c>
      <c r="G140" s="6" t="s">
        <v>70</v>
      </c>
      <c r="H140" s="6" t="s">
        <v>71</v>
      </c>
      <c r="I140" s="6" t="s">
        <v>80</v>
      </c>
      <c r="J140" s="6" t="s">
        <v>33</v>
      </c>
      <c r="K140" s="6" t="s">
        <v>24</v>
      </c>
      <c r="L140" s="6">
        <v>10</v>
      </c>
      <c r="M140" s="7">
        <v>1299</v>
      </c>
      <c r="N140" s="8">
        <v>0.18</v>
      </c>
      <c r="O140" s="9">
        <v>720</v>
      </c>
    </row>
    <row r="141" spans="1:15" ht="18" x14ac:dyDescent="0.35">
      <c r="A141" s="4" t="s">
        <v>247</v>
      </c>
      <c r="B141" s="5">
        <v>45373</v>
      </c>
      <c r="C141" s="6" t="s">
        <v>16</v>
      </c>
      <c r="D141" s="6" t="s">
        <v>126</v>
      </c>
      <c r="E141" s="6" t="s">
        <v>50</v>
      </c>
      <c r="F141" s="6" t="s">
        <v>19</v>
      </c>
      <c r="G141" s="6" t="s">
        <v>54</v>
      </c>
      <c r="H141" s="6" t="s">
        <v>55</v>
      </c>
      <c r="I141" s="6" t="s">
        <v>56</v>
      </c>
      <c r="J141" s="6" t="s">
        <v>23</v>
      </c>
      <c r="K141" s="6" t="s">
        <v>66</v>
      </c>
      <c r="L141" s="6">
        <v>21</v>
      </c>
      <c r="M141" s="7">
        <v>7299</v>
      </c>
      <c r="N141" s="8">
        <v>0.08</v>
      </c>
      <c r="O141" s="9">
        <v>5010</v>
      </c>
    </row>
    <row r="142" spans="1:15" ht="18" x14ac:dyDescent="0.35">
      <c r="A142" s="4" t="s">
        <v>248</v>
      </c>
      <c r="B142" s="5">
        <v>45374</v>
      </c>
      <c r="C142" s="6" t="s">
        <v>48</v>
      </c>
      <c r="D142" s="6" t="s">
        <v>49</v>
      </c>
      <c r="E142" s="6" t="s">
        <v>75</v>
      </c>
      <c r="F142" s="6" t="s">
        <v>19</v>
      </c>
      <c r="G142" s="6" t="s">
        <v>54</v>
      </c>
      <c r="H142" s="6" t="s">
        <v>55</v>
      </c>
      <c r="I142" s="6" t="s">
        <v>108</v>
      </c>
      <c r="J142" s="6" t="s">
        <v>33</v>
      </c>
      <c r="K142" s="6" t="s">
        <v>24</v>
      </c>
      <c r="L142" s="6">
        <v>18</v>
      </c>
      <c r="M142" s="7">
        <v>5890</v>
      </c>
      <c r="N142" s="8">
        <v>0.2</v>
      </c>
      <c r="O142" s="9">
        <v>3980</v>
      </c>
    </row>
    <row r="143" spans="1:15" ht="18" x14ac:dyDescent="0.35">
      <c r="A143" s="4" t="s">
        <v>249</v>
      </c>
      <c r="B143" s="5">
        <v>45374</v>
      </c>
      <c r="C143" s="6" t="s">
        <v>16</v>
      </c>
      <c r="D143" s="6" t="s">
        <v>126</v>
      </c>
      <c r="E143" s="6" t="s">
        <v>69</v>
      </c>
      <c r="F143" s="6" t="s">
        <v>19</v>
      </c>
      <c r="G143" s="6" t="s">
        <v>40</v>
      </c>
      <c r="H143" s="6" t="s">
        <v>64</v>
      </c>
      <c r="I143" s="6" t="s">
        <v>65</v>
      </c>
      <c r="J143" s="6" t="s">
        <v>57</v>
      </c>
      <c r="K143" s="6" t="s">
        <v>24</v>
      </c>
      <c r="L143" s="6">
        <v>19</v>
      </c>
      <c r="M143" s="7">
        <v>1930</v>
      </c>
      <c r="N143" s="8">
        <v>0.18</v>
      </c>
      <c r="O143" s="9">
        <v>1120</v>
      </c>
    </row>
    <row r="144" spans="1:15" ht="18" x14ac:dyDescent="0.35">
      <c r="A144" s="4" t="s">
        <v>250</v>
      </c>
      <c r="B144" s="5">
        <v>45375</v>
      </c>
      <c r="C144" s="6" t="s">
        <v>48</v>
      </c>
      <c r="D144" s="6" t="s">
        <v>136</v>
      </c>
      <c r="E144" s="6" t="s">
        <v>28</v>
      </c>
      <c r="F144" s="6" t="s">
        <v>39</v>
      </c>
      <c r="G144" s="6" t="s">
        <v>30</v>
      </c>
      <c r="H144" s="6" t="s">
        <v>31</v>
      </c>
      <c r="I144" s="6" t="s">
        <v>85</v>
      </c>
      <c r="J144" s="6" t="s">
        <v>23</v>
      </c>
      <c r="K144" s="6" t="s">
        <v>78</v>
      </c>
      <c r="L144" s="6">
        <v>8</v>
      </c>
      <c r="M144" s="7">
        <v>43500</v>
      </c>
      <c r="N144" s="8">
        <v>0.2</v>
      </c>
      <c r="O144" s="9">
        <v>29520</v>
      </c>
    </row>
    <row r="145" spans="1:15" ht="18" x14ac:dyDescent="0.35">
      <c r="A145" s="4" t="s">
        <v>251</v>
      </c>
      <c r="B145" s="5">
        <v>45375</v>
      </c>
      <c r="C145" s="6" t="s">
        <v>26</v>
      </c>
      <c r="D145" s="6" t="s">
        <v>53</v>
      </c>
      <c r="E145" s="6" t="s">
        <v>38</v>
      </c>
      <c r="F145" s="6" t="s">
        <v>39</v>
      </c>
      <c r="G145" s="6" t="s">
        <v>20</v>
      </c>
      <c r="H145" s="6" t="s">
        <v>45</v>
      </c>
      <c r="I145" s="6" t="s">
        <v>46</v>
      </c>
      <c r="J145" s="6" t="s">
        <v>57</v>
      </c>
      <c r="K145" s="6" t="s">
        <v>34</v>
      </c>
      <c r="L145" s="6">
        <v>31</v>
      </c>
      <c r="M145" s="7">
        <v>1899</v>
      </c>
      <c r="N145" s="8">
        <v>0.08</v>
      </c>
      <c r="O145" s="9">
        <v>1080</v>
      </c>
    </row>
    <row r="146" spans="1:15" ht="18" x14ac:dyDescent="0.35">
      <c r="A146" s="4" t="s">
        <v>252</v>
      </c>
      <c r="B146" s="5">
        <v>45375</v>
      </c>
      <c r="C146" s="6" t="s">
        <v>16</v>
      </c>
      <c r="D146" s="6" t="s">
        <v>126</v>
      </c>
      <c r="E146" s="6" t="s">
        <v>38</v>
      </c>
      <c r="F146" s="6" t="s">
        <v>29</v>
      </c>
      <c r="G146" s="6" t="s">
        <v>54</v>
      </c>
      <c r="H146" s="6" t="s">
        <v>129</v>
      </c>
      <c r="I146" s="6" t="s">
        <v>145</v>
      </c>
      <c r="J146" s="6" t="s">
        <v>23</v>
      </c>
      <c r="K146" s="6" t="s">
        <v>34</v>
      </c>
      <c r="L146" s="6">
        <v>29</v>
      </c>
      <c r="M146" s="7">
        <v>31490</v>
      </c>
      <c r="N146" s="8">
        <v>0.1</v>
      </c>
      <c r="O146" s="9">
        <v>21300</v>
      </c>
    </row>
    <row r="147" spans="1:15" ht="18" x14ac:dyDescent="0.35">
      <c r="A147" s="4" t="s">
        <v>253</v>
      </c>
      <c r="B147" s="5">
        <v>45375</v>
      </c>
      <c r="C147" s="6" t="s">
        <v>16</v>
      </c>
      <c r="D147" s="6" t="s">
        <v>98</v>
      </c>
      <c r="E147" s="6" t="s">
        <v>101</v>
      </c>
      <c r="F147" s="6" t="s">
        <v>29</v>
      </c>
      <c r="G147" s="6" t="s">
        <v>70</v>
      </c>
      <c r="H147" s="6" t="s">
        <v>71</v>
      </c>
      <c r="I147" s="6" t="s">
        <v>80</v>
      </c>
      <c r="J147" s="6" t="s">
        <v>57</v>
      </c>
      <c r="K147" s="6" t="s">
        <v>34</v>
      </c>
      <c r="L147" s="6">
        <v>9</v>
      </c>
      <c r="M147" s="7">
        <v>1299</v>
      </c>
      <c r="N147" s="8">
        <v>0.1</v>
      </c>
      <c r="O147" s="9">
        <v>720</v>
      </c>
    </row>
    <row r="148" spans="1:15" ht="18" x14ac:dyDescent="0.35">
      <c r="A148" s="4" t="s">
        <v>254</v>
      </c>
      <c r="B148" s="5">
        <v>45375</v>
      </c>
      <c r="C148" s="6" t="s">
        <v>36</v>
      </c>
      <c r="D148" s="6" t="s">
        <v>44</v>
      </c>
      <c r="E148" s="6" t="s">
        <v>75</v>
      </c>
      <c r="F148" s="6" t="s">
        <v>29</v>
      </c>
      <c r="G148" s="6" t="s">
        <v>54</v>
      </c>
      <c r="H148" s="6" t="s">
        <v>55</v>
      </c>
      <c r="I148" s="6" t="s">
        <v>148</v>
      </c>
      <c r="J148" s="6" t="s">
        <v>33</v>
      </c>
      <c r="K148" s="6" t="s">
        <v>24</v>
      </c>
      <c r="L148" s="6">
        <v>31</v>
      </c>
      <c r="M148" s="7">
        <v>4680</v>
      </c>
      <c r="N148" s="8">
        <v>0.1</v>
      </c>
      <c r="O148" s="9">
        <v>3250</v>
      </c>
    </row>
    <row r="149" spans="1:15" ht="18" x14ac:dyDescent="0.35">
      <c r="A149" s="4" t="s">
        <v>255</v>
      </c>
      <c r="B149" s="5">
        <v>45376</v>
      </c>
      <c r="C149" s="6" t="s">
        <v>82</v>
      </c>
      <c r="D149" s="6" t="s">
        <v>87</v>
      </c>
      <c r="E149" s="6" t="s">
        <v>18</v>
      </c>
      <c r="F149" s="6" t="s">
        <v>19</v>
      </c>
      <c r="G149" s="6" t="s">
        <v>20</v>
      </c>
      <c r="H149" s="6" t="s">
        <v>45</v>
      </c>
      <c r="I149" s="6" t="s">
        <v>46</v>
      </c>
      <c r="J149" s="6" t="s">
        <v>57</v>
      </c>
      <c r="K149" s="6" t="s">
        <v>24</v>
      </c>
      <c r="L149" s="6">
        <v>26</v>
      </c>
      <c r="M149" s="7">
        <v>1899</v>
      </c>
      <c r="N149" s="8">
        <v>0.18</v>
      </c>
      <c r="O149" s="9">
        <v>1080</v>
      </c>
    </row>
    <row r="150" spans="1:15" ht="18" x14ac:dyDescent="0.35">
      <c r="A150" s="4" t="s">
        <v>256</v>
      </c>
      <c r="B150" s="5">
        <v>45376</v>
      </c>
      <c r="C150" s="6" t="s">
        <v>16</v>
      </c>
      <c r="D150" s="6" t="s">
        <v>126</v>
      </c>
      <c r="E150" s="6" t="s">
        <v>101</v>
      </c>
      <c r="F150" s="6" t="s">
        <v>29</v>
      </c>
      <c r="G150" s="6" t="s">
        <v>40</v>
      </c>
      <c r="H150" s="6" t="s">
        <v>41</v>
      </c>
      <c r="I150" s="6" t="s">
        <v>156</v>
      </c>
      <c r="J150" s="6" t="s">
        <v>23</v>
      </c>
      <c r="K150" s="6" t="s">
        <v>24</v>
      </c>
      <c r="L150" s="6">
        <v>10</v>
      </c>
      <c r="M150" s="7">
        <v>48500</v>
      </c>
      <c r="N150" s="8">
        <v>0.05</v>
      </c>
      <c r="O150" s="9">
        <v>30200</v>
      </c>
    </row>
    <row r="151" spans="1:15" ht="18" x14ac:dyDescent="0.35">
      <c r="A151" s="4" t="s">
        <v>257</v>
      </c>
      <c r="B151" s="5">
        <v>45377</v>
      </c>
      <c r="C151" s="6" t="s">
        <v>36</v>
      </c>
      <c r="D151" s="6" t="s">
        <v>121</v>
      </c>
      <c r="E151" s="6" t="s">
        <v>69</v>
      </c>
      <c r="F151" s="6" t="s">
        <v>29</v>
      </c>
      <c r="G151" s="6" t="s">
        <v>54</v>
      </c>
      <c r="H151" s="6" t="s">
        <v>90</v>
      </c>
      <c r="I151" s="6" t="s">
        <v>258</v>
      </c>
      <c r="J151" s="6" t="s">
        <v>57</v>
      </c>
      <c r="K151" s="6" t="s">
        <v>34</v>
      </c>
      <c r="L151" s="6">
        <v>10</v>
      </c>
      <c r="M151" s="7">
        <v>29010</v>
      </c>
      <c r="N151" s="8">
        <v>0.05</v>
      </c>
      <c r="O151" s="9">
        <v>19150</v>
      </c>
    </row>
    <row r="152" spans="1:15" ht="18" x14ac:dyDescent="0.35">
      <c r="A152" s="4" t="s">
        <v>259</v>
      </c>
      <c r="B152" s="5">
        <v>45377</v>
      </c>
      <c r="C152" s="6" t="s">
        <v>26</v>
      </c>
      <c r="D152" s="6" t="s">
        <v>53</v>
      </c>
      <c r="E152" s="6" t="s">
        <v>50</v>
      </c>
      <c r="F152" s="6" t="s">
        <v>19</v>
      </c>
      <c r="G152" s="6" t="s">
        <v>20</v>
      </c>
      <c r="H152" s="6" t="s">
        <v>21</v>
      </c>
      <c r="I152" s="6" t="s">
        <v>51</v>
      </c>
      <c r="J152" s="6" t="s">
        <v>23</v>
      </c>
      <c r="K152" s="6" t="s">
        <v>78</v>
      </c>
      <c r="L152" s="6">
        <v>12</v>
      </c>
      <c r="M152" s="7">
        <v>5999</v>
      </c>
      <c r="N152" s="8">
        <v>0.15</v>
      </c>
      <c r="O152" s="9">
        <v>3890</v>
      </c>
    </row>
    <row r="153" spans="1:15" ht="18" x14ac:dyDescent="0.35">
      <c r="A153" s="4" t="s">
        <v>260</v>
      </c>
      <c r="B153" s="5">
        <v>45377</v>
      </c>
      <c r="C153" s="6" t="s">
        <v>82</v>
      </c>
      <c r="D153" s="6" t="s">
        <v>87</v>
      </c>
      <c r="E153" s="6" t="s">
        <v>38</v>
      </c>
      <c r="F153" s="6" t="s">
        <v>39</v>
      </c>
      <c r="G153" s="6" t="s">
        <v>20</v>
      </c>
      <c r="H153" s="6" t="s">
        <v>45</v>
      </c>
      <c r="I153" s="6" t="s">
        <v>196</v>
      </c>
      <c r="J153" s="6" t="s">
        <v>57</v>
      </c>
      <c r="K153" s="6" t="s">
        <v>34</v>
      </c>
      <c r="L153" s="6">
        <v>29</v>
      </c>
      <c r="M153" s="7">
        <v>2499</v>
      </c>
      <c r="N153" s="8">
        <v>0.12</v>
      </c>
      <c r="O153" s="9">
        <v>1510</v>
      </c>
    </row>
    <row r="154" spans="1:15" ht="18" x14ac:dyDescent="0.35">
      <c r="A154" s="4" t="s">
        <v>261</v>
      </c>
      <c r="B154" s="5">
        <v>45377</v>
      </c>
      <c r="C154" s="6" t="s">
        <v>26</v>
      </c>
      <c r="D154" s="6" t="s">
        <v>53</v>
      </c>
      <c r="E154" s="6" t="s">
        <v>60</v>
      </c>
      <c r="F154" s="6" t="s">
        <v>29</v>
      </c>
      <c r="G154" s="6" t="s">
        <v>54</v>
      </c>
      <c r="H154" s="6" t="s">
        <v>129</v>
      </c>
      <c r="I154" s="6" t="s">
        <v>192</v>
      </c>
      <c r="J154" s="6" t="s">
        <v>23</v>
      </c>
      <c r="K154" s="6" t="s">
        <v>24</v>
      </c>
      <c r="L154" s="6">
        <v>6</v>
      </c>
      <c r="M154" s="7">
        <v>29010</v>
      </c>
      <c r="N154" s="8">
        <v>0.08</v>
      </c>
      <c r="O154" s="9">
        <v>19100</v>
      </c>
    </row>
    <row r="155" spans="1:15" ht="18" x14ac:dyDescent="0.35">
      <c r="A155" s="4" t="s">
        <v>262</v>
      </c>
      <c r="B155" s="5">
        <v>45377</v>
      </c>
      <c r="C155" s="6" t="s">
        <v>82</v>
      </c>
      <c r="D155" s="6" t="s">
        <v>83</v>
      </c>
      <c r="E155" s="6" t="s">
        <v>18</v>
      </c>
      <c r="F155" s="6" t="s">
        <v>19</v>
      </c>
      <c r="G155" s="6" t="s">
        <v>30</v>
      </c>
      <c r="H155" s="6" t="s">
        <v>31</v>
      </c>
      <c r="I155" s="6" t="s">
        <v>85</v>
      </c>
      <c r="J155" s="6" t="s">
        <v>33</v>
      </c>
      <c r="K155" s="6" t="s">
        <v>24</v>
      </c>
      <c r="L155" s="6">
        <v>19</v>
      </c>
      <c r="M155" s="7">
        <v>43500</v>
      </c>
      <c r="N155" s="8">
        <v>0.12</v>
      </c>
      <c r="O155" s="9">
        <v>29520</v>
      </c>
    </row>
    <row r="156" spans="1:15" ht="18" x14ac:dyDescent="0.35">
      <c r="A156" s="4" t="s">
        <v>263</v>
      </c>
      <c r="B156" s="5">
        <v>45379</v>
      </c>
      <c r="C156" s="6" t="s">
        <v>82</v>
      </c>
      <c r="D156" s="6" t="s">
        <v>83</v>
      </c>
      <c r="E156" s="6" t="s">
        <v>18</v>
      </c>
      <c r="F156" s="6" t="s">
        <v>39</v>
      </c>
      <c r="G156" s="6" t="s">
        <v>70</v>
      </c>
      <c r="H156" s="6" t="s">
        <v>71</v>
      </c>
      <c r="I156" s="6" t="s">
        <v>88</v>
      </c>
      <c r="J156" s="6" t="s">
        <v>57</v>
      </c>
      <c r="K156" s="6" t="s">
        <v>78</v>
      </c>
      <c r="L156" s="6">
        <v>20</v>
      </c>
      <c r="M156" s="7">
        <v>999</v>
      </c>
      <c r="N156" s="8">
        <v>0.2</v>
      </c>
      <c r="O156" s="9">
        <v>540</v>
      </c>
    </row>
    <row r="157" spans="1:15" ht="18" x14ac:dyDescent="0.35">
      <c r="A157" s="4" t="s">
        <v>264</v>
      </c>
      <c r="B157" s="5">
        <v>45379</v>
      </c>
      <c r="C157" s="6" t="s">
        <v>48</v>
      </c>
      <c r="D157" s="6" t="s">
        <v>136</v>
      </c>
      <c r="E157" s="6" t="s">
        <v>60</v>
      </c>
      <c r="F157" s="6" t="s">
        <v>29</v>
      </c>
      <c r="G157" s="6" t="s">
        <v>54</v>
      </c>
      <c r="H157" s="6" t="s">
        <v>129</v>
      </c>
      <c r="I157" s="6" t="s">
        <v>192</v>
      </c>
      <c r="J157" s="6" t="s">
        <v>57</v>
      </c>
      <c r="K157" s="6" t="s">
        <v>24</v>
      </c>
      <c r="L157" s="6">
        <v>30</v>
      </c>
      <c r="M157" s="7">
        <v>29010</v>
      </c>
      <c r="N157" s="8">
        <v>0.15</v>
      </c>
      <c r="O157" s="9">
        <v>19100</v>
      </c>
    </row>
    <row r="158" spans="1:15" ht="18" x14ac:dyDescent="0.35">
      <c r="A158" s="4" t="s">
        <v>265</v>
      </c>
      <c r="B158" s="5">
        <v>45381</v>
      </c>
      <c r="C158" s="6" t="s">
        <v>16</v>
      </c>
      <c r="D158" s="6" t="s">
        <v>98</v>
      </c>
      <c r="E158" s="6" t="s">
        <v>84</v>
      </c>
      <c r="F158" s="6" t="s">
        <v>29</v>
      </c>
      <c r="G158" s="6" t="s">
        <v>30</v>
      </c>
      <c r="H158" s="6" t="s">
        <v>61</v>
      </c>
      <c r="I158" s="6" t="s">
        <v>62</v>
      </c>
      <c r="J158" s="6" t="s">
        <v>33</v>
      </c>
      <c r="K158" s="6" t="s">
        <v>66</v>
      </c>
      <c r="L158" s="6">
        <v>16</v>
      </c>
      <c r="M158" s="7">
        <v>12490</v>
      </c>
      <c r="N158" s="8">
        <v>0.15</v>
      </c>
      <c r="O158" s="9">
        <v>7900</v>
      </c>
    </row>
    <row r="159" spans="1:15" ht="18" x14ac:dyDescent="0.35">
      <c r="A159" s="4" t="s">
        <v>266</v>
      </c>
      <c r="B159" s="5">
        <v>45381</v>
      </c>
      <c r="C159" s="6" t="s">
        <v>36</v>
      </c>
      <c r="D159" s="6" t="s">
        <v>37</v>
      </c>
      <c r="E159" s="6" t="s">
        <v>84</v>
      </c>
      <c r="F159" s="6" t="s">
        <v>19</v>
      </c>
      <c r="G159" s="6" t="s">
        <v>54</v>
      </c>
      <c r="H159" s="6" t="s">
        <v>90</v>
      </c>
      <c r="I159" s="6" t="s">
        <v>258</v>
      </c>
      <c r="J159" s="6" t="s">
        <v>57</v>
      </c>
      <c r="K159" s="6" t="s">
        <v>34</v>
      </c>
      <c r="L159" s="6">
        <v>4</v>
      </c>
      <c r="M159" s="7">
        <v>29010</v>
      </c>
      <c r="N159" s="8">
        <v>0.05</v>
      </c>
      <c r="O159" s="9">
        <v>19150</v>
      </c>
    </row>
    <row r="160" spans="1:15" ht="18" x14ac:dyDescent="0.35">
      <c r="A160" s="4" t="s">
        <v>267</v>
      </c>
      <c r="B160" s="5">
        <v>45381</v>
      </c>
      <c r="C160" s="6" t="s">
        <v>36</v>
      </c>
      <c r="D160" s="6" t="s">
        <v>59</v>
      </c>
      <c r="E160" s="6" t="s">
        <v>75</v>
      </c>
      <c r="F160" s="6" t="s">
        <v>29</v>
      </c>
      <c r="G160" s="6" t="s">
        <v>30</v>
      </c>
      <c r="H160" s="6" t="s">
        <v>31</v>
      </c>
      <c r="I160" s="6" t="s">
        <v>32</v>
      </c>
      <c r="J160" s="6" t="s">
        <v>23</v>
      </c>
      <c r="K160" s="6" t="s">
        <v>78</v>
      </c>
      <c r="L160" s="6">
        <v>40</v>
      </c>
      <c r="M160" s="7">
        <v>38990</v>
      </c>
      <c r="N160" s="8">
        <v>0.05</v>
      </c>
      <c r="O160" s="9">
        <v>25400</v>
      </c>
    </row>
    <row r="161" spans="1:15" ht="18" x14ac:dyDescent="0.35">
      <c r="A161" s="4" t="s">
        <v>268</v>
      </c>
      <c r="B161" s="5">
        <v>45381</v>
      </c>
      <c r="C161" s="6" t="s">
        <v>16</v>
      </c>
      <c r="D161" s="6" t="s">
        <v>126</v>
      </c>
      <c r="E161" s="6" t="s">
        <v>84</v>
      </c>
      <c r="F161" s="6" t="s">
        <v>19</v>
      </c>
      <c r="G161" s="6" t="s">
        <v>54</v>
      </c>
      <c r="H161" s="6" t="s">
        <v>90</v>
      </c>
      <c r="I161" s="6" t="s">
        <v>258</v>
      </c>
      <c r="J161" s="6" t="s">
        <v>57</v>
      </c>
      <c r="K161" s="6" t="s">
        <v>24</v>
      </c>
      <c r="L161" s="6">
        <v>34</v>
      </c>
      <c r="M161" s="7">
        <v>29010</v>
      </c>
      <c r="N161" s="8">
        <v>0.1</v>
      </c>
      <c r="O161" s="9">
        <v>19150</v>
      </c>
    </row>
    <row r="162" spans="1:15" ht="18" x14ac:dyDescent="0.35">
      <c r="A162" s="4" t="s">
        <v>269</v>
      </c>
      <c r="B162" s="5">
        <v>45382</v>
      </c>
      <c r="C162" s="6" t="s">
        <v>26</v>
      </c>
      <c r="D162" s="6" t="s">
        <v>74</v>
      </c>
      <c r="E162" s="6" t="s">
        <v>69</v>
      </c>
      <c r="F162" s="6" t="s">
        <v>29</v>
      </c>
      <c r="G162" s="6" t="s">
        <v>54</v>
      </c>
      <c r="H162" s="6" t="s">
        <v>129</v>
      </c>
      <c r="I162" s="6" t="s">
        <v>130</v>
      </c>
      <c r="J162" s="6" t="s">
        <v>33</v>
      </c>
      <c r="K162" s="6" t="s">
        <v>24</v>
      </c>
      <c r="L162" s="6">
        <v>28</v>
      </c>
      <c r="M162" s="7">
        <v>27890</v>
      </c>
      <c r="N162" s="8">
        <v>0.08</v>
      </c>
      <c r="O162" s="9">
        <v>18800</v>
      </c>
    </row>
    <row r="163" spans="1:15" ht="18" x14ac:dyDescent="0.35">
      <c r="A163" s="4" t="s">
        <v>270</v>
      </c>
      <c r="B163" s="5">
        <v>45382</v>
      </c>
      <c r="C163" s="6" t="s">
        <v>36</v>
      </c>
      <c r="D163" s="6" t="s">
        <v>121</v>
      </c>
      <c r="E163" s="6" t="s">
        <v>75</v>
      </c>
      <c r="F163" s="6" t="s">
        <v>39</v>
      </c>
      <c r="G163" s="6" t="s">
        <v>20</v>
      </c>
      <c r="H163" s="6" t="s">
        <v>21</v>
      </c>
      <c r="I163" s="6" t="s">
        <v>51</v>
      </c>
      <c r="J163" s="6" t="s">
        <v>23</v>
      </c>
      <c r="K163" s="6" t="s">
        <v>24</v>
      </c>
      <c r="L163" s="6">
        <v>9</v>
      </c>
      <c r="M163" s="7">
        <v>5999</v>
      </c>
      <c r="N163" s="8">
        <v>0.1</v>
      </c>
      <c r="O163" s="9">
        <v>3890</v>
      </c>
    </row>
    <row r="164" spans="1:15" ht="18" x14ac:dyDescent="0.35">
      <c r="A164" s="4" t="s">
        <v>271</v>
      </c>
      <c r="B164" s="5">
        <v>45382</v>
      </c>
      <c r="C164" s="6" t="s">
        <v>82</v>
      </c>
      <c r="D164" s="6" t="s">
        <v>83</v>
      </c>
      <c r="E164" s="6" t="s">
        <v>18</v>
      </c>
      <c r="F164" s="6" t="s">
        <v>39</v>
      </c>
      <c r="G164" s="6" t="s">
        <v>70</v>
      </c>
      <c r="H164" s="6" t="s">
        <v>71</v>
      </c>
      <c r="I164" s="6" t="s">
        <v>72</v>
      </c>
      <c r="J164" s="6" t="s">
        <v>57</v>
      </c>
      <c r="K164" s="6" t="s">
        <v>66</v>
      </c>
      <c r="L164" s="6">
        <v>19</v>
      </c>
      <c r="M164" s="7">
        <v>3499</v>
      </c>
      <c r="N164" s="8">
        <v>0.08</v>
      </c>
      <c r="O164" s="9">
        <v>2190</v>
      </c>
    </row>
    <row r="165" spans="1:15" ht="18" x14ac:dyDescent="0.35">
      <c r="A165" s="4" t="s">
        <v>272</v>
      </c>
      <c r="B165" s="5">
        <v>45383</v>
      </c>
      <c r="C165" s="6" t="s">
        <v>36</v>
      </c>
      <c r="D165" s="6" t="s">
        <v>59</v>
      </c>
      <c r="E165" s="6" t="s">
        <v>105</v>
      </c>
      <c r="F165" s="6" t="s">
        <v>29</v>
      </c>
      <c r="G165" s="6" t="s">
        <v>30</v>
      </c>
      <c r="H165" s="6" t="s">
        <v>31</v>
      </c>
      <c r="I165" s="6" t="s">
        <v>85</v>
      </c>
      <c r="J165" s="6" t="s">
        <v>57</v>
      </c>
      <c r="K165" s="6" t="s">
        <v>24</v>
      </c>
      <c r="L165" s="6">
        <v>17</v>
      </c>
      <c r="M165" s="7">
        <v>43500</v>
      </c>
      <c r="N165" s="8">
        <v>0.15</v>
      </c>
      <c r="O165" s="9">
        <v>29520</v>
      </c>
    </row>
    <row r="166" spans="1:15" ht="18" x14ac:dyDescent="0.35">
      <c r="A166" s="4" t="s">
        <v>273</v>
      </c>
      <c r="B166" s="5">
        <v>45383</v>
      </c>
      <c r="C166" s="6" t="s">
        <v>48</v>
      </c>
      <c r="D166" s="6" t="s">
        <v>68</v>
      </c>
      <c r="E166" s="6" t="s">
        <v>38</v>
      </c>
      <c r="F166" s="6" t="s">
        <v>19</v>
      </c>
      <c r="G166" s="6" t="s">
        <v>70</v>
      </c>
      <c r="H166" s="6" t="s">
        <v>71</v>
      </c>
      <c r="I166" s="6" t="s">
        <v>80</v>
      </c>
      <c r="J166" s="6" t="s">
        <v>33</v>
      </c>
      <c r="K166" s="6" t="s">
        <v>24</v>
      </c>
      <c r="L166" s="6">
        <v>27</v>
      </c>
      <c r="M166" s="7">
        <v>1299</v>
      </c>
      <c r="N166" s="8">
        <v>0.05</v>
      </c>
      <c r="O166" s="9">
        <v>720</v>
      </c>
    </row>
    <row r="167" spans="1:15" ht="18" x14ac:dyDescent="0.35">
      <c r="A167" s="4" t="s">
        <v>274</v>
      </c>
      <c r="B167" s="5">
        <v>45383</v>
      </c>
      <c r="C167" s="6" t="s">
        <v>82</v>
      </c>
      <c r="D167" s="6" t="s">
        <v>183</v>
      </c>
      <c r="E167" s="6" t="s">
        <v>28</v>
      </c>
      <c r="F167" s="6" t="s">
        <v>39</v>
      </c>
      <c r="G167" s="6" t="s">
        <v>40</v>
      </c>
      <c r="H167" s="6" t="s">
        <v>41</v>
      </c>
      <c r="I167" s="6" t="s">
        <v>42</v>
      </c>
      <c r="J167" s="6" t="s">
        <v>33</v>
      </c>
      <c r="K167" s="6" t="s">
        <v>24</v>
      </c>
      <c r="L167" s="6">
        <v>28</v>
      </c>
      <c r="M167" s="7">
        <v>55230</v>
      </c>
      <c r="N167" s="8">
        <v>0.12</v>
      </c>
      <c r="O167" s="9">
        <v>33800</v>
      </c>
    </row>
    <row r="168" spans="1:15" ht="18" x14ac:dyDescent="0.35">
      <c r="A168" s="4" t="s">
        <v>275</v>
      </c>
      <c r="B168" s="5">
        <v>45383</v>
      </c>
      <c r="C168" s="6" t="s">
        <v>16</v>
      </c>
      <c r="D168" s="6" t="s">
        <v>98</v>
      </c>
      <c r="E168" s="6" t="s">
        <v>101</v>
      </c>
      <c r="F168" s="6" t="s">
        <v>19</v>
      </c>
      <c r="G168" s="6" t="s">
        <v>54</v>
      </c>
      <c r="H168" s="6" t="s">
        <v>90</v>
      </c>
      <c r="I168" s="6" t="s">
        <v>134</v>
      </c>
      <c r="J168" s="6" t="s">
        <v>57</v>
      </c>
      <c r="K168" s="6" t="s">
        <v>24</v>
      </c>
      <c r="L168" s="6">
        <v>40</v>
      </c>
      <c r="M168" s="7">
        <v>32800</v>
      </c>
      <c r="N168" s="8">
        <v>0.12</v>
      </c>
      <c r="O168" s="9">
        <v>23100</v>
      </c>
    </row>
    <row r="169" spans="1:15" ht="18" x14ac:dyDescent="0.35">
      <c r="A169" s="4" t="s">
        <v>276</v>
      </c>
      <c r="B169" s="5">
        <v>45384</v>
      </c>
      <c r="C169" s="6" t="s">
        <v>36</v>
      </c>
      <c r="D169" s="6" t="s">
        <v>121</v>
      </c>
      <c r="E169" s="6" t="s">
        <v>60</v>
      </c>
      <c r="F169" s="6" t="s">
        <v>39</v>
      </c>
      <c r="G169" s="6" t="s">
        <v>70</v>
      </c>
      <c r="H169" s="6" t="s">
        <v>71</v>
      </c>
      <c r="I169" s="6" t="s">
        <v>88</v>
      </c>
      <c r="J169" s="6" t="s">
        <v>33</v>
      </c>
      <c r="K169" s="6" t="s">
        <v>24</v>
      </c>
      <c r="L169" s="6">
        <v>11</v>
      </c>
      <c r="M169" s="7">
        <v>999</v>
      </c>
      <c r="N169" s="8">
        <v>0.1</v>
      </c>
      <c r="O169" s="9">
        <v>540</v>
      </c>
    </row>
    <row r="170" spans="1:15" ht="18" x14ac:dyDescent="0.35">
      <c r="A170" s="4" t="s">
        <v>277</v>
      </c>
      <c r="B170" s="5">
        <v>45385</v>
      </c>
      <c r="C170" s="6" t="s">
        <v>36</v>
      </c>
      <c r="D170" s="6" t="s">
        <v>121</v>
      </c>
      <c r="E170" s="6" t="s">
        <v>101</v>
      </c>
      <c r="F170" s="6" t="s">
        <v>29</v>
      </c>
      <c r="G170" s="6" t="s">
        <v>20</v>
      </c>
      <c r="H170" s="6" t="s">
        <v>21</v>
      </c>
      <c r="I170" s="6" t="s">
        <v>22</v>
      </c>
      <c r="J170" s="6" t="s">
        <v>57</v>
      </c>
      <c r="K170" s="6" t="s">
        <v>66</v>
      </c>
      <c r="L170" s="6">
        <v>36</v>
      </c>
      <c r="M170" s="7">
        <v>4499</v>
      </c>
      <c r="N170" s="8">
        <v>0.2</v>
      </c>
      <c r="O170" s="9">
        <v>2910</v>
      </c>
    </row>
    <row r="171" spans="1:15" ht="18" x14ac:dyDescent="0.35">
      <c r="A171" s="4" t="s">
        <v>278</v>
      </c>
      <c r="B171" s="5">
        <v>45385</v>
      </c>
      <c r="C171" s="6" t="s">
        <v>16</v>
      </c>
      <c r="D171" s="6" t="s">
        <v>111</v>
      </c>
      <c r="E171" s="6" t="s">
        <v>50</v>
      </c>
      <c r="F171" s="6" t="s">
        <v>29</v>
      </c>
      <c r="G171" s="6" t="s">
        <v>70</v>
      </c>
      <c r="H171" s="6" t="s">
        <v>71</v>
      </c>
      <c r="I171" s="6" t="s">
        <v>80</v>
      </c>
      <c r="J171" s="6" t="s">
        <v>23</v>
      </c>
      <c r="K171" s="6" t="s">
        <v>66</v>
      </c>
      <c r="L171" s="6">
        <v>30</v>
      </c>
      <c r="M171" s="7">
        <v>1299</v>
      </c>
      <c r="N171" s="8">
        <v>0.08</v>
      </c>
      <c r="O171" s="9">
        <v>720</v>
      </c>
    </row>
    <row r="172" spans="1:15" ht="18" x14ac:dyDescent="0.35">
      <c r="A172" s="4" t="s">
        <v>279</v>
      </c>
      <c r="B172" s="5">
        <v>45386</v>
      </c>
      <c r="C172" s="6" t="s">
        <v>16</v>
      </c>
      <c r="D172" s="6" t="s">
        <v>111</v>
      </c>
      <c r="E172" s="6" t="s">
        <v>60</v>
      </c>
      <c r="F172" s="6" t="s">
        <v>39</v>
      </c>
      <c r="G172" s="6" t="s">
        <v>30</v>
      </c>
      <c r="H172" s="6" t="s">
        <v>61</v>
      </c>
      <c r="I172" s="6" t="s">
        <v>186</v>
      </c>
      <c r="J172" s="6" t="s">
        <v>57</v>
      </c>
      <c r="K172" s="6" t="s">
        <v>78</v>
      </c>
      <c r="L172" s="6">
        <v>22</v>
      </c>
      <c r="M172" s="7">
        <v>6999</v>
      </c>
      <c r="N172" s="8">
        <v>0.1</v>
      </c>
      <c r="O172" s="9">
        <v>4320</v>
      </c>
    </row>
    <row r="173" spans="1:15" ht="18" x14ac:dyDescent="0.35">
      <c r="A173" s="4" t="s">
        <v>280</v>
      </c>
      <c r="B173" s="5">
        <v>45387</v>
      </c>
      <c r="C173" s="6" t="s">
        <v>36</v>
      </c>
      <c r="D173" s="6" t="s">
        <v>121</v>
      </c>
      <c r="E173" s="6" t="s">
        <v>28</v>
      </c>
      <c r="F173" s="6" t="s">
        <v>29</v>
      </c>
      <c r="G173" s="6" t="s">
        <v>54</v>
      </c>
      <c r="H173" s="6" t="s">
        <v>55</v>
      </c>
      <c r="I173" s="6" t="s">
        <v>108</v>
      </c>
      <c r="J173" s="6" t="s">
        <v>23</v>
      </c>
      <c r="K173" s="6" t="s">
        <v>24</v>
      </c>
      <c r="L173" s="6">
        <v>14</v>
      </c>
      <c r="M173" s="7">
        <v>5890</v>
      </c>
      <c r="N173" s="8">
        <v>0.08</v>
      </c>
      <c r="O173" s="9">
        <v>3980</v>
      </c>
    </row>
    <row r="174" spans="1:15" ht="18" x14ac:dyDescent="0.35">
      <c r="A174" s="4" t="s">
        <v>281</v>
      </c>
      <c r="B174" s="5">
        <v>45388</v>
      </c>
      <c r="C174" s="6" t="s">
        <v>26</v>
      </c>
      <c r="D174" s="6" t="s">
        <v>74</v>
      </c>
      <c r="E174" s="6" t="s">
        <v>101</v>
      </c>
      <c r="F174" s="6" t="s">
        <v>29</v>
      </c>
      <c r="G174" s="6" t="s">
        <v>20</v>
      </c>
      <c r="H174" s="6" t="s">
        <v>45</v>
      </c>
      <c r="I174" s="6" t="s">
        <v>196</v>
      </c>
      <c r="J174" s="6" t="s">
        <v>33</v>
      </c>
      <c r="K174" s="6" t="s">
        <v>24</v>
      </c>
      <c r="L174" s="6">
        <v>36</v>
      </c>
      <c r="M174" s="7">
        <v>2499</v>
      </c>
      <c r="N174" s="8">
        <v>0.1</v>
      </c>
      <c r="O174" s="9">
        <v>1510</v>
      </c>
    </row>
    <row r="175" spans="1:15" ht="18" x14ac:dyDescent="0.35">
      <c r="A175" s="4" t="s">
        <v>282</v>
      </c>
      <c r="B175" s="5">
        <v>45389</v>
      </c>
      <c r="C175" s="6" t="s">
        <v>48</v>
      </c>
      <c r="D175" s="6" t="s">
        <v>68</v>
      </c>
      <c r="E175" s="6" t="s">
        <v>75</v>
      </c>
      <c r="F175" s="6" t="s">
        <v>29</v>
      </c>
      <c r="G175" s="6" t="s">
        <v>40</v>
      </c>
      <c r="H175" s="6" t="s">
        <v>76</v>
      </c>
      <c r="I175" s="6" t="s">
        <v>77</v>
      </c>
      <c r="J175" s="6" t="s">
        <v>33</v>
      </c>
      <c r="K175" s="6" t="s">
        <v>34</v>
      </c>
      <c r="L175" s="6">
        <v>33</v>
      </c>
      <c r="M175" s="7">
        <v>52990</v>
      </c>
      <c r="N175" s="8">
        <v>0.08</v>
      </c>
      <c r="O175" s="9">
        <v>39500</v>
      </c>
    </row>
    <row r="176" spans="1:15" ht="18" x14ac:dyDescent="0.35">
      <c r="A176" s="4" t="s">
        <v>283</v>
      </c>
      <c r="B176" s="5">
        <v>45390</v>
      </c>
      <c r="C176" s="6" t="s">
        <v>36</v>
      </c>
      <c r="D176" s="6" t="s">
        <v>59</v>
      </c>
      <c r="E176" s="6" t="s">
        <v>75</v>
      </c>
      <c r="F176" s="6" t="s">
        <v>39</v>
      </c>
      <c r="G176" s="6" t="s">
        <v>20</v>
      </c>
      <c r="H176" s="6" t="s">
        <v>21</v>
      </c>
      <c r="I176" s="6" t="s">
        <v>115</v>
      </c>
      <c r="J176" s="6" t="s">
        <v>33</v>
      </c>
      <c r="K176" s="6" t="s">
        <v>78</v>
      </c>
      <c r="L176" s="6">
        <v>10</v>
      </c>
      <c r="M176" s="7">
        <v>6499</v>
      </c>
      <c r="N176" s="8">
        <v>0.08</v>
      </c>
      <c r="O176" s="9">
        <v>4210</v>
      </c>
    </row>
    <row r="177" spans="1:15" ht="18" x14ac:dyDescent="0.35">
      <c r="A177" s="4" t="s">
        <v>284</v>
      </c>
      <c r="B177" s="5">
        <v>45390</v>
      </c>
      <c r="C177" s="6" t="s">
        <v>48</v>
      </c>
      <c r="D177" s="6" t="s">
        <v>93</v>
      </c>
      <c r="E177" s="6" t="s">
        <v>84</v>
      </c>
      <c r="F177" s="6" t="s">
        <v>39</v>
      </c>
      <c r="G177" s="6" t="s">
        <v>40</v>
      </c>
      <c r="H177" s="6" t="s">
        <v>64</v>
      </c>
      <c r="I177" s="6" t="s">
        <v>159</v>
      </c>
      <c r="J177" s="6" t="s">
        <v>57</v>
      </c>
      <c r="K177" s="6" t="s">
        <v>24</v>
      </c>
      <c r="L177" s="6">
        <v>19</v>
      </c>
      <c r="M177" s="7">
        <v>3299</v>
      </c>
      <c r="N177" s="8">
        <v>0.1</v>
      </c>
      <c r="O177" s="9">
        <v>2050</v>
      </c>
    </row>
    <row r="178" spans="1:15" ht="18" x14ac:dyDescent="0.35">
      <c r="A178" s="4" t="s">
        <v>285</v>
      </c>
      <c r="B178" s="5">
        <v>45390</v>
      </c>
      <c r="C178" s="6" t="s">
        <v>26</v>
      </c>
      <c r="D178" s="6" t="s">
        <v>27</v>
      </c>
      <c r="E178" s="6" t="s">
        <v>105</v>
      </c>
      <c r="F178" s="6" t="s">
        <v>19</v>
      </c>
      <c r="G178" s="6" t="s">
        <v>40</v>
      </c>
      <c r="H178" s="6" t="s">
        <v>64</v>
      </c>
      <c r="I178" s="6" t="s">
        <v>159</v>
      </c>
      <c r="J178" s="6" t="s">
        <v>23</v>
      </c>
      <c r="K178" s="6" t="s">
        <v>24</v>
      </c>
      <c r="L178" s="6">
        <v>9</v>
      </c>
      <c r="M178" s="7">
        <v>3299</v>
      </c>
      <c r="N178" s="8">
        <v>0.05</v>
      </c>
      <c r="O178" s="9">
        <v>2050</v>
      </c>
    </row>
    <row r="179" spans="1:15" ht="18" x14ac:dyDescent="0.35">
      <c r="A179" s="4" t="s">
        <v>286</v>
      </c>
      <c r="B179" s="5">
        <v>45391</v>
      </c>
      <c r="C179" s="6" t="s">
        <v>16</v>
      </c>
      <c r="D179" s="6" t="s">
        <v>126</v>
      </c>
      <c r="E179" s="6" t="s">
        <v>84</v>
      </c>
      <c r="F179" s="6" t="s">
        <v>19</v>
      </c>
      <c r="G179" s="6" t="s">
        <v>40</v>
      </c>
      <c r="H179" s="6" t="s">
        <v>64</v>
      </c>
      <c r="I179" s="6" t="s">
        <v>153</v>
      </c>
      <c r="J179" s="6" t="s">
        <v>23</v>
      </c>
      <c r="K179" s="6" t="s">
        <v>78</v>
      </c>
      <c r="L179" s="6">
        <v>5</v>
      </c>
      <c r="M179" s="7">
        <v>4490</v>
      </c>
      <c r="N179" s="8">
        <v>0.12</v>
      </c>
      <c r="O179" s="9">
        <v>2950</v>
      </c>
    </row>
    <row r="180" spans="1:15" ht="18" x14ac:dyDescent="0.35">
      <c r="A180" s="4" t="s">
        <v>287</v>
      </c>
      <c r="B180" s="5">
        <v>45391</v>
      </c>
      <c r="C180" s="6" t="s">
        <v>16</v>
      </c>
      <c r="D180" s="6" t="s">
        <v>98</v>
      </c>
      <c r="E180" s="6" t="s">
        <v>60</v>
      </c>
      <c r="F180" s="6" t="s">
        <v>39</v>
      </c>
      <c r="G180" s="6" t="s">
        <v>20</v>
      </c>
      <c r="H180" s="6" t="s">
        <v>45</v>
      </c>
      <c r="I180" s="6" t="s">
        <v>46</v>
      </c>
      <c r="J180" s="6" t="s">
        <v>33</v>
      </c>
      <c r="K180" s="6" t="s">
        <v>66</v>
      </c>
      <c r="L180" s="6">
        <v>34</v>
      </c>
      <c r="M180" s="7">
        <v>1899</v>
      </c>
      <c r="N180" s="8">
        <v>0.1</v>
      </c>
      <c r="O180" s="9">
        <v>1080</v>
      </c>
    </row>
    <row r="181" spans="1:15" ht="18" x14ac:dyDescent="0.35">
      <c r="A181" s="4" t="s">
        <v>288</v>
      </c>
      <c r="B181" s="5">
        <v>45391</v>
      </c>
      <c r="C181" s="6" t="s">
        <v>36</v>
      </c>
      <c r="D181" s="6" t="s">
        <v>59</v>
      </c>
      <c r="E181" s="6" t="s">
        <v>38</v>
      </c>
      <c r="F181" s="6" t="s">
        <v>39</v>
      </c>
      <c r="G181" s="6" t="s">
        <v>54</v>
      </c>
      <c r="H181" s="6" t="s">
        <v>90</v>
      </c>
      <c r="I181" s="6" t="s">
        <v>91</v>
      </c>
      <c r="J181" s="6" t="s">
        <v>23</v>
      </c>
      <c r="K181" s="6" t="s">
        <v>24</v>
      </c>
      <c r="L181" s="6">
        <v>18</v>
      </c>
      <c r="M181" s="7">
        <v>31990</v>
      </c>
      <c r="N181" s="8">
        <v>0.05</v>
      </c>
      <c r="O181" s="9">
        <v>21800</v>
      </c>
    </row>
    <row r="182" spans="1:15" ht="18" x14ac:dyDescent="0.35">
      <c r="A182" s="4" t="s">
        <v>289</v>
      </c>
      <c r="B182" s="5">
        <v>45391</v>
      </c>
      <c r="C182" s="6" t="s">
        <v>48</v>
      </c>
      <c r="D182" s="6" t="s">
        <v>68</v>
      </c>
      <c r="E182" s="6" t="s">
        <v>105</v>
      </c>
      <c r="F182" s="6" t="s">
        <v>19</v>
      </c>
      <c r="G182" s="6" t="s">
        <v>30</v>
      </c>
      <c r="H182" s="6" t="s">
        <v>61</v>
      </c>
      <c r="I182" s="6" t="s">
        <v>186</v>
      </c>
      <c r="J182" s="6" t="s">
        <v>57</v>
      </c>
      <c r="K182" s="6" t="s">
        <v>78</v>
      </c>
      <c r="L182" s="6">
        <v>5</v>
      </c>
      <c r="M182" s="7">
        <v>6999</v>
      </c>
      <c r="N182" s="8">
        <v>0.15</v>
      </c>
      <c r="O182" s="9">
        <v>4320</v>
      </c>
    </row>
    <row r="183" spans="1:15" ht="18" x14ac:dyDescent="0.35">
      <c r="A183" s="4" t="s">
        <v>290</v>
      </c>
      <c r="B183" s="5">
        <v>45392</v>
      </c>
      <c r="C183" s="6" t="s">
        <v>82</v>
      </c>
      <c r="D183" s="6" t="s">
        <v>100</v>
      </c>
      <c r="E183" s="6" t="s">
        <v>101</v>
      </c>
      <c r="F183" s="6" t="s">
        <v>39</v>
      </c>
      <c r="G183" s="6" t="s">
        <v>40</v>
      </c>
      <c r="H183" s="6" t="s">
        <v>64</v>
      </c>
      <c r="I183" s="6" t="s">
        <v>65</v>
      </c>
      <c r="J183" s="6" t="s">
        <v>23</v>
      </c>
      <c r="K183" s="6" t="s">
        <v>24</v>
      </c>
      <c r="L183" s="6">
        <v>24</v>
      </c>
      <c r="M183" s="7">
        <v>1930</v>
      </c>
      <c r="N183" s="8">
        <v>0.1</v>
      </c>
      <c r="O183" s="9">
        <v>1120</v>
      </c>
    </row>
    <row r="184" spans="1:15" ht="18" x14ac:dyDescent="0.35">
      <c r="A184" s="4" t="s">
        <v>291</v>
      </c>
      <c r="B184" s="5">
        <v>45393</v>
      </c>
      <c r="C184" s="6" t="s">
        <v>82</v>
      </c>
      <c r="D184" s="6" t="s">
        <v>183</v>
      </c>
      <c r="E184" s="6" t="s">
        <v>101</v>
      </c>
      <c r="F184" s="6" t="s">
        <v>39</v>
      </c>
      <c r="G184" s="6" t="s">
        <v>70</v>
      </c>
      <c r="H184" s="6" t="s">
        <v>71</v>
      </c>
      <c r="I184" s="6" t="s">
        <v>80</v>
      </c>
      <c r="J184" s="6" t="s">
        <v>33</v>
      </c>
      <c r="K184" s="6" t="s">
        <v>66</v>
      </c>
      <c r="L184" s="6">
        <v>20</v>
      </c>
      <c r="M184" s="7">
        <v>1299</v>
      </c>
      <c r="N184" s="8">
        <v>0.08</v>
      </c>
      <c r="O184" s="9">
        <v>720</v>
      </c>
    </row>
    <row r="185" spans="1:15" ht="18" x14ac:dyDescent="0.35">
      <c r="A185" s="4" t="s">
        <v>292</v>
      </c>
      <c r="B185" s="5">
        <v>45394</v>
      </c>
      <c r="C185" s="6" t="s">
        <v>16</v>
      </c>
      <c r="D185" s="6" t="s">
        <v>126</v>
      </c>
      <c r="E185" s="6" t="s">
        <v>18</v>
      </c>
      <c r="F185" s="6" t="s">
        <v>19</v>
      </c>
      <c r="G185" s="6" t="s">
        <v>54</v>
      </c>
      <c r="H185" s="6" t="s">
        <v>129</v>
      </c>
      <c r="I185" s="6" t="s">
        <v>192</v>
      </c>
      <c r="J185" s="6" t="s">
        <v>57</v>
      </c>
      <c r="K185" s="6" t="s">
        <v>24</v>
      </c>
      <c r="L185" s="6">
        <v>31</v>
      </c>
      <c r="M185" s="7">
        <v>29010</v>
      </c>
      <c r="N185" s="8">
        <v>0.08</v>
      </c>
      <c r="O185" s="9">
        <v>19100</v>
      </c>
    </row>
    <row r="186" spans="1:15" ht="18" x14ac:dyDescent="0.35">
      <c r="A186" s="4" t="s">
        <v>293</v>
      </c>
      <c r="B186" s="5">
        <v>45394</v>
      </c>
      <c r="C186" s="6" t="s">
        <v>82</v>
      </c>
      <c r="D186" s="6" t="s">
        <v>183</v>
      </c>
      <c r="E186" s="6" t="s">
        <v>105</v>
      </c>
      <c r="F186" s="6" t="s">
        <v>29</v>
      </c>
      <c r="G186" s="6" t="s">
        <v>20</v>
      </c>
      <c r="H186" s="6" t="s">
        <v>21</v>
      </c>
      <c r="I186" s="6" t="s">
        <v>51</v>
      </c>
      <c r="J186" s="6" t="s">
        <v>23</v>
      </c>
      <c r="K186" s="6" t="s">
        <v>66</v>
      </c>
      <c r="L186" s="6">
        <v>39</v>
      </c>
      <c r="M186" s="7">
        <v>5999</v>
      </c>
      <c r="N186" s="8">
        <v>0.12</v>
      </c>
      <c r="O186" s="9">
        <v>3890</v>
      </c>
    </row>
    <row r="187" spans="1:15" ht="18" x14ac:dyDescent="0.35">
      <c r="A187" s="4" t="s">
        <v>294</v>
      </c>
      <c r="B187" s="5">
        <v>45394</v>
      </c>
      <c r="C187" s="6" t="s">
        <v>82</v>
      </c>
      <c r="D187" s="6" t="s">
        <v>87</v>
      </c>
      <c r="E187" s="6" t="s">
        <v>105</v>
      </c>
      <c r="F187" s="6" t="s">
        <v>19</v>
      </c>
      <c r="G187" s="6" t="s">
        <v>54</v>
      </c>
      <c r="H187" s="6" t="s">
        <v>129</v>
      </c>
      <c r="I187" s="6" t="s">
        <v>145</v>
      </c>
      <c r="J187" s="6" t="s">
        <v>33</v>
      </c>
      <c r="K187" s="6" t="s">
        <v>66</v>
      </c>
      <c r="L187" s="6">
        <v>13</v>
      </c>
      <c r="M187" s="7">
        <v>31490</v>
      </c>
      <c r="N187" s="8">
        <v>0.12</v>
      </c>
      <c r="O187" s="9">
        <v>21300</v>
      </c>
    </row>
    <row r="188" spans="1:15" ht="18" x14ac:dyDescent="0.35">
      <c r="A188" s="4" t="s">
        <v>295</v>
      </c>
      <c r="B188" s="5">
        <v>45394</v>
      </c>
      <c r="C188" s="6" t="s">
        <v>48</v>
      </c>
      <c r="D188" s="6" t="s">
        <v>49</v>
      </c>
      <c r="E188" s="6" t="s">
        <v>38</v>
      </c>
      <c r="F188" s="6" t="s">
        <v>39</v>
      </c>
      <c r="G188" s="6" t="s">
        <v>30</v>
      </c>
      <c r="H188" s="6" t="s">
        <v>61</v>
      </c>
      <c r="I188" s="6" t="s">
        <v>62</v>
      </c>
      <c r="J188" s="6" t="s">
        <v>57</v>
      </c>
      <c r="K188" s="6" t="s">
        <v>66</v>
      </c>
      <c r="L188" s="6">
        <v>14</v>
      </c>
      <c r="M188" s="7">
        <v>12490</v>
      </c>
      <c r="N188" s="8">
        <v>0.1</v>
      </c>
      <c r="O188" s="9">
        <v>7900</v>
      </c>
    </row>
    <row r="189" spans="1:15" ht="18" x14ac:dyDescent="0.35">
      <c r="A189" s="4" t="s">
        <v>296</v>
      </c>
      <c r="B189" s="5">
        <v>45394</v>
      </c>
      <c r="C189" s="6" t="s">
        <v>82</v>
      </c>
      <c r="D189" s="6" t="s">
        <v>83</v>
      </c>
      <c r="E189" s="6" t="s">
        <v>18</v>
      </c>
      <c r="F189" s="6" t="s">
        <v>29</v>
      </c>
      <c r="G189" s="6" t="s">
        <v>30</v>
      </c>
      <c r="H189" s="6" t="s">
        <v>61</v>
      </c>
      <c r="I189" s="6" t="s">
        <v>96</v>
      </c>
      <c r="J189" s="6" t="s">
        <v>33</v>
      </c>
      <c r="K189" s="6" t="s">
        <v>66</v>
      </c>
      <c r="L189" s="6">
        <v>27</v>
      </c>
      <c r="M189" s="7">
        <v>25110</v>
      </c>
      <c r="N189" s="8">
        <v>0.2</v>
      </c>
      <c r="O189" s="9">
        <v>16730</v>
      </c>
    </row>
    <row r="190" spans="1:15" ht="18" x14ac:dyDescent="0.35">
      <c r="A190" s="4" t="s">
        <v>297</v>
      </c>
      <c r="B190" s="5">
        <v>45394</v>
      </c>
      <c r="C190" s="6" t="s">
        <v>26</v>
      </c>
      <c r="D190" s="6" t="s">
        <v>27</v>
      </c>
      <c r="E190" s="6" t="s">
        <v>75</v>
      </c>
      <c r="F190" s="6" t="s">
        <v>39</v>
      </c>
      <c r="G190" s="6" t="s">
        <v>54</v>
      </c>
      <c r="H190" s="6" t="s">
        <v>129</v>
      </c>
      <c r="I190" s="6" t="s">
        <v>145</v>
      </c>
      <c r="J190" s="6" t="s">
        <v>23</v>
      </c>
      <c r="K190" s="6" t="s">
        <v>24</v>
      </c>
      <c r="L190" s="6">
        <v>1</v>
      </c>
      <c r="M190" s="7">
        <v>31490</v>
      </c>
      <c r="N190" s="8">
        <v>0.12</v>
      </c>
      <c r="O190" s="9">
        <v>21300</v>
      </c>
    </row>
    <row r="191" spans="1:15" ht="18" x14ac:dyDescent="0.35">
      <c r="A191" s="4" t="s">
        <v>298</v>
      </c>
      <c r="B191" s="5">
        <v>45395</v>
      </c>
      <c r="C191" s="6" t="s">
        <v>82</v>
      </c>
      <c r="D191" s="6" t="s">
        <v>87</v>
      </c>
      <c r="E191" s="6" t="s">
        <v>28</v>
      </c>
      <c r="F191" s="6" t="s">
        <v>39</v>
      </c>
      <c r="G191" s="6" t="s">
        <v>54</v>
      </c>
      <c r="H191" s="6" t="s">
        <v>55</v>
      </c>
      <c r="I191" s="6" t="s">
        <v>148</v>
      </c>
      <c r="J191" s="6" t="s">
        <v>23</v>
      </c>
      <c r="K191" s="6" t="s">
        <v>34</v>
      </c>
      <c r="L191" s="6">
        <v>3</v>
      </c>
      <c r="M191" s="7">
        <v>4680</v>
      </c>
      <c r="N191" s="8">
        <v>0.1</v>
      </c>
      <c r="O191" s="9">
        <v>3250</v>
      </c>
    </row>
    <row r="192" spans="1:15" ht="18" x14ac:dyDescent="0.35">
      <c r="A192" s="4" t="s">
        <v>299</v>
      </c>
      <c r="B192" s="5">
        <v>45395</v>
      </c>
      <c r="C192" s="6" t="s">
        <v>48</v>
      </c>
      <c r="D192" s="6" t="s">
        <v>93</v>
      </c>
      <c r="E192" s="6" t="s">
        <v>38</v>
      </c>
      <c r="F192" s="6" t="s">
        <v>39</v>
      </c>
      <c r="G192" s="6" t="s">
        <v>30</v>
      </c>
      <c r="H192" s="6" t="s">
        <v>61</v>
      </c>
      <c r="I192" s="6" t="s">
        <v>62</v>
      </c>
      <c r="J192" s="6" t="s">
        <v>33</v>
      </c>
      <c r="K192" s="6" t="s">
        <v>24</v>
      </c>
      <c r="L192" s="6">
        <v>36</v>
      </c>
      <c r="M192" s="7">
        <v>12490</v>
      </c>
      <c r="N192" s="8">
        <v>0.15</v>
      </c>
      <c r="O192" s="9">
        <v>7900</v>
      </c>
    </row>
    <row r="193" spans="1:15" ht="18" x14ac:dyDescent="0.35">
      <c r="A193" s="4" t="s">
        <v>300</v>
      </c>
      <c r="B193" s="5">
        <v>45395</v>
      </c>
      <c r="C193" s="6" t="s">
        <v>82</v>
      </c>
      <c r="D193" s="6" t="s">
        <v>183</v>
      </c>
      <c r="E193" s="6" t="s">
        <v>69</v>
      </c>
      <c r="F193" s="6" t="s">
        <v>19</v>
      </c>
      <c r="G193" s="6" t="s">
        <v>30</v>
      </c>
      <c r="H193" s="6" t="s">
        <v>31</v>
      </c>
      <c r="I193" s="6" t="s">
        <v>32</v>
      </c>
      <c r="J193" s="6" t="s">
        <v>23</v>
      </c>
      <c r="K193" s="6" t="s">
        <v>24</v>
      </c>
      <c r="L193" s="6">
        <v>8</v>
      </c>
      <c r="M193" s="7">
        <v>38990</v>
      </c>
      <c r="N193" s="8">
        <v>0.08</v>
      </c>
      <c r="O193" s="9">
        <v>25400</v>
      </c>
    </row>
    <row r="194" spans="1:15" ht="18" x14ac:dyDescent="0.35">
      <c r="A194" s="4" t="s">
        <v>301</v>
      </c>
      <c r="B194" s="5">
        <v>45396</v>
      </c>
      <c r="C194" s="6" t="s">
        <v>16</v>
      </c>
      <c r="D194" s="6" t="s">
        <v>126</v>
      </c>
      <c r="E194" s="6" t="s">
        <v>38</v>
      </c>
      <c r="F194" s="6" t="s">
        <v>39</v>
      </c>
      <c r="G194" s="6" t="s">
        <v>30</v>
      </c>
      <c r="H194" s="6" t="s">
        <v>61</v>
      </c>
      <c r="I194" s="6" t="s">
        <v>96</v>
      </c>
      <c r="J194" s="6" t="s">
        <v>57</v>
      </c>
      <c r="K194" s="6" t="s">
        <v>78</v>
      </c>
      <c r="L194" s="6">
        <v>4</v>
      </c>
      <c r="M194" s="7">
        <v>25110</v>
      </c>
      <c r="N194" s="8">
        <v>0.05</v>
      </c>
      <c r="O194" s="9">
        <v>16730</v>
      </c>
    </row>
    <row r="195" spans="1:15" ht="18" x14ac:dyDescent="0.35">
      <c r="A195" s="4" t="s">
        <v>302</v>
      </c>
      <c r="B195" s="5">
        <v>45396</v>
      </c>
      <c r="C195" s="6" t="s">
        <v>48</v>
      </c>
      <c r="D195" s="6" t="s">
        <v>68</v>
      </c>
      <c r="E195" s="6" t="s">
        <v>84</v>
      </c>
      <c r="F195" s="6" t="s">
        <v>19</v>
      </c>
      <c r="G195" s="6" t="s">
        <v>20</v>
      </c>
      <c r="H195" s="6" t="s">
        <v>45</v>
      </c>
      <c r="I195" s="6" t="s">
        <v>46</v>
      </c>
      <c r="J195" s="6" t="s">
        <v>57</v>
      </c>
      <c r="K195" s="6" t="s">
        <v>24</v>
      </c>
      <c r="L195" s="6">
        <v>35</v>
      </c>
      <c r="M195" s="7">
        <v>1899</v>
      </c>
      <c r="N195" s="8">
        <v>0.08</v>
      </c>
      <c r="O195" s="9">
        <v>1080</v>
      </c>
    </row>
    <row r="196" spans="1:15" ht="18" x14ac:dyDescent="0.35">
      <c r="A196" s="4" t="s">
        <v>303</v>
      </c>
      <c r="B196" s="5">
        <v>45396</v>
      </c>
      <c r="C196" s="6" t="s">
        <v>82</v>
      </c>
      <c r="D196" s="6" t="s">
        <v>100</v>
      </c>
      <c r="E196" s="6" t="s">
        <v>75</v>
      </c>
      <c r="F196" s="6" t="s">
        <v>19</v>
      </c>
      <c r="G196" s="6" t="s">
        <v>40</v>
      </c>
      <c r="H196" s="6" t="s">
        <v>76</v>
      </c>
      <c r="I196" s="6" t="s">
        <v>113</v>
      </c>
      <c r="J196" s="6" t="s">
        <v>33</v>
      </c>
      <c r="K196" s="6" t="s">
        <v>66</v>
      </c>
      <c r="L196" s="6">
        <v>13</v>
      </c>
      <c r="M196" s="7">
        <v>22999</v>
      </c>
      <c r="N196" s="8">
        <v>0.2</v>
      </c>
      <c r="O196" s="9">
        <v>15100</v>
      </c>
    </row>
    <row r="197" spans="1:15" ht="18" x14ac:dyDescent="0.35">
      <c r="A197" s="4" t="s">
        <v>304</v>
      </c>
      <c r="B197" s="5">
        <v>45396</v>
      </c>
      <c r="C197" s="6" t="s">
        <v>26</v>
      </c>
      <c r="D197" s="6" t="s">
        <v>27</v>
      </c>
      <c r="E197" s="6" t="s">
        <v>105</v>
      </c>
      <c r="F197" s="6" t="s">
        <v>19</v>
      </c>
      <c r="G197" s="6" t="s">
        <v>54</v>
      </c>
      <c r="H197" s="6" t="s">
        <v>129</v>
      </c>
      <c r="I197" s="6" t="s">
        <v>130</v>
      </c>
      <c r="J197" s="6" t="s">
        <v>23</v>
      </c>
      <c r="K197" s="6" t="s">
        <v>24</v>
      </c>
      <c r="L197" s="6">
        <v>36</v>
      </c>
      <c r="M197" s="7">
        <v>27890</v>
      </c>
      <c r="N197" s="8">
        <v>0.18</v>
      </c>
      <c r="O197" s="9">
        <v>18800</v>
      </c>
    </row>
    <row r="198" spans="1:15" ht="18" x14ac:dyDescent="0.35">
      <c r="A198" s="4" t="s">
        <v>305</v>
      </c>
      <c r="B198" s="5">
        <v>45397</v>
      </c>
      <c r="C198" s="6" t="s">
        <v>48</v>
      </c>
      <c r="D198" s="6" t="s">
        <v>136</v>
      </c>
      <c r="E198" s="6" t="s">
        <v>38</v>
      </c>
      <c r="F198" s="6" t="s">
        <v>19</v>
      </c>
      <c r="G198" s="6" t="s">
        <v>40</v>
      </c>
      <c r="H198" s="6" t="s">
        <v>76</v>
      </c>
      <c r="I198" s="6" t="s">
        <v>139</v>
      </c>
      <c r="J198" s="6" t="s">
        <v>23</v>
      </c>
      <c r="K198" s="6" t="s">
        <v>34</v>
      </c>
      <c r="L198" s="6">
        <v>20</v>
      </c>
      <c r="M198" s="7">
        <v>25999</v>
      </c>
      <c r="N198" s="8">
        <v>0.05</v>
      </c>
      <c r="O198" s="9">
        <v>17800</v>
      </c>
    </row>
    <row r="199" spans="1:15" ht="18" x14ac:dyDescent="0.35">
      <c r="A199" s="4" t="s">
        <v>306</v>
      </c>
      <c r="B199" s="5">
        <v>45397</v>
      </c>
      <c r="C199" s="6" t="s">
        <v>26</v>
      </c>
      <c r="D199" s="6" t="s">
        <v>27</v>
      </c>
      <c r="E199" s="6" t="s">
        <v>101</v>
      </c>
      <c r="F199" s="6" t="s">
        <v>29</v>
      </c>
      <c r="G199" s="6" t="s">
        <v>40</v>
      </c>
      <c r="H199" s="6" t="s">
        <v>76</v>
      </c>
      <c r="I199" s="6" t="s">
        <v>77</v>
      </c>
      <c r="J199" s="6" t="s">
        <v>33</v>
      </c>
      <c r="K199" s="6" t="s">
        <v>24</v>
      </c>
      <c r="L199" s="6">
        <v>8</v>
      </c>
      <c r="M199" s="7">
        <v>52990</v>
      </c>
      <c r="N199" s="8">
        <v>0.15</v>
      </c>
      <c r="O199" s="9">
        <v>39500</v>
      </c>
    </row>
    <row r="200" spans="1:15" ht="18" x14ac:dyDescent="0.35">
      <c r="A200" s="4" t="s">
        <v>307</v>
      </c>
      <c r="B200" s="5">
        <v>45398</v>
      </c>
      <c r="C200" s="6" t="s">
        <v>82</v>
      </c>
      <c r="D200" s="6" t="s">
        <v>83</v>
      </c>
      <c r="E200" s="6" t="s">
        <v>38</v>
      </c>
      <c r="F200" s="6" t="s">
        <v>29</v>
      </c>
      <c r="G200" s="6" t="s">
        <v>30</v>
      </c>
      <c r="H200" s="6" t="s">
        <v>31</v>
      </c>
      <c r="I200" s="6" t="s">
        <v>32</v>
      </c>
      <c r="J200" s="6" t="s">
        <v>33</v>
      </c>
      <c r="K200" s="6" t="s">
        <v>24</v>
      </c>
      <c r="L200" s="6">
        <v>36</v>
      </c>
      <c r="M200" s="7">
        <v>38990</v>
      </c>
      <c r="N200" s="8">
        <v>0.12</v>
      </c>
      <c r="O200" s="9">
        <v>25400</v>
      </c>
    </row>
    <row r="201" spans="1:15" ht="18" x14ac:dyDescent="0.35">
      <c r="A201" s="4" t="s">
        <v>308</v>
      </c>
      <c r="B201" s="5">
        <v>45399</v>
      </c>
      <c r="C201" s="6" t="s">
        <v>36</v>
      </c>
      <c r="D201" s="6" t="s">
        <v>121</v>
      </c>
      <c r="E201" s="6" t="s">
        <v>50</v>
      </c>
      <c r="F201" s="6" t="s">
        <v>39</v>
      </c>
      <c r="G201" s="6" t="s">
        <v>54</v>
      </c>
      <c r="H201" s="6" t="s">
        <v>129</v>
      </c>
      <c r="I201" s="6" t="s">
        <v>130</v>
      </c>
      <c r="J201" s="6" t="s">
        <v>33</v>
      </c>
      <c r="K201" s="6" t="s">
        <v>66</v>
      </c>
      <c r="L201" s="6">
        <v>30</v>
      </c>
      <c r="M201" s="7">
        <v>27890</v>
      </c>
      <c r="N201" s="8">
        <v>0.18</v>
      </c>
      <c r="O201" s="9">
        <v>18800</v>
      </c>
    </row>
    <row r="202" spans="1:15" ht="18" x14ac:dyDescent="0.35">
      <c r="A202" s="4" t="s">
        <v>309</v>
      </c>
      <c r="B202" s="5">
        <v>45399</v>
      </c>
      <c r="C202" s="6" t="s">
        <v>48</v>
      </c>
      <c r="D202" s="6" t="s">
        <v>136</v>
      </c>
      <c r="E202" s="6" t="s">
        <v>28</v>
      </c>
      <c r="F202" s="6" t="s">
        <v>19</v>
      </c>
      <c r="G202" s="6" t="s">
        <v>54</v>
      </c>
      <c r="H202" s="6" t="s">
        <v>55</v>
      </c>
      <c r="I202" s="6" t="s">
        <v>108</v>
      </c>
      <c r="J202" s="6" t="s">
        <v>33</v>
      </c>
      <c r="K202" s="6" t="s">
        <v>24</v>
      </c>
      <c r="L202" s="6">
        <v>24</v>
      </c>
      <c r="M202" s="7">
        <v>5890</v>
      </c>
      <c r="N202" s="8">
        <v>0.1</v>
      </c>
      <c r="O202" s="9">
        <v>3980</v>
      </c>
    </row>
    <row r="203" spans="1:15" ht="18" x14ac:dyDescent="0.35">
      <c r="A203" s="4" t="s">
        <v>310</v>
      </c>
      <c r="B203" s="5">
        <v>45400</v>
      </c>
      <c r="C203" s="6" t="s">
        <v>48</v>
      </c>
      <c r="D203" s="6" t="s">
        <v>136</v>
      </c>
      <c r="E203" s="6" t="s">
        <v>84</v>
      </c>
      <c r="F203" s="6" t="s">
        <v>19</v>
      </c>
      <c r="G203" s="6" t="s">
        <v>20</v>
      </c>
      <c r="H203" s="6" t="s">
        <v>45</v>
      </c>
      <c r="I203" s="6" t="s">
        <v>196</v>
      </c>
      <c r="J203" s="6" t="s">
        <v>33</v>
      </c>
      <c r="K203" s="6" t="s">
        <v>78</v>
      </c>
      <c r="L203" s="6">
        <v>3</v>
      </c>
      <c r="M203" s="7">
        <v>2499</v>
      </c>
      <c r="N203" s="8">
        <v>0.08</v>
      </c>
      <c r="O203" s="9">
        <v>1510</v>
      </c>
    </row>
    <row r="204" spans="1:15" ht="18" x14ac:dyDescent="0.35">
      <c r="A204" s="4" t="s">
        <v>311</v>
      </c>
      <c r="B204" s="5">
        <v>45401</v>
      </c>
      <c r="C204" s="6" t="s">
        <v>16</v>
      </c>
      <c r="D204" s="6" t="s">
        <v>111</v>
      </c>
      <c r="E204" s="6" t="s">
        <v>38</v>
      </c>
      <c r="F204" s="6" t="s">
        <v>29</v>
      </c>
      <c r="G204" s="6" t="s">
        <v>54</v>
      </c>
      <c r="H204" s="6" t="s">
        <v>55</v>
      </c>
      <c r="I204" s="6" t="s">
        <v>148</v>
      </c>
      <c r="J204" s="6" t="s">
        <v>57</v>
      </c>
      <c r="K204" s="6" t="s">
        <v>66</v>
      </c>
      <c r="L204" s="6">
        <v>10</v>
      </c>
      <c r="M204" s="7">
        <v>4680</v>
      </c>
      <c r="N204" s="8">
        <v>0.18</v>
      </c>
      <c r="O204" s="9">
        <v>3250</v>
      </c>
    </row>
    <row r="205" spans="1:15" ht="18" x14ac:dyDescent="0.35">
      <c r="A205" s="4" t="s">
        <v>312</v>
      </c>
      <c r="B205" s="5">
        <v>45401</v>
      </c>
      <c r="C205" s="6" t="s">
        <v>82</v>
      </c>
      <c r="D205" s="6" t="s">
        <v>183</v>
      </c>
      <c r="E205" s="6" t="s">
        <v>38</v>
      </c>
      <c r="F205" s="6" t="s">
        <v>39</v>
      </c>
      <c r="G205" s="6" t="s">
        <v>40</v>
      </c>
      <c r="H205" s="6" t="s">
        <v>64</v>
      </c>
      <c r="I205" s="6" t="s">
        <v>153</v>
      </c>
      <c r="J205" s="6" t="s">
        <v>33</v>
      </c>
      <c r="K205" s="6" t="s">
        <v>34</v>
      </c>
      <c r="L205" s="6">
        <v>23</v>
      </c>
      <c r="M205" s="7">
        <v>4490</v>
      </c>
      <c r="N205" s="8">
        <v>0.18</v>
      </c>
      <c r="O205" s="9">
        <v>2950</v>
      </c>
    </row>
    <row r="206" spans="1:15" ht="18" x14ac:dyDescent="0.35">
      <c r="A206" s="4" t="s">
        <v>313</v>
      </c>
      <c r="B206" s="5">
        <v>45402</v>
      </c>
      <c r="C206" s="6" t="s">
        <v>26</v>
      </c>
      <c r="D206" s="6" t="s">
        <v>74</v>
      </c>
      <c r="E206" s="6" t="s">
        <v>28</v>
      </c>
      <c r="F206" s="6" t="s">
        <v>19</v>
      </c>
      <c r="G206" s="6" t="s">
        <v>20</v>
      </c>
      <c r="H206" s="6" t="s">
        <v>21</v>
      </c>
      <c r="I206" s="6" t="s">
        <v>115</v>
      </c>
      <c r="J206" s="6" t="s">
        <v>57</v>
      </c>
      <c r="K206" s="6" t="s">
        <v>78</v>
      </c>
      <c r="L206" s="6">
        <v>30</v>
      </c>
      <c r="M206" s="7">
        <v>6499</v>
      </c>
      <c r="N206" s="8">
        <v>0.08</v>
      </c>
      <c r="O206" s="9">
        <v>4210</v>
      </c>
    </row>
    <row r="207" spans="1:15" ht="18" x14ac:dyDescent="0.35">
      <c r="A207" s="4" t="s">
        <v>314</v>
      </c>
      <c r="B207" s="5">
        <v>45402</v>
      </c>
      <c r="C207" s="6" t="s">
        <v>36</v>
      </c>
      <c r="D207" s="6" t="s">
        <v>121</v>
      </c>
      <c r="E207" s="6" t="s">
        <v>50</v>
      </c>
      <c r="F207" s="6" t="s">
        <v>29</v>
      </c>
      <c r="G207" s="6" t="s">
        <v>70</v>
      </c>
      <c r="H207" s="6" t="s">
        <v>71</v>
      </c>
      <c r="I207" s="6" t="s">
        <v>80</v>
      </c>
      <c r="J207" s="6" t="s">
        <v>57</v>
      </c>
      <c r="K207" s="6" t="s">
        <v>78</v>
      </c>
      <c r="L207" s="6">
        <v>32</v>
      </c>
      <c r="M207" s="7">
        <v>1299</v>
      </c>
      <c r="N207" s="8">
        <v>0.2</v>
      </c>
      <c r="O207" s="9">
        <v>720</v>
      </c>
    </row>
    <row r="208" spans="1:15" ht="18" x14ac:dyDescent="0.35">
      <c r="A208" s="4" t="s">
        <v>315</v>
      </c>
      <c r="B208" s="5">
        <v>45403</v>
      </c>
      <c r="C208" s="6" t="s">
        <v>82</v>
      </c>
      <c r="D208" s="6" t="s">
        <v>87</v>
      </c>
      <c r="E208" s="6" t="s">
        <v>50</v>
      </c>
      <c r="F208" s="6" t="s">
        <v>39</v>
      </c>
      <c r="G208" s="6" t="s">
        <v>70</v>
      </c>
      <c r="H208" s="6" t="s">
        <v>71</v>
      </c>
      <c r="I208" s="6" t="s">
        <v>88</v>
      </c>
      <c r="J208" s="6" t="s">
        <v>23</v>
      </c>
      <c r="K208" s="6" t="s">
        <v>24</v>
      </c>
      <c r="L208" s="6">
        <v>36</v>
      </c>
      <c r="M208" s="7">
        <v>999</v>
      </c>
      <c r="N208" s="8">
        <v>0.18</v>
      </c>
      <c r="O208" s="9">
        <v>540</v>
      </c>
    </row>
    <row r="209" spans="1:15" ht="18" x14ac:dyDescent="0.35">
      <c r="A209" s="4" t="s">
        <v>316</v>
      </c>
      <c r="B209" s="5">
        <v>45403</v>
      </c>
      <c r="C209" s="6" t="s">
        <v>36</v>
      </c>
      <c r="D209" s="6" t="s">
        <v>44</v>
      </c>
      <c r="E209" s="6" t="s">
        <v>84</v>
      </c>
      <c r="F209" s="6" t="s">
        <v>19</v>
      </c>
      <c r="G209" s="6" t="s">
        <v>54</v>
      </c>
      <c r="H209" s="6" t="s">
        <v>55</v>
      </c>
      <c r="I209" s="6" t="s">
        <v>108</v>
      </c>
      <c r="J209" s="6" t="s">
        <v>57</v>
      </c>
      <c r="K209" s="6" t="s">
        <v>24</v>
      </c>
      <c r="L209" s="6">
        <v>24</v>
      </c>
      <c r="M209" s="7">
        <v>5890</v>
      </c>
      <c r="N209" s="8">
        <v>0.1</v>
      </c>
      <c r="O209" s="9">
        <v>3980</v>
      </c>
    </row>
    <row r="210" spans="1:15" ht="18" x14ac:dyDescent="0.35">
      <c r="A210" s="4" t="s">
        <v>317</v>
      </c>
      <c r="B210" s="5">
        <v>45403</v>
      </c>
      <c r="C210" s="6" t="s">
        <v>48</v>
      </c>
      <c r="D210" s="6" t="s">
        <v>68</v>
      </c>
      <c r="E210" s="6" t="s">
        <v>75</v>
      </c>
      <c r="F210" s="6" t="s">
        <v>19</v>
      </c>
      <c r="G210" s="6" t="s">
        <v>20</v>
      </c>
      <c r="H210" s="6" t="s">
        <v>45</v>
      </c>
      <c r="I210" s="6" t="s">
        <v>196</v>
      </c>
      <c r="J210" s="6" t="s">
        <v>33</v>
      </c>
      <c r="K210" s="6" t="s">
        <v>78</v>
      </c>
      <c r="L210" s="6">
        <v>32</v>
      </c>
      <c r="M210" s="7">
        <v>2499</v>
      </c>
      <c r="N210" s="8">
        <v>0.08</v>
      </c>
      <c r="O210" s="9">
        <v>1510</v>
      </c>
    </row>
    <row r="211" spans="1:15" ht="18" x14ac:dyDescent="0.35">
      <c r="A211" s="4" t="s">
        <v>318</v>
      </c>
      <c r="B211" s="5">
        <v>45404</v>
      </c>
      <c r="C211" s="6" t="s">
        <v>26</v>
      </c>
      <c r="D211" s="6" t="s">
        <v>27</v>
      </c>
      <c r="E211" s="6" t="s">
        <v>18</v>
      </c>
      <c r="F211" s="6" t="s">
        <v>29</v>
      </c>
      <c r="G211" s="6" t="s">
        <v>40</v>
      </c>
      <c r="H211" s="6" t="s">
        <v>76</v>
      </c>
      <c r="I211" s="6" t="s">
        <v>139</v>
      </c>
      <c r="J211" s="6" t="s">
        <v>23</v>
      </c>
      <c r="K211" s="6" t="s">
        <v>78</v>
      </c>
      <c r="L211" s="6">
        <v>15</v>
      </c>
      <c r="M211" s="7">
        <v>25999</v>
      </c>
      <c r="N211" s="8">
        <v>0.15</v>
      </c>
      <c r="O211" s="9">
        <v>17800</v>
      </c>
    </row>
    <row r="212" spans="1:15" ht="18" x14ac:dyDescent="0.35">
      <c r="A212" s="4" t="s">
        <v>319</v>
      </c>
      <c r="B212" s="5">
        <v>45405</v>
      </c>
      <c r="C212" s="6" t="s">
        <v>36</v>
      </c>
      <c r="D212" s="6" t="s">
        <v>37</v>
      </c>
      <c r="E212" s="6" t="s">
        <v>101</v>
      </c>
      <c r="F212" s="6" t="s">
        <v>29</v>
      </c>
      <c r="G212" s="6" t="s">
        <v>54</v>
      </c>
      <c r="H212" s="6" t="s">
        <v>90</v>
      </c>
      <c r="I212" s="6" t="s">
        <v>258</v>
      </c>
      <c r="J212" s="6" t="s">
        <v>23</v>
      </c>
      <c r="K212" s="6" t="s">
        <v>24</v>
      </c>
      <c r="L212" s="6">
        <v>28</v>
      </c>
      <c r="M212" s="7">
        <v>29010</v>
      </c>
      <c r="N212" s="8">
        <v>0.05</v>
      </c>
      <c r="O212" s="9">
        <v>19150</v>
      </c>
    </row>
    <row r="213" spans="1:15" ht="18" x14ac:dyDescent="0.35">
      <c r="A213" s="4" t="s">
        <v>320</v>
      </c>
      <c r="B213" s="5">
        <v>45405</v>
      </c>
      <c r="C213" s="6" t="s">
        <v>36</v>
      </c>
      <c r="D213" s="6" t="s">
        <v>37</v>
      </c>
      <c r="E213" s="6" t="s">
        <v>50</v>
      </c>
      <c r="F213" s="6" t="s">
        <v>39</v>
      </c>
      <c r="G213" s="6" t="s">
        <v>20</v>
      </c>
      <c r="H213" s="6" t="s">
        <v>45</v>
      </c>
      <c r="I213" s="6" t="s">
        <v>103</v>
      </c>
      <c r="J213" s="6" t="s">
        <v>33</v>
      </c>
      <c r="K213" s="6" t="s">
        <v>24</v>
      </c>
      <c r="L213" s="6">
        <v>7</v>
      </c>
      <c r="M213" s="7">
        <v>1599</v>
      </c>
      <c r="N213" s="8">
        <v>0.1</v>
      </c>
      <c r="O213" s="9">
        <v>920</v>
      </c>
    </row>
    <row r="214" spans="1:15" ht="18" x14ac:dyDescent="0.35">
      <c r="A214" s="4" t="s">
        <v>321</v>
      </c>
      <c r="B214" s="5">
        <v>45405</v>
      </c>
      <c r="C214" s="6" t="s">
        <v>16</v>
      </c>
      <c r="D214" s="6" t="s">
        <v>17</v>
      </c>
      <c r="E214" s="6" t="s">
        <v>50</v>
      </c>
      <c r="F214" s="6" t="s">
        <v>39</v>
      </c>
      <c r="G214" s="6" t="s">
        <v>30</v>
      </c>
      <c r="H214" s="6" t="s">
        <v>31</v>
      </c>
      <c r="I214" s="6" t="s">
        <v>32</v>
      </c>
      <c r="J214" s="6" t="s">
        <v>33</v>
      </c>
      <c r="K214" s="6" t="s">
        <v>24</v>
      </c>
      <c r="L214" s="6">
        <v>21</v>
      </c>
      <c r="M214" s="7">
        <v>38990</v>
      </c>
      <c r="N214" s="8">
        <v>0.08</v>
      </c>
      <c r="O214" s="9">
        <v>25400</v>
      </c>
    </row>
    <row r="215" spans="1:15" ht="18" x14ac:dyDescent="0.35">
      <c r="A215" s="4" t="s">
        <v>322</v>
      </c>
      <c r="B215" s="5">
        <v>45406</v>
      </c>
      <c r="C215" s="6" t="s">
        <v>26</v>
      </c>
      <c r="D215" s="6" t="s">
        <v>163</v>
      </c>
      <c r="E215" s="6" t="s">
        <v>69</v>
      </c>
      <c r="F215" s="6" t="s">
        <v>19</v>
      </c>
      <c r="G215" s="6" t="s">
        <v>40</v>
      </c>
      <c r="H215" s="6" t="s">
        <v>76</v>
      </c>
      <c r="I215" s="6" t="s">
        <v>139</v>
      </c>
      <c r="J215" s="6" t="s">
        <v>23</v>
      </c>
      <c r="K215" s="6" t="s">
        <v>78</v>
      </c>
      <c r="L215" s="6">
        <v>4</v>
      </c>
      <c r="M215" s="7">
        <v>25999</v>
      </c>
      <c r="N215" s="8">
        <v>0.1</v>
      </c>
      <c r="O215" s="9">
        <v>17800</v>
      </c>
    </row>
    <row r="216" spans="1:15" ht="18" x14ac:dyDescent="0.35">
      <c r="A216" s="4" t="s">
        <v>323</v>
      </c>
      <c r="B216" s="5">
        <v>45407</v>
      </c>
      <c r="C216" s="6" t="s">
        <v>82</v>
      </c>
      <c r="D216" s="6" t="s">
        <v>87</v>
      </c>
      <c r="E216" s="6" t="s">
        <v>84</v>
      </c>
      <c r="F216" s="6" t="s">
        <v>39</v>
      </c>
      <c r="G216" s="6" t="s">
        <v>40</v>
      </c>
      <c r="H216" s="6" t="s">
        <v>41</v>
      </c>
      <c r="I216" s="6" t="s">
        <v>156</v>
      </c>
      <c r="J216" s="6" t="s">
        <v>57</v>
      </c>
      <c r="K216" s="6" t="s">
        <v>24</v>
      </c>
      <c r="L216" s="6">
        <v>9</v>
      </c>
      <c r="M216" s="7">
        <v>48500</v>
      </c>
      <c r="N216" s="8">
        <v>0.15</v>
      </c>
      <c r="O216" s="9">
        <v>30200</v>
      </c>
    </row>
    <row r="217" spans="1:15" ht="18" x14ac:dyDescent="0.35">
      <c r="A217" s="4" t="s">
        <v>324</v>
      </c>
      <c r="B217" s="5">
        <v>45407</v>
      </c>
      <c r="C217" s="6" t="s">
        <v>26</v>
      </c>
      <c r="D217" s="6" t="s">
        <v>163</v>
      </c>
      <c r="E217" s="6" t="s">
        <v>38</v>
      </c>
      <c r="F217" s="6" t="s">
        <v>29</v>
      </c>
      <c r="G217" s="6" t="s">
        <v>40</v>
      </c>
      <c r="H217" s="6" t="s">
        <v>64</v>
      </c>
      <c r="I217" s="6" t="s">
        <v>159</v>
      </c>
      <c r="J217" s="6" t="s">
        <v>33</v>
      </c>
      <c r="K217" s="6" t="s">
        <v>78</v>
      </c>
      <c r="L217" s="6">
        <v>29</v>
      </c>
      <c r="M217" s="7">
        <v>3299</v>
      </c>
      <c r="N217" s="8">
        <v>0.2</v>
      </c>
      <c r="O217" s="9">
        <v>2050</v>
      </c>
    </row>
    <row r="218" spans="1:15" ht="18" x14ac:dyDescent="0.35">
      <c r="A218" s="4" t="s">
        <v>325</v>
      </c>
      <c r="B218" s="5">
        <v>45407</v>
      </c>
      <c r="C218" s="6" t="s">
        <v>82</v>
      </c>
      <c r="D218" s="6" t="s">
        <v>83</v>
      </c>
      <c r="E218" s="6" t="s">
        <v>18</v>
      </c>
      <c r="F218" s="6" t="s">
        <v>39</v>
      </c>
      <c r="G218" s="6" t="s">
        <v>40</v>
      </c>
      <c r="H218" s="6" t="s">
        <v>64</v>
      </c>
      <c r="I218" s="6" t="s">
        <v>159</v>
      </c>
      <c r="J218" s="6" t="s">
        <v>23</v>
      </c>
      <c r="K218" s="6" t="s">
        <v>78</v>
      </c>
      <c r="L218" s="6">
        <v>14</v>
      </c>
      <c r="M218" s="7">
        <v>3299</v>
      </c>
      <c r="N218" s="8">
        <v>0.2</v>
      </c>
      <c r="O218" s="9">
        <v>2050</v>
      </c>
    </row>
    <row r="219" spans="1:15" ht="18" x14ac:dyDescent="0.35">
      <c r="A219" s="4" t="s">
        <v>326</v>
      </c>
      <c r="B219" s="5">
        <v>45409</v>
      </c>
      <c r="C219" s="6" t="s">
        <v>36</v>
      </c>
      <c r="D219" s="6" t="s">
        <v>44</v>
      </c>
      <c r="E219" s="6" t="s">
        <v>75</v>
      </c>
      <c r="F219" s="6" t="s">
        <v>29</v>
      </c>
      <c r="G219" s="6" t="s">
        <v>30</v>
      </c>
      <c r="H219" s="6" t="s">
        <v>61</v>
      </c>
      <c r="I219" s="6" t="s">
        <v>186</v>
      </c>
      <c r="J219" s="6" t="s">
        <v>23</v>
      </c>
      <c r="K219" s="6" t="s">
        <v>24</v>
      </c>
      <c r="L219" s="6">
        <v>31</v>
      </c>
      <c r="M219" s="7">
        <v>6999</v>
      </c>
      <c r="N219" s="8">
        <v>0.05</v>
      </c>
      <c r="O219" s="9">
        <v>4320</v>
      </c>
    </row>
    <row r="220" spans="1:15" ht="18" x14ac:dyDescent="0.35">
      <c r="A220" s="4" t="s">
        <v>327</v>
      </c>
      <c r="B220" s="5">
        <v>45410</v>
      </c>
      <c r="C220" s="6" t="s">
        <v>48</v>
      </c>
      <c r="D220" s="6" t="s">
        <v>68</v>
      </c>
      <c r="E220" s="6" t="s">
        <v>38</v>
      </c>
      <c r="F220" s="6" t="s">
        <v>29</v>
      </c>
      <c r="G220" s="6" t="s">
        <v>40</v>
      </c>
      <c r="H220" s="6" t="s">
        <v>76</v>
      </c>
      <c r="I220" s="6" t="s">
        <v>139</v>
      </c>
      <c r="J220" s="6" t="s">
        <v>33</v>
      </c>
      <c r="K220" s="6" t="s">
        <v>78</v>
      </c>
      <c r="L220" s="6">
        <v>7</v>
      </c>
      <c r="M220" s="7">
        <v>25999</v>
      </c>
      <c r="N220" s="8">
        <v>0.05</v>
      </c>
      <c r="O220" s="9">
        <v>17800</v>
      </c>
    </row>
    <row r="221" spans="1:15" ht="18" x14ac:dyDescent="0.35">
      <c r="A221" s="4" t="s">
        <v>328</v>
      </c>
      <c r="B221" s="5">
        <v>45410</v>
      </c>
      <c r="C221" s="6" t="s">
        <v>36</v>
      </c>
      <c r="D221" s="6" t="s">
        <v>121</v>
      </c>
      <c r="E221" s="6" t="s">
        <v>84</v>
      </c>
      <c r="F221" s="6" t="s">
        <v>39</v>
      </c>
      <c r="G221" s="6" t="s">
        <v>20</v>
      </c>
      <c r="H221" s="6" t="s">
        <v>21</v>
      </c>
      <c r="I221" s="6" t="s">
        <v>51</v>
      </c>
      <c r="J221" s="6" t="s">
        <v>57</v>
      </c>
      <c r="K221" s="6" t="s">
        <v>66</v>
      </c>
      <c r="L221" s="6">
        <v>30</v>
      </c>
      <c r="M221" s="7">
        <v>5999</v>
      </c>
      <c r="N221" s="8">
        <v>0.12</v>
      </c>
      <c r="O221" s="9">
        <v>3890</v>
      </c>
    </row>
    <row r="222" spans="1:15" ht="18" x14ac:dyDescent="0.35">
      <c r="A222" s="4" t="s">
        <v>329</v>
      </c>
      <c r="B222" s="5">
        <v>45411</v>
      </c>
      <c r="C222" s="6" t="s">
        <v>16</v>
      </c>
      <c r="D222" s="6" t="s">
        <v>17</v>
      </c>
      <c r="E222" s="6" t="s">
        <v>50</v>
      </c>
      <c r="F222" s="6" t="s">
        <v>29</v>
      </c>
      <c r="G222" s="6" t="s">
        <v>20</v>
      </c>
      <c r="H222" s="6" t="s">
        <v>45</v>
      </c>
      <c r="I222" s="6" t="s">
        <v>46</v>
      </c>
      <c r="J222" s="6" t="s">
        <v>57</v>
      </c>
      <c r="K222" s="6" t="s">
        <v>24</v>
      </c>
      <c r="L222" s="6">
        <v>6</v>
      </c>
      <c r="M222" s="7">
        <v>1899</v>
      </c>
      <c r="N222" s="8">
        <v>0.05</v>
      </c>
      <c r="O222" s="9">
        <v>1080</v>
      </c>
    </row>
    <row r="223" spans="1:15" ht="18" x14ac:dyDescent="0.35">
      <c r="A223" s="4" t="s">
        <v>330</v>
      </c>
      <c r="B223" s="5">
        <v>45411</v>
      </c>
      <c r="C223" s="6" t="s">
        <v>36</v>
      </c>
      <c r="D223" s="6" t="s">
        <v>59</v>
      </c>
      <c r="E223" s="6" t="s">
        <v>75</v>
      </c>
      <c r="F223" s="6" t="s">
        <v>29</v>
      </c>
      <c r="G223" s="6" t="s">
        <v>30</v>
      </c>
      <c r="H223" s="6" t="s">
        <v>61</v>
      </c>
      <c r="I223" s="6" t="s">
        <v>62</v>
      </c>
      <c r="J223" s="6" t="s">
        <v>23</v>
      </c>
      <c r="K223" s="6" t="s">
        <v>24</v>
      </c>
      <c r="L223" s="6">
        <v>9</v>
      </c>
      <c r="M223" s="7">
        <v>12490</v>
      </c>
      <c r="N223" s="8">
        <v>0.12</v>
      </c>
      <c r="O223" s="9">
        <v>7900</v>
      </c>
    </row>
    <row r="224" spans="1:15" ht="18" x14ac:dyDescent="0.35">
      <c r="A224" s="4" t="s">
        <v>331</v>
      </c>
      <c r="B224" s="5">
        <v>45411</v>
      </c>
      <c r="C224" s="6" t="s">
        <v>82</v>
      </c>
      <c r="D224" s="6" t="s">
        <v>183</v>
      </c>
      <c r="E224" s="6" t="s">
        <v>75</v>
      </c>
      <c r="F224" s="6" t="s">
        <v>19</v>
      </c>
      <c r="G224" s="6" t="s">
        <v>30</v>
      </c>
      <c r="H224" s="6" t="s">
        <v>61</v>
      </c>
      <c r="I224" s="6" t="s">
        <v>96</v>
      </c>
      <c r="J224" s="6" t="s">
        <v>57</v>
      </c>
      <c r="K224" s="6" t="s">
        <v>24</v>
      </c>
      <c r="L224" s="6">
        <v>38</v>
      </c>
      <c r="M224" s="7">
        <v>25110</v>
      </c>
      <c r="N224" s="8">
        <v>0.08</v>
      </c>
      <c r="O224" s="9">
        <v>16730</v>
      </c>
    </row>
    <row r="225" spans="1:15" ht="18" x14ac:dyDescent="0.35">
      <c r="A225" s="4" t="s">
        <v>332</v>
      </c>
      <c r="B225" s="5">
        <v>45411</v>
      </c>
      <c r="C225" s="6" t="s">
        <v>48</v>
      </c>
      <c r="D225" s="6" t="s">
        <v>68</v>
      </c>
      <c r="E225" s="6" t="s">
        <v>60</v>
      </c>
      <c r="F225" s="6" t="s">
        <v>19</v>
      </c>
      <c r="G225" s="6" t="s">
        <v>70</v>
      </c>
      <c r="H225" s="6" t="s">
        <v>71</v>
      </c>
      <c r="I225" s="6" t="s">
        <v>88</v>
      </c>
      <c r="J225" s="6" t="s">
        <v>33</v>
      </c>
      <c r="K225" s="6" t="s">
        <v>34</v>
      </c>
      <c r="L225" s="6">
        <v>3</v>
      </c>
      <c r="M225" s="7">
        <v>999</v>
      </c>
      <c r="N225" s="8">
        <v>0.2</v>
      </c>
      <c r="O225" s="9">
        <v>540</v>
      </c>
    </row>
    <row r="226" spans="1:15" ht="18" x14ac:dyDescent="0.35">
      <c r="A226" s="4" t="s">
        <v>333</v>
      </c>
      <c r="B226" s="5">
        <v>45412</v>
      </c>
      <c r="C226" s="6" t="s">
        <v>26</v>
      </c>
      <c r="D226" s="6" t="s">
        <v>163</v>
      </c>
      <c r="E226" s="6" t="s">
        <v>69</v>
      </c>
      <c r="F226" s="6" t="s">
        <v>29</v>
      </c>
      <c r="G226" s="6" t="s">
        <v>54</v>
      </c>
      <c r="H226" s="6" t="s">
        <v>55</v>
      </c>
      <c r="I226" s="6" t="s">
        <v>148</v>
      </c>
      <c r="J226" s="6" t="s">
        <v>57</v>
      </c>
      <c r="K226" s="6" t="s">
        <v>34</v>
      </c>
      <c r="L226" s="6">
        <v>8</v>
      </c>
      <c r="M226" s="7">
        <v>4680</v>
      </c>
      <c r="N226" s="8">
        <v>0.05</v>
      </c>
      <c r="O226" s="9">
        <v>3250</v>
      </c>
    </row>
    <row r="227" spans="1:15" ht="18" x14ac:dyDescent="0.35">
      <c r="A227" s="4" t="s">
        <v>334</v>
      </c>
      <c r="B227" s="5">
        <v>45412</v>
      </c>
      <c r="C227" s="6" t="s">
        <v>48</v>
      </c>
      <c r="D227" s="6" t="s">
        <v>93</v>
      </c>
      <c r="E227" s="6" t="s">
        <v>50</v>
      </c>
      <c r="F227" s="6" t="s">
        <v>19</v>
      </c>
      <c r="G227" s="6" t="s">
        <v>30</v>
      </c>
      <c r="H227" s="6" t="s">
        <v>61</v>
      </c>
      <c r="I227" s="6" t="s">
        <v>62</v>
      </c>
      <c r="J227" s="6" t="s">
        <v>57</v>
      </c>
      <c r="K227" s="6" t="s">
        <v>24</v>
      </c>
      <c r="L227" s="6">
        <v>29</v>
      </c>
      <c r="M227" s="7">
        <v>12490</v>
      </c>
      <c r="N227" s="8">
        <v>0.12</v>
      </c>
      <c r="O227" s="9">
        <v>7900</v>
      </c>
    </row>
    <row r="228" spans="1:15" ht="18" x14ac:dyDescent="0.35">
      <c r="A228" s="4" t="s">
        <v>335</v>
      </c>
      <c r="B228" s="5">
        <v>45412</v>
      </c>
      <c r="C228" s="6" t="s">
        <v>16</v>
      </c>
      <c r="D228" s="6" t="s">
        <v>17</v>
      </c>
      <c r="E228" s="6" t="s">
        <v>105</v>
      </c>
      <c r="F228" s="6" t="s">
        <v>19</v>
      </c>
      <c r="G228" s="6" t="s">
        <v>40</v>
      </c>
      <c r="H228" s="6" t="s">
        <v>64</v>
      </c>
      <c r="I228" s="6" t="s">
        <v>65</v>
      </c>
      <c r="J228" s="6" t="s">
        <v>23</v>
      </c>
      <c r="K228" s="6" t="s">
        <v>66</v>
      </c>
      <c r="L228" s="6">
        <v>25</v>
      </c>
      <c r="M228" s="7">
        <v>1930</v>
      </c>
      <c r="N228" s="8">
        <v>0.12</v>
      </c>
      <c r="O228" s="9">
        <v>1120</v>
      </c>
    </row>
    <row r="229" spans="1:15" ht="18" x14ac:dyDescent="0.35">
      <c r="A229" s="4" t="s">
        <v>336</v>
      </c>
      <c r="B229" s="5">
        <v>45412</v>
      </c>
      <c r="C229" s="6" t="s">
        <v>48</v>
      </c>
      <c r="D229" s="6" t="s">
        <v>68</v>
      </c>
      <c r="E229" s="6" t="s">
        <v>18</v>
      </c>
      <c r="F229" s="6" t="s">
        <v>39</v>
      </c>
      <c r="G229" s="6" t="s">
        <v>70</v>
      </c>
      <c r="H229" s="6" t="s">
        <v>71</v>
      </c>
      <c r="I229" s="6" t="s">
        <v>72</v>
      </c>
      <c r="J229" s="6" t="s">
        <v>23</v>
      </c>
      <c r="K229" s="6" t="s">
        <v>24</v>
      </c>
      <c r="L229" s="6">
        <v>35</v>
      </c>
      <c r="M229" s="7">
        <v>3499</v>
      </c>
      <c r="N229" s="8">
        <v>0.18</v>
      </c>
      <c r="O229" s="9">
        <v>2190</v>
      </c>
    </row>
    <row r="230" spans="1:15" ht="18" x14ac:dyDescent="0.35">
      <c r="A230" s="4" t="s">
        <v>337</v>
      </c>
      <c r="B230" s="5">
        <v>45413</v>
      </c>
      <c r="C230" s="6" t="s">
        <v>82</v>
      </c>
      <c r="D230" s="6" t="s">
        <v>183</v>
      </c>
      <c r="E230" s="6" t="s">
        <v>28</v>
      </c>
      <c r="F230" s="6" t="s">
        <v>39</v>
      </c>
      <c r="G230" s="6" t="s">
        <v>40</v>
      </c>
      <c r="H230" s="6" t="s">
        <v>41</v>
      </c>
      <c r="I230" s="6" t="s">
        <v>119</v>
      </c>
      <c r="J230" s="6" t="s">
        <v>23</v>
      </c>
      <c r="K230" s="6" t="s">
        <v>24</v>
      </c>
      <c r="L230" s="6">
        <v>6</v>
      </c>
      <c r="M230" s="7">
        <v>48990</v>
      </c>
      <c r="N230" s="8">
        <v>0.2</v>
      </c>
      <c r="O230" s="9">
        <v>30100</v>
      </c>
    </row>
    <row r="231" spans="1:15" ht="18" x14ac:dyDescent="0.35">
      <c r="A231" s="4" t="s">
        <v>338</v>
      </c>
      <c r="B231" s="5">
        <v>45413</v>
      </c>
      <c r="C231" s="6" t="s">
        <v>36</v>
      </c>
      <c r="D231" s="6" t="s">
        <v>121</v>
      </c>
      <c r="E231" s="6" t="s">
        <v>38</v>
      </c>
      <c r="F231" s="6" t="s">
        <v>19</v>
      </c>
      <c r="G231" s="6" t="s">
        <v>54</v>
      </c>
      <c r="H231" s="6" t="s">
        <v>55</v>
      </c>
      <c r="I231" s="6" t="s">
        <v>108</v>
      </c>
      <c r="J231" s="6" t="s">
        <v>23</v>
      </c>
      <c r="K231" s="6" t="s">
        <v>66</v>
      </c>
      <c r="L231" s="6">
        <v>10</v>
      </c>
      <c r="M231" s="7">
        <v>5890</v>
      </c>
      <c r="N231" s="8">
        <v>0.08</v>
      </c>
      <c r="O231" s="9">
        <v>3980</v>
      </c>
    </row>
    <row r="232" spans="1:15" ht="18" x14ac:dyDescent="0.35">
      <c r="A232" s="4" t="s">
        <v>339</v>
      </c>
      <c r="B232" s="5">
        <v>45415</v>
      </c>
      <c r="C232" s="6" t="s">
        <v>16</v>
      </c>
      <c r="D232" s="6" t="s">
        <v>98</v>
      </c>
      <c r="E232" s="6" t="s">
        <v>38</v>
      </c>
      <c r="F232" s="6" t="s">
        <v>29</v>
      </c>
      <c r="G232" s="6" t="s">
        <v>40</v>
      </c>
      <c r="H232" s="6" t="s">
        <v>41</v>
      </c>
      <c r="I232" s="6" t="s">
        <v>119</v>
      </c>
      <c r="J232" s="6" t="s">
        <v>57</v>
      </c>
      <c r="K232" s="6" t="s">
        <v>34</v>
      </c>
      <c r="L232" s="6">
        <v>36</v>
      </c>
      <c r="M232" s="7">
        <v>48990</v>
      </c>
      <c r="N232" s="8">
        <v>0.2</v>
      </c>
      <c r="O232" s="9">
        <v>30100</v>
      </c>
    </row>
    <row r="233" spans="1:15" ht="18" x14ac:dyDescent="0.35">
      <c r="A233" s="4" t="s">
        <v>340</v>
      </c>
      <c r="B233" s="5">
        <v>45416</v>
      </c>
      <c r="C233" s="6" t="s">
        <v>82</v>
      </c>
      <c r="D233" s="6" t="s">
        <v>100</v>
      </c>
      <c r="E233" s="6" t="s">
        <v>38</v>
      </c>
      <c r="F233" s="6" t="s">
        <v>19</v>
      </c>
      <c r="G233" s="6" t="s">
        <v>70</v>
      </c>
      <c r="H233" s="6" t="s">
        <v>71</v>
      </c>
      <c r="I233" s="6" t="s">
        <v>80</v>
      </c>
      <c r="J233" s="6" t="s">
        <v>33</v>
      </c>
      <c r="K233" s="6" t="s">
        <v>78</v>
      </c>
      <c r="L233" s="6">
        <v>38</v>
      </c>
      <c r="M233" s="7">
        <v>1299</v>
      </c>
      <c r="N233" s="8">
        <v>0.08</v>
      </c>
      <c r="O233" s="9">
        <v>720</v>
      </c>
    </row>
    <row r="234" spans="1:15" ht="18" x14ac:dyDescent="0.35">
      <c r="A234" s="4" t="s">
        <v>341</v>
      </c>
      <c r="B234" s="5">
        <v>45416</v>
      </c>
      <c r="C234" s="6" t="s">
        <v>48</v>
      </c>
      <c r="D234" s="6" t="s">
        <v>49</v>
      </c>
      <c r="E234" s="6" t="s">
        <v>101</v>
      </c>
      <c r="F234" s="6" t="s">
        <v>29</v>
      </c>
      <c r="G234" s="6" t="s">
        <v>20</v>
      </c>
      <c r="H234" s="6" t="s">
        <v>21</v>
      </c>
      <c r="I234" s="6" t="s">
        <v>22</v>
      </c>
      <c r="J234" s="6" t="s">
        <v>57</v>
      </c>
      <c r="K234" s="6" t="s">
        <v>78</v>
      </c>
      <c r="L234" s="6">
        <v>11</v>
      </c>
      <c r="M234" s="7">
        <v>4499</v>
      </c>
      <c r="N234" s="8">
        <v>0.12</v>
      </c>
      <c r="O234" s="9">
        <v>2910</v>
      </c>
    </row>
    <row r="235" spans="1:15" ht="18" x14ac:dyDescent="0.35">
      <c r="A235" s="4" t="s">
        <v>342</v>
      </c>
      <c r="B235" s="5">
        <v>45417</v>
      </c>
      <c r="C235" s="6" t="s">
        <v>82</v>
      </c>
      <c r="D235" s="6" t="s">
        <v>83</v>
      </c>
      <c r="E235" s="6" t="s">
        <v>105</v>
      </c>
      <c r="F235" s="6" t="s">
        <v>29</v>
      </c>
      <c r="G235" s="6" t="s">
        <v>30</v>
      </c>
      <c r="H235" s="6" t="s">
        <v>61</v>
      </c>
      <c r="I235" s="6" t="s">
        <v>62</v>
      </c>
      <c r="J235" s="6" t="s">
        <v>23</v>
      </c>
      <c r="K235" s="6" t="s">
        <v>24</v>
      </c>
      <c r="L235" s="6">
        <v>35</v>
      </c>
      <c r="M235" s="7">
        <v>12490</v>
      </c>
      <c r="N235" s="8">
        <v>0.18</v>
      </c>
      <c r="O235" s="9">
        <v>7900</v>
      </c>
    </row>
    <row r="236" spans="1:15" ht="18" x14ac:dyDescent="0.35">
      <c r="A236" s="4" t="s">
        <v>343</v>
      </c>
      <c r="B236" s="5">
        <v>45417</v>
      </c>
      <c r="C236" s="6" t="s">
        <v>48</v>
      </c>
      <c r="D236" s="6" t="s">
        <v>68</v>
      </c>
      <c r="E236" s="6" t="s">
        <v>69</v>
      </c>
      <c r="F236" s="6" t="s">
        <v>29</v>
      </c>
      <c r="G236" s="6" t="s">
        <v>20</v>
      </c>
      <c r="H236" s="6" t="s">
        <v>45</v>
      </c>
      <c r="I236" s="6" t="s">
        <v>103</v>
      </c>
      <c r="J236" s="6" t="s">
        <v>57</v>
      </c>
      <c r="K236" s="6" t="s">
        <v>24</v>
      </c>
      <c r="L236" s="6">
        <v>4</v>
      </c>
      <c r="M236" s="7">
        <v>1599</v>
      </c>
      <c r="N236" s="8">
        <v>0.18</v>
      </c>
      <c r="O236" s="9">
        <v>920</v>
      </c>
    </row>
    <row r="237" spans="1:15" ht="18" x14ac:dyDescent="0.35">
      <c r="A237" s="4" t="s">
        <v>344</v>
      </c>
      <c r="B237" s="5">
        <v>45419</v>
      </c>
      <c r="C237" s="6" t="s">
        <v>16</v>
      </c>
      <c r="D237" s="6" t="s">
        <v>17</v>
      </c>
      <c r="E237" s="6" t="s">
        <v>69</v>
      </c>
      <c r="F237" s="6" t="s">
        <v>29</v>
      </c>
      <c r="G237" s="6" t="s">
        <v>40</v>
      </c>
      <c r="H237" s="6" t="s">
        <v>76</v>
      </c>
      <c r="I237" s="6" t="s">
        <v>113</v>
      </c>
      <c r="J237" s="6" t="s">
        <v>33</v>
      </c>
      <c r="K237" s="6" t="s">
        <v>24</v>
      </c>
      <c r="L237" s="6">
        <v>14</v>
      </c>
      <c r="M237" s="7">
        <v>22999</v>
      </c>
      <c r="N237" s="8">
        <v>0.18</v>
      </c>
      <c r="O237" s="9">
        <v>15100</v>
      </c>
    </row>
    <row r="238" spans="1:15" ht="18" x14ac:dyDescent="0.35">
      <c r="A238" s="4" t="s">
        <v>345</v>
      </c>
      <c r="B238" s="5">
        <v>45419</v>
      </c>
      <c r="C238" s="6" t="s">
        <v>48</v>
      </c>
      <c r="D238" s="6" t="s">
        <v>49</v>
      </c>
      <c r="E238" s="6" t="s">
        <v>60</v>
      </c>
      <c r="F238" s="6" t="s">
        <v>39</v>
      </c>
      <c r="G238" s="6" t="s">
        <v>30</v>
      </c>
      <c r="H238" s="6" t="s">
        <v>61</v>
      </c>
      <c r="I238" s="6" t="s">
        <v>96</v>
      </c>
      <c r="J238" s="6" t="s">
        <v>57</v>
      </c>
      <c r="K238" s="6" t="s">
        <v>24</v>
      </c>
      <c r="L238" s="6">
        <v>6</v>
      </c>
      <c r="M238" s="7">
        <v>25110</v>
      </c>
      <c r="N238" s="8">
        <v>0.18</v>
      </c>
      <c r="O238" s="9">
        <v>16730</v>
      </c>
    </row>
    <row r="239" spans="1:15" ht="18" x14ac:dyDescent="0.35">
      <c r="A239" s="4" t="s">
        <v>346</v>
      </c>
      <c r="B239" s="5">
        <v>45420</v>
      </c>
      <c r="C239" s="6" t="s">
        <v>82</v>
      </c>
      <c r="D239" s="6" t="s">
        <v>100</v>
      </c>
      <c r="E239" s="6" t="s">
        <v>18</v>
      </c>
      <c r="F239" s="6" t="s">
        <v>19</v>
      </c>
      <c r="G239" s="6" t="s">
        <v>54</v>
      </c>
      <c r="H239" s="6" t="s">
        <v>129</v>
      </c>
      <c r="I239" s="6" t="s">
        <v>192</v>
      </c>
      <c r="J239" s="6" t="s">
        <v>57</v>
      </c>
      <c r="K239" s="6" t="s">
        <v>24</v>
      </c>
      <c r="L239" s="6">
        <v>9</v>
      </c>
      <c r="M239" s="7">
        <v>29010</v>
      </c>
      <c r="N239" s="8">
        <v>0.15</v>
      </c>
      <c r="O239" s="9">
        <v>19100</v>
      </c>
    </row>
    <row r="240" spans="1:15" ht="18" x14ac:dyDescent="0.35">
      <c r="A240" s="4" t="s">
        <v>347</v>
      </c>
      <c r="B240" s="5">
        <v>45421</v>
      </c>
      <c r="C240" s="6" t="s">
        <v>48</v>
      </c>
      <c r="D240" s="6" t="s">
        <v>49</v>
      </c>
      <c r="E240" s="6" t="s">
        <v>38</v>
      </c>
      <c r="F240" s="6" t="s">
        <v>29</v>
      </c>
      <c r="G240" s="6" t="s">
        <v>70</v>
      </c>
      <c r="H240" s="6" t="s">
        <v>71</v>
      </c>
      <c r="I240" s="6" t="s">
        <v>72</v>
      </c>
      <c r="J240" s="6" t="s">
        <v>33</v>
      </c>
      <c r="K240" s="6" t="s">
        <v>34</v>
      </c>
      <c r="L240" s="6">
        <v>37</v>
      </c>
      <c r="M240" s="7">
        <v>3499</v>
      </c>
      <c r="N240" s="8">
        <v>0.2</v>
      </c>
      <c r="O240" s="9">
        <v>2190</v>
      </c>
    </row>
    <row r="241" spans="1:15" ht="18" x14ac:dyDescent="0.35">
      <c r="A241" s="4" t="s">
        <v>348</v>
      </c>
      <c r="B241" s="5">
        <v>45422</v>
      </c>
      <c r="C241" s="6" t="s">
        <v>16</v>
      </c>
      <c r="D241" s="6" t="s">
        <v>111</v>
      </c>
      <c r="E241" s="6" t="s">
        <v>84</v>
      </c>
      <c r="F241" s="6" t="s">
        <v>29</v>
      </c>
      <c r="G241" s="6" t="s">
        <v>54</v>
      </c>
      <c r="H241" s="6" t="s">
        <v>90</v>
      </c>
      <c r="I241" s="6" t="s">
        <v>134</v>
      </c>
      <c r="J241" s="6" t="s">
        <v>23</v>
      </c>
      <c r="K241" s="6" t="s">
        <v>66</v>
      </c>
      <c r="L241" s="6">
        <v>27</v>
      </c>
      <c r="M241" s="7">
        <v>32800</v>
      </c>
      <c r="N241" s="8">
        <v>0.05</v>
      </c>
      <c r="O241" s="9">
        <v>23100</v>
      </c>
    </row>
    <row r="242" spans="1:15" ht="18" x14ac:dyDescent="0.35">
      <c r="A242" s="4" t="s">
        <v>349</v>
      </c>
      <c r="B242" s="5">
        <v>45422</v>
      </c>
      <c r="C242" s="6" t="s">
        <v>16</v>
      </c>
      <c r="D242" s="6" t="s">
        <v>111</v>
      </c>
      <c r="E242" s="6" t="s">
        <v>38</v>
      </c>
      <c r="F242" s="6" t="s">
        <v>39</v>
      </c>
      <c r="G242" s="6" t="s">
        <v>40</v>
      </c>
      <c r="H242" s="6" t="s">
        <v>76</v>
      </c>
      <c r="I242" s="6" t="s">
        <v>139</v>
      </c>
      <c r="J242" s="6" t="s">
        <v>23</v>
      </c>
      <c r="K242" s="6" t="s">
        <v>24</v>
      </c>
      <c r="L242" s="6">
        <v>4</v>
      </c>
      <c r="M242" s="7">
        <v>25999</v>
      </c>
      <c r="N242" s="8">
        <v>0.08</v>
      </c>
      <c r="O242" s="9">
        <v>17800</v>
      </c>
    </row>
    <row r="243" spans="1:15" ht="18" x14ac:dyDescent="0.35">
      <c r="A243" s="4" t="s">
        <v>350</v>
      </c>
      <c r="B243" s="5">
        <v>45423</v>
      </c>
      <c r="C243" s="6" t="s">
        <v>26</v>
      </c>
      <c r="D243" s="6" t="s">
        <v>27</v>
      </c>
      <c r="E243" s="6" t="s">
        <v>28</v>
      </c>
      <c r="F243" s="6" t="s">
        <v>39</v>
      </c>
      <c r="G243" s="6" t="s">
        <v>30</v>
      </c>
      <c r="H243" s="6" t="s">
        <v>31</v>
      </c>
      <c r="I243" s="6" t="s">
        <v>32</v>
      </c>
      <c r="J243" s="6" t="s">
        <v>57</v>
      </c>
      <c r="K243" s="6" t="s">
        <v>78</v>
      </c>
      <c r="L243" s="6">
        <v>36</v>
      </c>
      <c r="M243" s="7">
        <v>38990</v>
      </c>
      <c r="N243" s="8">
        <v>0.2</v>
      </c>
      <c r="O243" s="9">
        <v>25400</v>
      </c>
    </row>
    <row r="244" spans="1:15" ht="18" x14ac:dyDescent="0.35">
      <c r="A244" s="4" t="s">
        <v>351</v>
      </c>
      <c r="B244" s="5">
        <v>45424</v>
      </c>
      <c r="C244" s="6" t="s">
        <v>16</v>
      </c>
      <c r="D244" s="6" t="s">
        <v>126</v>
      </c>
      <c r="E244" s="6" t="s">
        <v>50</v>
      </c>
      <c r="F244" s="6" t="s">
        <v>39</v>
      </c>
      <c r="G244" s="6" t="s">
        <v>70</v>
      </c>
      <c r="H244" s="6" t="s">
        <v>71</v>
      </c>
      <c r="I244" s="6" t="s">
        <v>88</v>
      </c>
      <c r="J244" s="6" t="s">
        <v>57</v>
      </c>
      <c r="K244" s="6" t="s">
        <v>24</v>
      </c>
      <c r="L244" s="6">
        <v>31</v>
      </c>
      <c r="M244" s="7">
        <v>999</v>
      </c>
      <c r="N244" s="8">
        <v>0.12</v>
      </c>
      <c r="O244" s="9">
        <v>540</v>
      </c>
    </row>
    <row r="245" spans="1:15" ht="18" x14ac:dyDescent="0.35">
      <c r="A245" s="4" t="s">
        <v>352</v>
      </c>
      <c r="B245" s="5">
        <v>45424</v>
      </c>
      <c r="C245" s="6" t="s">
        <v>26</v>
      </c>
      <c r="D245" s="6" t="s">
        <v>27</v>
      </c>
      <c r="E245" s="6" t="s">
        <v>60</v>
      </c>
      <c r="F245" s="6" t="s">
        <v>39</v>
      </c>
      <c r="G245" s="6" t="s">
        <v>20</v>
      </c>
      <c r="H245" s="6" t="s">
        <v>21</v>
      </c>
      <c r="I245" s="6" t="s">
        <v>22</v>
      </c>
      <c r="J245" s="6" t="s">
        <v>23</v>
      </c>
      <c r="K245" s="6" t="s">
        <v>24</v>
      </c>
      <c r="L245" s="6">
        <v>29</v>
      </c>
      <c r="M245" s="7">
        <v>4499</v>
      </c>
      <c r="N245" s="8">
        <v>0.18</v>
      </c>
      <c r="O245" s="9">
        <v>2910</v>
      </c>
    </row>
    <row r="246" spans="1:15" ht="18" x14ac:dyDescent="0.35">
      <c r="A246" s="4" t="s">
        <v>353</v>
      </c>
      <c r="B246" s="5">
        <v>45425</v>
      </c>
      <c r="C246" s="6" t="s">
        <v>16</v>
      </c>
      <c r="D246" s="6" t="s">
        <v>111</v>
      </c>
      <c r="E246" s="6" t="s">
        <v>105</v>
      </c>
      <c r="F246" s="6" t="s">
        <v>19</v>
      </c>
      <c r="G246" s="6" t="s">
        <v>54</v>
      </c>
      <c r="H246" s="6" t="s">
        <v>129</v>
      </c>
      <c r="I246" s="6" t="s">
        <v>192</v>
      </c>
      <c r="J246" s="6" t="s">
        <v>57</v>
      </c>
      <c r="K246" s="6" t="s">
        <v>34</v>
      </c>
      <c r="L246" s="6">
        <v>37</v>
      </c>
      <c r="M246" s="7">
        <v>29010</v>
      </c>
      <c r="N246" s="8">
        <v>0.05</v>
      </c>
      <c r="O246" s="9">
        <v>19100</v>
      </c>
    </row>
    <row r="247" spans="1:15" ht="18" x14ac:dyDescent="0.35">
      <c r="A247" s="4" t="s">
        <v>354</v>
      </c>
      <c r="B247" s="5">
        <v>45425</v>
      </c>
      <c r="C247" s="6" t="s">
        <v>36</v>
      </c>
      <c r="D247" s="6" t="s">
        <v>59</v>
      </c>
      <c r="E247" s="6" t="s">
        <v>105</v>
      </c>
      <c r="F247" s="6" t="s">
        <v>19</v>
      </c>
      <c r="G247" s="6" t="s">
        <v>70</v>
      </c>
      <c r="H247" s="6" t="s">
        <v>71</v>
      </c>
      <c r="I247" s="6" t="s">
        <v>80</v>
      </c>
      <c r="J247" s="6" t="s">
        <v>57</v>
      </c>
      <c r="K247" s="6" t="s">
        <v>24</v>
      </c>
      <c r="L247" s="6">
        <v>24</v>
      </c>
      <c r="M247" s="7">
        <v>1299</v>
      </c>
      <c r="N247" s="8">
        <v>0.12</v>
      </c>
      <c r="O247" s="9">
        <v>720</v>
      </c>
    </row>
    <row r="248" spans="1:15" ht="18" x14ac:dyDescent="0.35">
      <c r="A248" s="4" t="s">
        <v>355</v>
      </c>
      <c r="B248" s="5">
        <v>45426</v>
      </c>
      <c r="C248" s="6" t="s">
        <v>16</v>
      </c>
      <c r="D248" s="6" t="s">
        <v>98</v>
      </c>
      <c r="E248" s="6" t="s">
        <v>38</v>
      </c>
      <c r="F248" s="6" t="s">
        <v>19</v>
      </c>
      <c r="G248" s="6" t="s">
        <v>54</v>
      </c>
      <c r="H248" s="6" t="s">
        <v>90</v>
      </c>
      <c r="I248" s="6" t="s">
        <v>258</v>
      </c>
      <c r="J248" s="6" t="s">
        <v>57</v>
      </c>
      <c r="K248" s="6" t="s">
        <v>24</v>
      </c>
      <c r="L248" s="6">
        <v>29</v>
      </c>
      <c r="M248" s="7">
        <v>29010</v>
      </c>
      <c r="N248" s="8">
        <v>0.05</v>
      </c>
      <c r="O248" s="9">
        <v>19150</v>
      </c>
    </row>
    <row r="249" spans="1:15" ht="18" x14ac:dyDescent="0.35">
      <c r="A249" s="4" t="s">
        <v>356</v>
      </c>
      <c r="B249" s="5">
        <v>45426</v>
      </c>
      <c r="C249" s="6" t="s">
        <v>26</v>
      </c>
      <c r="D249" s="6" t="s">
        <v>27</v>
      </c>
      <c r="E249" s="6" t="s">
        <v>84</v>
      </c>
      <c r="F249" s="6" t="s">
        <v>29</v>
      </c>
      <c r="G249" s="6" t="s">
        <v>20</v>
      </c>
      <c r="H249" s="6" t="s">
        <v>21</v>
      </c>
      <c r="I249" s="6" t="s">
        <v>115</v>
      </c>
      <c r="J249" s="6" t="s">
        <v>57</v>
      </c>
      <c r="K249" s="6" t="s">
        <v>78</v>
      </c>
      <c r="L249" s="6">
        <v>6</v>
      </c>
      <c r="M249" s="7">
        <v>6499</v>
      </c>
      <c r="N249" s="8">
        <v>0.05</v>
      </c>
      <c r="O249" s="9">
        <v>4210</v>
      </c>
    </row>
    <row r="250" spans="1:15" ht="18" x14ac:dyDescent="0.35">
      <c r="A250" s="4" t="s">
        <v>357</v>
      </c>
      <c r="B250" s="5">
        <v>45426</v>
      </c>
      <c r="C250" s="6" t="s">
        <v>26</v>
      </c>
      <c r="D250" s="6" t="s">
        <v>74</v>
      </c>
      <c r="E250" s="6" t="s">
        <v>69</v>
      </c>
      <c r="F250" s="6" t="s">
        <v>29</v>
      </c>
      <c r="G250" s="6" t="s">
        <v>54</v>
      </c>
      <c r="H250" s="6" t="s">
        <v>129</v>
      </c>
      <c r="I250" s="6" t="s">
        <v>130</v>
      </c>
      <c r="J250" s="6" t="s">
        <v>23</v>
      </c>
      <c r="K250" s="6" t="s">
        <v>34</v>
      </c>
      <c r="L250" s="6">
        <v>25</v>
      </c>
      <c r="M250" s="7">
        <v>27890</v>
      </c>
      <c r="N250" s="8">
        <v>0.08</v>
      </c>
      <c r="O250" s="9">
        <v>18800</v>
      </c>
    </row>
    <row r="251" spans="1:15" ht="18" x14ac:dyDescent="0.35">
      <c r="A251" s="4" t="s">
        <v>358</v>
      </c>
      <c r="B251" s="5">
        <v>45426</v>
      </c>
      <c r="C251" s="6" t="s">
        <v>26</v>
      </c>
      <c r="D251" s="6" t="s">
        <v>163</v>
      </c>
      <c r="E251" s="6" t="s">
        <v>50</v>
      </c>
      <c r="F251" s="6" t="s">
        <v>39</v>
      </c>
      <c r="G251" s="6" t="s">
        <v>54</v>
      </c>
      <c r="H251" s="6" t="s">
        <v>55</v>
      </c>
      <c r="I251" s="6" t="s">
        <v>108</v>
      </c>
      <c r="J251" s="6" t="s">
        <v>33</v>
      </c>
      <c r="K251" s="6" t="s">
        <v>34</v>
      </c>
      <c r="L251" s="6">
        <v>19</v>
      </c>
      <c r="M251" s="7">
        <v>5890</v>
      </c>
      <c r="N251" s="8">
        <v>0.2</v>
      </c>
      <c r="O251" s="9">
        <v>3980</v>
      </c>
    </row>
    <row r="252" spans="1:15" ht="18" x14ac:dyDescent="0.35">
      <c r="A252" s="4" t="s">
        <v>359</v>
      </c>
      <c r="B252" s="5">
        <v>45427</v>
      </c>
      <c r="C252" s="6" t="s">
        <v>82</v>
      </c>
      <c r="D252" s="6" t="s">
        <v>87</v>
      </c>
      <c r="E252" s="6" t="s">
        <v>28</v>
      </c>
      <c r="F252" s="6" t="s">
        <v>19</v>
      </c>
      <c r="G252" s="6" t="s">
        <v>54</v>
      </c>
      <c r="H252" s="6" t="s">
        <v>90</v>
      </c>
      <c r="I252" s="6" t="s">
        <v>134</v>
      </c>
      <c r="J252" s="6" t="s">
        <v>33</v>
      </c>
      <c r="K252" s="6" t="s">
        <v>34</v>
      </c>
      <c r="L252" s="6">
        <v>1</v>
      </c>
      <c r="M252" s="7">
        <v>32800</v>
      </c>
      <c r="N252" s="8">
        <v>0.12</v>
      </c>
      <c r="O252" s="9">
        <v>23100</v>
      </c>
    </row>
    <row r="253" spans="1:15" ht="18" x14ac:dyDescent="0.35">
      <c r="A253" s="4" t="s">
        <v>360</v>
      </c>
      <c r="B253" s="5">
        <v>45427</v>
      </c>
      <c r="C253" s="6" t="s">
        <v>36</v>
      </c>
      <c r="D253" s="6" t="s">
        <v>37</v>
      </c>
      <c r="E253" s="6" t="s">
        <v>50</v>
      </c>
      <c r="F253" s="6" t="s">
        <v>29</v>
      </c>
      <c r="G253" s="6" t="s">
        <v>20</v>
      </c>
      <c r="H253" s="6" t="s">
        <v>45</v>
      </c>
      <c r="I253" s="6" t="s">
        <v>103</v>
      </c>
      <c r="J253" s="6" t="s">
        <v>33</v>
      </c>
      <c r="K253" s="6" t="s">
        <v>66</v>
      </c>
      <c r="L253" s="6">
        <v>21</v>
      </c>
      <c r="M253" s="7">
        <v>1599</v>
      </c>
      <c r="N253" s="8">
        <v>0.08</v>
      </c>
      <c r="O253" s="9">
        <v>920</v>
      </c>
    </row>
    <row r="254" spans="1:15" ht="18" x14ac:dyDescent="0.35">
      <c r="A254" s="4" t="s">
        <v>361</v>
      </c>
      <c r="B254" s="5">
        <v>45427</v>
      </c>
      <c r="C254" s="6" t="s">
        <v>36</v>
      </c>
      <c r="D254" s="6" t="s">
        <v>59</v>
      </c>
      <c r="E254" s="6" t="s">
        <v>50</v>
      </c>
      <c r="F254" s="6" t="s">
        <v>39</v>
      </c>
      <c r="G254" s="6" t="s">
        <v>70</v>
      </c>
      <c r="H254" s="6" t="s">
        <v>71</v>
      </c>
      <c r="I254" s="6" t="s">
        <v>88</v>
      </c>
      <c r="J254" s="6" t="s">
        <v>23</v>
      </c>
      <c r="K254" s="6" t="s">
        <v>24</v>
      </c>
      <c r="L254" s="6">
        <v>7</v>
      </c>
      <c r="M254" s="7">
        <v>999</v>
      </c>
      <c r="N254" s="8">
        <v>0.08</v>
      </c>
      <c r="O254" s="9">
        <v>540</v>
      </c>
    </row>
    <row r="255" spans="1:15" ht="18" x14ac:dyDescent="0.35">
      <c r="A255" s="4" t="s">
        <v>362</v>
      </c>
      <c r="B255" s="5">
        <v>45427</v>
      </c>
      <c r="C255" s="6" t="s">
        <v>16</v>
      </c>
      <c r="D255" s="6" t="s">
        <v>111</v>
      </c>
      <c r="E255" s="6" t="s">
        <v>38</v>
      </c>
      <c r="F255" s="6" t="s">
        <v>19</v>
      </c>
      <c r="G255" s="6" t="s">
        <v>70</v>
      </c>
      <c r="H255" s="6" t="s">
        <v>71</v>
      </c>
      <c r="I255" s="6" t="s">
        <v>80</v>
      </c>
      <c r="J255" s="6" t="s">
        <v>33</v>
      </c>
      <c r="K255" s="6" t="s">
        <v>24</v>
      </c>
      <c r="L255" s="6">
        <v>12</v>
      </c>
      <c r="M255" s="7">
        <v>1299</v>
      </c>
      <c r="N255" s="8">
        <v>0.15</v>
      </c>
      <c r="O255" s="9">
        <v>720</v>
      </c>
    </row>
    <row r="256" spans="1:15" ht="18" x14ac:dyDescent="0.35">
      <c r="A256" s="4" t="s">
        <v>363</v>
      </c>
      <c r="B256" s="5">
        <v>45427</v>
      </c>
      <c r="C256" s="6" t="s">
        <v>82</v>
      </c>
      <c r="D256" s="6" t="s">
        <v>183</v>
      </c>
      <c r="E256" s="6" t="s">
        <v>75</v>
      </c>
      <c r="F256" s="6" t="s">
        <v>29</v>
      </c>
      <c r="G256" s="6" t="s">
        <v>40</v>
      </c>
      <c r="H256" s="6" t="s">
        <v>76</v>
      </c>
      <c r="I256" s="6" t="s">
        <v>139</v>
      </c>
      <c r="J256" s="6" t="s">
        <v>23</v>
      </c>
      <c r="K256" s="6" t="s">
        <v>24</v>
      </c>
      <c r="L256" s="6">
        <v>2</v>
      </c>
      <c r="M256" s="7">
        <v>25999</v>
      </c>
      <c r="N256" s="8">
        <v>0.08</v>
      </c>
      <c r="O256" s="9">
        <v>17800</v>
      </c>
    </row>
    <row r="257" spans="1:15" ht="18" x14ac:dyDescent="0.35">
      <c r="A257" s="4" t="s">
        <v>364</v>
      </c>
      <c r="B257" s="5">
        <v>45427</v>
      </c>
      <c r="C257" s="6" t="s">
        <v>26</v>
      </c>
      <c r="D257" s="6" t="s">
        <v>74</v>
      </c>
      <c r="E257" s="6" t="s">
        <v>105</v>
      </c>
      <c r="F257" s="6" t="s">
        <v>19</v>
      </c>
      <c r="G257" s="6" t="s">
        <v>40</v>
      </c>
      <c r="H257" s="6" t="s">
        <v>64</v>
      </c>
      <c r="I257" s="6" t="s">
        <v>159</v>
      </c>
      <c r="J257" s="6" t="s">
        <v>33</v>
      </c>
      <c r="K257" s="6" t="s">
        <v>34</v>
      </c>
      <c r="L257" s="6">
        <v>20</v>
      </c>
      <c r="M257" s="7">
        <v>3299</v>
      </c>
      <c r="N257" s="8">
        <v>0.12</v>
      </c>
      <c r="O257" s="9">
        <v>2050</v>
      </c>
    </row>
    <row r="258" spans="1:15" ht="18" x14ac:dyDescent="0.35">
      <c r="A258" s="4" t="s">
        <v>365</v>
      </c>
      <c r="B258" s="5">
        <v>45429</v>
      </c>
      <c r="C258" s="6" t="s">
        <v>48</v>
      </c>
      <c r="D258" s="6" t="s">
        <v>93</v>
      </c>
      <c r="E258" s="6" t="s">
        <v>18</v>
      </c>
      <c r="F258" s="6" t="s">
        <v>39</v>
      </c>
      <c r="G258" s="6" t="s">
        <v>70</v>
      </c>
      <c r="H258" s="6" t="s">
        <v>71</v>
      </c>
      <c r="I258" s="6" t="s">
        <v>72</v>
      </c>
      <c r="J258" s="6" t="s">
        <v>23</v>
      </c>
      <c r="K258" s="6" t="s">
        <v>66</v>
      </c>
      <c r="L258" s="6">
        <v>35</v>
      </c>
      <c r="M258" s="7">
        <v>3499</v>
      </c>
      <c r="N258" s="8">
        <v>0.2</v>
      </c>
      <c r="O258" s="9">
        <v>2190</v>
      </c>
    </row>
    <row r="259" spans="1:15" ht="18" x14ac:dyDescent="0.35">
      <c r="A259" s="4" t="s">
        <v>366</v>
      </c>
      <c r="B259" s="5">
        <v>45430</v>
      </c>
      <c r="C259" s="6" t="s">
        <v>48</v>
      </c>
      <c r="D259" s="6" t="s">
        <v>49</v>
      </c>
      <c r="E259" s="6" t="s">
        <v>50</v>
      </c>
      <c r="F259" s="6" t="s">
        <v>39</v>
      </c>
      <c r="G259" s="6" t="s">
        <v>70</v>
      </c>
      <c r="H259" s="6" t="s">
        <v>71</v>
      </c>
      <c r="I259" s="6" t="s">
        <v>80</v>
      </c>
      <c r="J259" s="6" t="s">
        <v>23</v>
      </c>
      <c r="K259" s="6" t="s">
        <v>24</v>
      </c>
      <c r="L259" s="6">
        <v>36</v>
      </c>
      <c r="M259" s="7">
        <v>1299</v>
      </c>
      <c r="N259" s="8">
        <v>0.1</v>
      </c>
      <c r="O259" s="9">
        <v>720</v>
      </c>
    </row>
    <row r="260" spans="1:15" ht="18" x14ac:dyDescent="0.35">
      <c r="A260" s="4" t="s">
        <v>367</v>
      </c>
      <c r="B260" s="5">
        <v>45430</v>
      </c>
      <c r="C260" s="6" t="s">
        <v>82</v>
      </c>
      <c r="D260" s="6" t="s">
        <v>183</v>
      </c>
      <c r="E260" s="6" t="s">
        <v>50</v>
      </c>
      <c r="F260" s="6" t="s">
        <v>19</v>
      </c>
      <c r="G260" s="6" t="s">
        <v>20</v>
      </c>
      <c r="H260" s="6" t="s">
        <v>45</v>
      </c>
      <c r="I260" s="6" t="s">
        <v>196</v>
      </c>
      <c r="J260" s="6" t="s">
        <v>33</v>
      </c>
      <c r="K260" s="6" t="s">
        <v>24</v>
      </c>
      <c r="L260" s="6">
        <v>10</v>
      </c>
      <c r="M260" s="7">
        <v>2499</v>
      </c>
      <c r="N260" s="8">
        <v>0.18</v>
      </c>
      <c r="O260" s="9">
        <v>1510</v>
      </c>
    </row>
    <row r="261" spans="1:15" ht="18" x14ac:dyDescent="0.35">
      <c r="A261" s="4" t="s">
        <v>368</v>
      </c>
      <c r="B261" s="5">
        <v>45431</v>
      </c>
      <c r="C261" s="6" t="s">
        <v>82</v>
      </c>
      <c r="D261" s="6" t="s">
        <v>83</v>
      </c>
      <c r="E261" s="6" t="s">
        <v>38</v>
      </c>
      <c r="F261" s="6" t="s">
        <v>19</v>
      </c>
      <c r="G261" s="6" t="s">
        <v>54</v>
      </c>
      <c r="H261" s="6" t="s">
        <v>90</v>
      </c>
      <c r="I261" s="6" t="s">
        <v>258</v>
      </c>
      <c r="J261" s="6" t="s">
        <v>33</v>
      </c>
      <c r="K261" s="6" t="s">
        <v>66</v>
      </c>
      <c r="L261" s="6">
        <v>19</v>
      </c>
      <c r="M261" s="7">
        <v>29010</v>
      </c>
      <c r="N261" s="8">
        <v>0.08</v>
      </c>
      <c r="O261" s="9">
        <v>19150</v>
      </c>
    </row>
    <row r="262" spans="1:15" ht="18" x14ac:dyDescent="0.35">
      <c r="A262" s="4" t="s">
        <v>369</v>
      </c>
      <c r="B262" s="5">
        <v>45431</v>
      </c>
      <c r="C262" s="6" t="s">
        <v>26</v>
      </c>
      <c r="D262" s="6" t="s">
        <v>53</v>
      </c>
      <c r="E262" s="6" t="s">
        <v>84</v>
      </c>
      <c r="F262" s="6" t="s">
        <v>29</v>
      </c>
      <c r="G262" s="6" t="s">
        <v>54</v>
      </c>
      <c r="H262" s="6" t="s">
        <v>90</v>
      </c>
      <c r="I262" s="6" t="s">
        <v>134</v>
      </c>
      <c r="J262" s="6" t="s">
        <v>23</v>
      </c>
      <c r="K262" s="6" t="s">
        <v>34</v>
      </c>
      <c r="L262" s="6">
        <v>40</v>
      </c>
      <c r="M262" s="7">
        <v>32800</v>
      </c>
      <c r="N262" s="8">
        <v>0.12</v>
      </c>
      <c r="O262" s="9">
        <v>23100</v>
      </c>
    </row>
    <row r="263" spans="1:15" ht="18" x14ac:dyDescent="0.35">
      <c r="A263" s="4" t="s">
        <v>370</v>
      </c>
      <c r="B263" s="5">
        <v>45431</v>
      </c>
      <c r="C263" s="6" t="s">
        <v>48</v>
      </c>
      <c r="D263" s="6" t="s">
        <v>136</v>
      </c>
      <c r="E263" s="6" t="s">
        <v>84</v>
      </c>
      <c r="F263" s="6" t="s">
        <v>19</v>
      </c>
      <c r="G263" s="6" t="s">
        <v>40</v>
      </c>
      <c r="H263" s="6" t="s">
        <v>41</v>
      </c>
      <c r="I263" s="6" t="s">
        <v>42</v>
      </c>
      <c r="J263" s="6" t="s">
        <v>33</v>
      </c>
      <c r="K263" s="6" t="s">
        <v>24</v>
      </c>
      <c r="L263" s="6">
        <v>33</v>
      </c>
      <c r="M263" s="7">
        <v>55230</v>
      </c>
      <c r="N263" s="8">
        <v>0.2</v>
      </c>
      <c r="O263" s="9">
        <v>33800</v>
      </c>
    </row>
    <row r="264" spans="1:15" ht="18" x14ac:dyDescent="0.35">
      <c r="A264" s="4" t="s">
        <v>371</v>
      </c>
      <c r="B264" s="5">
        <v>45432</v>
      </c>
      <c r="C264" s="6" t="s">
        <v>36</v>
      </c>
      <c r="D264" s="6" t="s">
        <v>59</v>
      </c>
      <c r="E264" s="6" t="s">
        <v>105</v>
      </c>
      <c r="F264" s="6" t="s">
        <v>29</v>
      </c>
      <c r="G264" s="6" t="s">
        <v>20</v>
      </c>
      <c r="H264" s="6" t="s">
        <v>21</v>
      </c>
      <c r="I264" s="6" t="s">
        <v>51</v>
      </c>
      <c r="J264" s="6" t="s">
        <v>57</v>
      </c>
      <c r="K264" s="6" t="s">
        <v>66</v>
      </c>
      <c r="L264" s="6">
        <v>20</v>
      </c>
      <c r="M264" s="7">
        <v>5999</v>
      </c>
      <c r="N264" s="8">
        <v>0.2</v>
      </c>
      <c r="O264" s="9">
        <v>3890</v>
      </c>
    </row>
    <row r="265" spans="1:15" ht="18" x14ac:dyDescent="0.35">
      <c r="A265" s="4" t="s">
        <v>372</v>
      </c>
      <c r="B265" s="5">
        <v>45432</v>
      </c>
      <c r="C265" s="6" t="s">
        <v>36</v>
      </c>
      <c r="D265" s="6" t="s">
        <v>44</v>
      </c>
      <c r="E265" s="6" t="s">
        <v>28</v>
      </c>
      <c r="F265" s="6" t="s">
        <v>29</v>
      </c>
      <c r="G265" s="6" t="s">
        <v>40</v>
      </c>
      <c r="H265" s="6" t="s">
        <v>64</v>
      </c>
      <c r="I265" s="6" t="s">
        <v>153</v>
      </c>
      <c r="J265" s="6" t="s">
        <v>57</v>
      </c>
      <c r="K265" s="6" t="s">
        <v>24</v>
      </c>
      <c r="L265" s="6">
        <v>2</v>
      </c>
      <c r="M265" s="7">
        <v>4490</v>
      </c>
      <c r="N265" s="8">
        <v>0.15</v>
      </c>
      <c r="O265" s="9">
        <v>2950</v>
      </c>
    </row>
    <row r="266" spans="1:15" ht="18" x14ac:dyDescent="0.35">
      <c r="A266" s="4" t="s">
        <v>373</v>
      </c>
      <c r="B266" s="5">
        <v>45432</v>
      </c>
      <c r="C266" s="6" t="s">
        <v>26</v>
      </c>
      <c r="D266" s="6" t="s">
        <v>74</v>
      </c>
      <c r="E266" s="6" t="s">
        <v>75</v>
      </c>
      <c r="F266" s="6" t="s">
        <v>19</v>
      </c>
      <c r="G266" s="6" t="s">
        <v>54</v>
      </c>
      <c r="H266" s="6" t="s">
        <v>129</v>
      </c>
      <c r="I266" s="6" t="s">
        <v>192</v>
      </c>
      <c r="J266" s="6" t="s">
        <v>23</v>
      </c>
      <c r="K266" s="6" t="s">
        <v>24</v>
      </c>
      <c r="L266" s="6">
        <v>11</v>
      </c>
      <c r="M266" s="7">
        <v>29010</v>
      </c>
      <c r="N266" s="8">
        <v>0.2</v>
      </c>
      <c r="O266" s="9">
        <v>19100</v>
      </c>
    </row>
    <row r="267" spans="1:15" ht="18" x14ac:dyDescent="0.35">
      <c r="A267" s="4" t="s">
        <v>374</v>
      </c>
      <c r="B267" s="5">
        <v>45432</v>
      </c>
      <c r="C267" s="6" t="s">
        <v>82</v>
      </c>
      <c r="D267" s="6" t="s">
        <v>83</v>
      </c>
      <c r="E267" s="6" t="s">
        <v>101</v>
      </c>
      <c r="F267" s="6" t="s">
        <v>39</v>
      </c>
      <c r="G267" s="6" t="s">
        <v>30</v>
      </c>
      <c r="H267" s="6" t="s">
        <v>31</v>
      </c>
      <c r="I267" s="6" t="s">
        <v>106</v>
      </c>
      <c r="J267" s="6" t="s">
        <v>33</v>
      </c>
      <c r="K267" s="6" t="s">
        <v>24</v>
      </c>
      <c r="L267" s="6">
        <v>10</v>
      </c>
      <c r="M267" s="7">
        <v>52990</v>
      </c>
      <c r="N267" s="8">
        <v>0.08</v>
      </c>
      <c r="O267" s="9">
        <v>35100</v>
      </c>
    </row>
    <row r="268" spans="1:15" ht="18" x14ac:dyDescent="0.35">
      <c r="A268" s="4" t="s">
        <v>375</v>
      </c>
      <c r="B268" s="5">
        <v>45433</v>
      </c>
      <c r="C268" s="6" t="s">
        <v>48</v>
      </c>
      <c r="D268" s="6" t="s">
        <v>136</v>
      </c>
      <c r="E268" s="6" t="s">
        <v>50</v>
      </c>
      <c r="F268" s="6" t="s">
        <v>29</v>
      </c>
      <c r="G268" s="6" t="s">
        <v>40</v>
      </c>
      <c r="H268" s="6" t="s">
        <v>76</v>
      </c>
      <c r="I268" s="6" t="s">
        <v>139</v>
      </c>
      <c r="J268" s="6" t="s">
        <v>23</v>
      </c>
      <c r="K268" s="6" t="s">
        <v>24</v>
      </c>
      <c r="L268" s="6">
        <v>11</v>
      </c>
      <c r="M268" s="7">
        <v>25999</v>
      </c>
      <c r="N268" s="8">
        <v>0.05</v>
      </c>
      <c r="O268" s="9">
        <v>17800</v>
      </c>
    </row>
    <row r="269" spans="1:15" ht="18" x14ac:dyDescent="0.35">
      <c r="A269" s="4" t="s">
        <v>376</v>
      </c>
      <c r="B269" s="5">
        <v>45433</v>
      </c>
      <c r="C269" s="6" t="s">
        <v>26</v>
      </c>
      <c r="D269" s="6" t="s">
        <v>27</v>
      </c>
      <c r="E269" s="6" t="s">
        <v>101</v>
      </c>
      <c r="F269" s="6" t="s">
        <v>19</v>
      </c>
      <c r="G269" s="6" t="s">
        <v>54</v>
      </c>
      <c r="H269" s="6" t="s">
        <v>90</v>
      </c>
      <c r="I269" s="6" t="s">
        <v>91</v>
      </c>
      <c r="J269" s="6" t="s">
        <v>23</v>
      </c>
      <c r="K269" s="6" t="s">
        <v>24</v>
      </c>
      <c r="L269" s="6">
        <v>2</v>
      </c>
      <c r="M269" s="7">
        <v>31990</v>
      </c>
      <c r="N269" s="8">
        <v>0.05</v>
      </c>
      <c r="O269" s="9">
        <v>21800</v>
      </c>
    </row>
    <row r="270" spans="1:15" ht="18" x14ac:dyDescent="0.35">
      <c r="A270" s="4" t="s">
        <v>377</v>
      </c>
      <c r="B270" s="5">
        <v>45434</v>
      </c>
      <c r="C270" s="6" t="s">
        <v>36</v>
      </c>
      <c r="D270" s="6" t="s">
        <v>44</v>
      </c>
      <c r="E270" s="6" t="s">
        <v>18</v>
      </c>
      <c r="F270" s="6" t="s">
        <v>19</v>
      </c>
      <c r="G270" s="6" t="s">
        <v>70</v>
      </c>
      <c r="H270" s="6" t="s">
        <v>71</v>
      </c>
      <c r="I270" s="6" t="s">
        <v>80</v>
      </c>
      <c r="J270" s="6" t="s">
        <v>33</v>
      </c>
      <c r="K270" s="6" t="s">
        <v>66</v>
      </c>
      <c r="L270" s="6">
        <v>28</v>
      </c>
      <c r="M270" s="7">
        <v>1299</v>
      </c>
      <c r="N270" s="8">
        <v>0.1</v>
      </c>
      <c r="O270" s="9">
        <v>720</v>
      </c>
    </row>
    <row r="271" spans="1:15" ht="18" x14ac:dyDescent="0.35">
      <c r="A271" s="4" t="s">
        <v>378</v>
      </c>
      <c r="B271" s="5">
        <v>45434</v>
      </c>
      <c r="C271" s="6" t="s">
        <v>36</v>
      </c>
      <c r="D271" s="6" t="s">
        <v>44</v>
      </c>
      <c r="E271" s="6" t="s">
        <v>69</v>
      </c>
      <c r="F271" s="6" t="s">
        <v>39</v>
      </c>
      <c r="G271" s="6" t="s">
        <v>20</v>
      </c>
      <c r="H271" s="6" t="s">
        <v>21</v>
      </c>
      <c r="I271" s="6" t="s">
        <v>22</v>
      </c>
      <c r="J271" s="6" t="s">
        <v>23</v>
      </c>
      <c r="K271" s="6" t="s">
        <v>78</v>
      </c>
      <c r="L271" s="6">
        <v>40</v>
      </c>
      <c r="M271" s="7">
        <v>4499</v>
      </c>
      <c r="N271" s="8">
        <v>0.08</v>
      </c>
      <c r="O271" s="9">
        <v>2910</v>
      </c>
    </row>
    <row r="272" spans="1:15" ht="18" x14ac:dyDescent="0.35">
      <c r="A272" s="4" t="s">
        <v>379</v>
      </c>
      <c r="B272" s="5">
        <v>45434</v>
      </c>
      <c r="C272" s="6" t="s">
        <v>36</v>
      </c>
      <c r="D272" s="6" t="s">
        <v>44</v>
      </c>
      <c r="E272" s="6" t="s">
        <v>28</v>
      </c>
      <c r="F272" s="6" t="s">
        <v>19</v>
      </c>
      <c r="G272" s="6" t="s">
        <v>20</v>
      </c>
      <c r="H272" s="6" t="s">
        <v>21</v>
      </c>
      <c r="I272" s="6" t="s">
        <v>22</v>
      </c>
      <c r="J272" s="6" t="s">
        <v>23</v>
      </c>
      <c r="K272" s="6" t="s">
        <v>24</v>
      </c>
      <c r="L272" s="6">
        <v>16</v>
      </c>
      <c r="M272" s="7">
        <v>4499</v>
      </c>
      <c r="N272" s="8">
        <v>0.15</v>
      </c>
      <c r="O272" s="9">
        <v>2910</v>
      </c>
    </row>
    <row r="273" spans="1:15" ht="18" x14ac:dyDescent="0.35">
      <c r="A273" s="4" t="s">
        <v>380</v>
      </c>
      <c r="B273" s="5">
        <v>45434</v>
      </c>
      <c r="C273" s="6" t="s">
        <v>36</v>
      </c>
      <c r="D273" s="6" t="s">
        <v>44</v>
      </c>
      <c r="E273" s="6" t="s">
        <v>69</v>
      </c>
      <c r="F273" s="6" t="s">
        <v>39</v>
      </c>
      <c r="G273" s="6" t="s">
        <v>40</v>
      </c>
      <c r="H273" s="6" t="s">
        <v>41</v>
      </c>
      <c r="I273" s="6" t="s">
        <v>156</v>
      </c>
      <c r="J273" s="6" t="s">
        <v>57</v>
      </c>
      <c r="K273" s="6" t="s">
        <v>24</v>
      </c>
      <c r="L273" s="6">
        <v>2</v>
      </c>
      <c r="M273" s="7">
        <v>48500</v>
      </c>
      <c r="N273" s="8">
        <v>0.1</v>
      </c>
      <c r="O273" s="9">
        <v>30200</v>
      </c>
    </row>
    <row r="274" spans="1:15" ht="18" x14ac:dyDescent="0.35">
      <c r="A274" s="4" t="s">
        <v>381</v>
      </c>
      <c r="B274" s="5">
        <v>45436</v>
      </c>
      <c r="C274" s="6" t="s">
        <v>48</v>
      </c>
      <c r="D274" s="6" t="s">
        <v>136</v>
      </c>
      <c r="E274" s="6" t="s">
        <v>75</v>
      </c>
      <c r="F274" s="6" t="s">
        <v>19</v>
      </c>
      <c r="G274" s="6" t="s">
        <v>20</v>
      </c>
      <c r="H274" s="6" t="s">
        <v>45</v>
      </c>
      <c r="I274" s="6" t="s">
        <v>103</v>
      </c>
      <c r="J274" s="6" t="s">
        <v>33</v>
      </c>
      <c r="K274" s="6" t="s">
        <v>24</v>
      </c>
      <c r="L274" s="6">
        <v>19</v>
      </c>
      <c r="M274" s="7">
        <v>1599</v>
      </c>
      <c r="N274" s="8">
        <v>0.18</v>
      </c>
      <c r="O274" s="9">
        <v>920</v>
      </c>
    </row>
    <row r="275" spans="1:15" ht="18" x14ac:dyDescent="0.35">
      <c r="A275" s="4" t="s">
        <v>382</v>
      </c>
      <c r="B275" s="5">
        <v>45436</v>
      </c>
      <c r="C275" s="6" t="s">
        <v>36</v>
      </c>
      <c r="D275" s="6" t="s">
        <v>44</v>
      </c>
      <c r="E275" s="6" t="s">
        <v>50</v>
      </c>
      <c r="F275" s="6" t="s">
        <v>29</v>
      </c>
      <c r="G275" s="6" t="s">
        <v>40</v>
      </c>
      <c r="H275" s="6" t="s">
        <v>64</v>
      </c>
      <c r="I275" s="6" t="s">
        <v>153</v>
      </c>
      <c r="J275" s="6" t="s">
        <v>57</v>
      </c>
      <c r="K275" s="6" t="s">
        <v>78</v>
      </c>
      <c r="L275" s="6">
        <v>39</v>
      </c>
      <c r="M275" s="7">
        <v>4490</v>
      </c>
      <c r="N275" s="8">
        <v>0.15</v>
      </c>
      <c r="O275" s="9">
        <v>2950</v>
      </c>
    </row>
    <row r="276" spans="1:15" ht="18" x14ac:dyDescent="0.35">
      <c r="A276" s="4" t="s">
        <v>383</v>
      </c>
      <c r="B276" s="5">
        <v>45436</v>
      </c>
      <c r="C276" s="6" t="s">
        <v>36</v>
      </c>
      <c r="D276" s="6" t="s">
        <v>121</v>
      </c>
      <c r="E276" s="6" t="s">
        <v>75</v>
      </c>
      <c r="F276" s="6" t="s">
        <v>39</v>
      </c>
      <c r="G276" s="6" t="s">
        <v>30</v>
      </c>
      <c r="H276" s="6" t="s">
        <v>31</v>
      </c>
      <c r="I276" s="6" t="s">
        <v>85</v>
      </c>
      <c r="J276" s="6" t="s">
        <v>57</v>
      </c>
      <c r="K276" s="6" t="s">
        <v>24</v>
      </c>
      <c r="L276" s="6">
        <v>35</v>
      </c>
      <c r="M276" s="7">
        <v>43500</v>
      </c>
      <c r="N276" s="8">
        <v>0.18</v>
      </c>
      <c r="O276" s="9">
        <v>29520</v>
      </c>
    </row>
    <row r="277" spans="1:15" ht="18" x14ac:dyDescent="0.35">
      <c r="A277" s="4" t="s">
        <v>384</v>
      </c>
      <c r="B277" s="5">
        <v>45436</v>
      </c>
      <c r="C277" s="6" t="s">
        <v>36</v>
      </c>
      <c r="D277" s="6" t="s">
        <v>44</v>
      </c>
      <c r="E277" s="6" t="s">
        <v>18</v>
      </c>
      <c r="F277" s="6" t="s">
        <v>19</v>
      </c>
      <c r="G277" s="6" t="s">
        <v>40</v>
      </c>
      <c r="H277" s="6" t="s">
        <v>41</v>
      </c>
      <c r="I277" s="6" t="s">
        <v>156</v>
      </c>
      <c r="J277" s="6" t="s">
        <v>23</v>
      </c>
      <c r="K277" s="6" t="s">
        <v>24</v>
      </c>
      <c r="L277" s="6">
        <v>12</v>
      </c>
      <c r="M277" s="7">
        <v>48500</v>
      </c>
      <c r="N277" s="8">
        <v>0.05</v>
      </c>
      <c r="O277" s="9">
        <v>30200</v>
      </c>
    </row>
    <row r="278" spans="1:15" ht="18" x14ac:dyDescent="0.35">
      <c r="A278" s="4" t="s">
        <v>385</v>
      </c>
      <c r="B278" s="5">
        <v>45436</v>
      </c>
      <c r="C278" s="6" t="s">
        <v>26</v>
      </c>
      <c r="D278" s="6" t="s">
        <v>163</v>
      </c>
      <c r="E278" s="6" t="s">
        <v>28</v>
      </c>
      <c r="F278" s="6" t="s">
        <v>19</v>
      </c>
      <c r="G278" s="6" t="s">
        <v>54</v>
      </c>
      <c r="H278" s="6" t="s">
        <v>90</v>
      </c>
      <c r="I278" s="6" t="s">
        <v>134</v>
      </c>
      <c r="J278" s="6" t="s">
        <v>23</v>
      </c>
      <c r="K278" s="6" t="s">
        <v>78</v>
      </c>
      <c r="L278" s="6">
        <v>21</v>
      </c>
      <c r="M278" s="7">
        <v>32800</v>
      </c>
      <c r="N278" s="8">
        <v>0.2</v>
      </c>
      <c r="O278" s="9">
        <v>23100</v>
      </c>
    </row>
    <row r="279" spans="1:15" ht="18" x14ac:dyDescent="0.35">
      <c r="A279" s="4" t="s">
        <v>386</v>
      </c>
      <c r="B279" s="5">
        <v>45437</v>
      </c>
      <c r="C279" s="6" t="s">
        <v>16</v>
      </c>
      <c r="D279" s="6" t="s">
        <v>98</v>
      </c>
      <c r="E279" s="6" t="s">
        <v>69</v>
      </c>
      <c r="F279" s="6" t="s">
        <v>29</v>
      </c>
      <c r="G279" s="6" t="s">
        <v>30</v>
      </c>
      <c r="H279" s="6" t="s">
        <v>61</v>
      </c>
      <c r="I279" s="6" t="s">
        <v>62</v>
      </c>
      <c r="J279" s="6" t="s">
        <v>23</v>
      </c>
      <c r="K279" s="6" t="s">
        <v>66</v>
      </c>
      <c r="L279" s="6">
        <v>35</v>
      </c>
      <c r="M279" s="7">
        <v>12490</v>
      </c>
      <c r="N279" s="8">
        <v>0.08</v>
      </c>
      <c r="O279" s="9">
        <v>7900</v>
      </c>
    </row>
    <row r="280" spans="1:15" ht="18" x14ac:dyDescent="0.35">
      <c r="A280" s="4" t="s">
        <v>387</v>
      </c>
      <c r="B280" s="5">
        <v>45438</v>
      </c>
      <c r="C280" s="6" t="s">
        <v>36</v>
      </c>
      <c r="D280" s="6" t="s">
        <v>37</v>
      </c>
      <c r="E280" s="6" t="s">
        <v>105</v>
      </c>
      <c r="F280" s="6" t="s">
        <v>39</v>
      </c>
      <c r="G280" s="6" t="s">
        <v>40</v>
      </c>
      <c r="H280" s="6" t="s">
        <v>76</v>
      </c>
      <c r="I280" s="6" t="s">
        <v>113</v>
      </c>
      <c r="J280" s="6" t="s">
        <v>57</v>
      </c>
      <c r="K280" s="6" t="s">
        <v>24</v>
      </c>
      <c r="L280" s="6">
        <v>4</v>
      </c>
      <c r="M280" s="7">
        <v>22999</v>
      </c>
      <c r="N280" s="8">
        <v>0.1</v>
      </c>
      <c r="O280" s="9">
        <v>15100</v>
      </c>
    </row>
    <row r="281" spans="1:15" ht="18" x14ac:dyDescent="0.35">
      <c r="A281" s="4" t="s">
        <v>388</v>
      </c>
      <c r="B281" s="5">
        <v>45438</v>
      </c>
      <c r="C281" s="6" t="s">
        <v>48</v>
      </c>
      <c r="D281" s="6" t="s">
        <v>49</v>
      </c>
      <c r="E281" s="6" t="s">
        <v>50</v>
      </c>
      <c r="F281" s="6" t="s">
        <v>29</v>
      </c>
      <c r="G281" s="6" t="s">
        <v>40</v>
      </c>
      <c r="H281" s="6" t="s">
        <v>76</v>
      </c>
      <c r="I281" s="6" t="s">
        <v>139</v>
      </c>
      <c r="J281" s="6" t="s">
        <v>33</v>
      </c>
      <c r="K281" s="6" t="s">
        <v>24</v>
      </c>
      <c r="L281" s="6">
        <v>26</v>
      </c>
      <c r="M281" s="7">
        <v>25999</v>
      </c>
      <c r="N281" s="8">
        <v>0.15</v>
      </c>
      <c r="O281" s="9">
        <v>17800</v>
      </c>
    </row>
    <row r="282" spans="1:15" ht="18" x14ac:dyDescent="0.35">
      <c r="A282" s="4" t="s">
        <v>389</v>
      </c>
      <c r="B282" s="5">
        <v>45438</v>
      </c>
      <c r="C282" s="6" t="s">
        <v>82</v>
      </c>
      <c r="D282" s="6" t="s">
        <v>87</v>
      </c>
      <c r="E282" s="6" t="s">
        <v>75</v>
      </c>
      <c r="F282" s="6" t="s">
        <v>39</v>
      </c>
      <c r="G282" s="6" t="s">
        <v>20</v>
      </c>
      <c r="H282" s="6" t="s">
        <v>21</v>
      </c>
      <c r="I282" s="6" t="s">
        <v>115</v>
      </c>
      <c r="J282" s="6" t="s">
        <v>57</v>
      </c>
      <c r="K282" s="6" t="s">
        <v>34</v>
      </c>
      <c r="L282" s="6">
        <v>26</v>
      </c>
      <c r="M282" s="7">
        <v>6499</v>
      </c>
      <c r="N282" s="8">
        <v>0.1</v>
      </c>
      <c r="O282" s="9">
        <v>4210</v>
      </c>
    </row>
    <row r="283" spans="1:15" ht="18" x14ac:dyDescent="0.35">
      <c r="A283" s="4" t="s">
        <v>390</v>
      </c>
      <c r="B283" s="5">
        <v>45439</v>
      </c>
      <c r="C283" s="6" t="s">
        <v>16</v>
      </c>
      <c r="D283" s="6" t="s">
        <v>111</v>
      </c>
      <c r="E283" s="6" t="s">
        <v>50</v>
      </c>
      <c r="F283" s="6" t="s">
        <v>19</v>
      </c>
      <c r="G283" s="6" t="s">
        <v>54</v>
      </c>
      <c r="H283" s="6" t="s">
        <v>55</v>
      </c>
      <c r="I283" s="6" t="s">
        <v>56</v>
      </c>
      <c r="J283" s="6" t="s">
        <v>23</v>
      </c>
      <c r="K283" s="6" t="s">
        <v>24</v>
      </c>
      <c r="L283" s="6">
        <v>15</v>
      </c>
      <c r="M283" s="7">
        <v>7299</v>
      </c>
      <c r="N283" s="8">
        <v>0.1</v>
      </c>
      <c r="O283" s="9">
        <v>5010</v>
      </c>
    </row>
    <row r="284" spans="1:15" ht="18" x14ac:dyDescent="0.35">
      <c r="A284" s="4" t="s">
        <v>391</v>
      </c>
      <c r="B284" s="5">
        <v>45439</v>
      </c>
      <c r="C284" s="6" t="s">
        <v>82</v>
      </c>
      <c r="D284" s="6" t="s">
        <v>83</v>
      </c>
      <c r="E284" s="6" t="s">
        <v>60</v>
      </c>
      <c r="F284" s="6" t="s">
        <v>39</v>
      </c>
      <c r="G284" s="6" t="s">
        <v>40</v>
      </c>
      <c r="H284" s="6" t="s">
        <v>41</v>
      </c>
      <c r="I284" s="6" t="s">
        <v>119</v>
      </c>
      <c r="J284" s="6" t="s">
        <v>33</v>
      </c>
      <c r="K284" s="6" t="s">
        <v>24</v>
      </c>
      <c r="L284" s="6">
        <v>40</v>
      </c>
      <c r="M284" s="7">
        <v>48990</v>
      </c>
      <c r="N284" s="8">
        <v>0.08</v>
      </c>
      <c r="O284" s="9">
        <v>30100</v>
      </c>
    </row>
    <row r="285" spans="1:15" ht="18" x14ac:dyDescent="0.35">
      <c r="A285" s="4" t="s">
        <v>392</v>
      </c>
      <c r="B285" s="5">
        <v>45440</v>
      </c>
      <c r="C285" s="6" t="s">
        <v>48</v>
      </c>
      <c r="D285" s="6" t="s">
        <v>136</v>
      </c>
      <c r="E285" s="6" t="s">
        <v>75</v>
      </c>
      <c r="F285" s="6" t="s">
        <v>19</v>
      </c>
      <c r="G285" s="6" t="s">
        <v>20</v>
      </c>
      <c r="H285" s="6" t="s">
        <v>21</v>
      </c>
      <c r="I285" s="6" t="s">
        <v>22</v>
      </c>
      <c r="J285" s="6" t="s">
        <v>33</v>
      </c>
      <c r="K285" s="6" t="s">
        <v>24</v>
      </c>
      <c r="L285" s="6">
        <v>9</v>
      </c>
      <c r="M285" s="7">
        <v>4499</v>
      </c>
      <c r="N285" s="8">
        <v>0.15</v>
      </c>
      <c r="O285" s="9">
        <v>2910</v>
      </c>
    </row>
    <row r="286" spans="1:15" ht="18" x14ac:dyDescent="0.35">
      <c r="A286" s="4" t="s">
        <v>393</v>
      </c>
      <c r="B286" s="5">
        <v>45440</v>
      </c>
      <c r="C286" s="6" t="s">
        <v>26</v>
      </c>
      <c r="D286" s="6" t="s">
        <v>53</v>
      </c>
      <c r="E286" s="6" t="s">
        <v>50</v>
      </c>
      <c r="F286" s="6" t="s">
        <v>29</v>
      </c>
      <c r="G286" s="6" t="s">
        <v>30</v>
      </c>
      <c r="H286" s="6" t="s">
        <v>61</v>
      </c>
      <c r="I286" s="6" t="s">
        <v>186</v>
      </c>
      <c r="J286" s="6" t="s">
        <v>33</v>
      </c>
      <c r="K286" s="6" t="s">
        <v>34</v>
      </c>
      <c r="L286" s="6">
        <v>10</v>
      </c>
      <c r="M286" s="7">
        <v>6999</v>
      </c>
      <c r="N286" s="8">
        <v>0.05</v>
      </c>
      <c r="O286" s="9">
        <v>4320</v>
      </c>
    </row>
    <row r="287" spans="1:15" ht="18" x14ac:dyDescent="0.35">
      <c r="A287" s="4" t="s">
        <v>394</v>
      </c>
      <c r="B287" s="5">
        <v>45441</v>
      </c>
      <c r="C287" s="6" t="s">
        <v>48</v>
      </c>
      <c r="D287" s="6" t="s">
        <v>49</v>
      </c>
      <c r="E287" s="6" t="s">
        <v>18</v>
      </c>
      <c r="F287" s="6" t="s">
        <v>29</v>
      </c>
      <c r="G287" s="6" t="s">
        <v>70</v>
      </c>
      <c r="H287" s="6" t="s">
        <v>71</v>
      </c>
      <c r="I287" s="6" t="s">
        <v>80</v>
      </c>
      <c r="J287" s="6" t="s">
        <v>23</v>
      </c>
      <c r="K287" s="6" t="s">
        <v>24</v>
      </c>
      <c r="L287" s="6">
        <v>29</v>
      </c>
      <c r="M287" s="7">
        <v>1299</v>
      </c>
      <c r="N287" s="8">
        <v>0.15</v>
      </c>
      <c r="O287" s="9">
        <v>720</v>
      </c>
    </row>
    <row r="288" spans="1:15" ht="18" x14ac:dyDescent="0.35">
      <c r="A288" s="4" t="s">
        <v>395</v>
      </c>
      <c r="B288" s="5">
        <v>45443</v>
      </c>
      <c r="C288" s="6" t="s">
        <v>48</v>
      </c>
      <c r="D288" s="6" t="s">
        <v>49</v>
      </c>
      <c r="E288" s="6" t="s">
        <v>101</v>
      </c>
      <c r="F288" s="6" t="s">
        <v>29</v>
      </c>
      <c r="G288" s="6" t="s">
        <v>40</v>
      </c>
      <c r="H288" s="6" t="s">
        <v>76</v>
      </c>
      <c r="I288" s="6" t="s">
        <v>113</v>
      </c>
      <c r="J288" s="6" t="s">
        <v>57</v>
      </c>
      <c r="K288" s="6" t="s">
        <v>24</v>
      </c>
      <c r="L288" s="6">
        <v>22</v>
      </c>
      <c r="M288" s="7">
        <v>22999</v>
      </c>
      <c r="N288" s="8">
        <v>0.08</v>
      </c>
      <c r="O288" s="9">
        <v>15100</v>
      </c>
    </row>
    <row r="289" spans="1:15" ht="18" x14ac:dyDescent="0.35">
      <c r="A289" s="4" t="s">
        <v>396</v>
      </c>
      <c r="B289" s="5">
        <v>45445</v>
      </c>
      <c r="C289" s="6" t="s">
        <v>26</v>
      </c>
      <c r="D289" s="6" t="s">
        <v>53</v>
      </c>
      <c r="E289" s="6" t="s">
        <v>28</v>
      </c>
      <c r="F289" s="6" t="s">
        <v>29</v>
      </c>
      <c r="G289" s="6" t="s">
        <v>30</v>
      </c>
      <c r="H289" s="6" t="s">
        <v>31</v>
      </c>
      <c r="I289" s="6" t="s">
        <v>106</v>
      </c>
      <c r="J289" s="6" t="s">
        <v>33</v>
      </c>
      <c r="K289" s="6" t="s">
        <v>78</v>
      </c>
      <c r="L289" s="6">
        <v>35</v>
      </c>
      <c r="M289" s="7">
        <v>52990</v>
      </c>
      <c r="N289" s="8">
        <v>0.1</v>
      </c>
      <c r="O289" s="9">
        <v>35100</v>
      </c>
    </row>
    <row r="290" spans="1:15" ht="18" x14ac:dyDescent="0.35">
      <c r="A290" s="4" t="s">
        <v>397</v>
      </c>
      <c r="B290" s="5">
        <v>45446</v>
      </c>
      <c r="C290" s="6" t="s">
        <v>36</v>
      </c>
      <c r="D290" s="6" t="s">
        <v>59</v>
      </c>
      <c r="E290" s="6" t="s">
        <v>18</v>
      </c>
      <c r="F290" s="6" t="s">
        <v>39</v>
      </c>
      <c r="G290" s="6" t="s">
        <v>20</v>
      </c>
      <c r="H290" s="6" t="s">
        <v>21</v>
      </c>
      <c r="I290" s="6" t="s">
        <v>51</v>
      </c>
      <c r="J290" s="6" t="s">
        <v>23</v>
      </c>
      <c r="K290" s="6" t="s">
        <v>78</v>
      </c>
      <c r="L290" s="6">
        <v>19</v>
      </c>
      <c r="M290" s="7">
        <v>5999</v>
      </c>
      <c r="N290" s="8">
        <v>0.18</v>
      </c>
      <c r="O290" s="9">
        <v>3890</v>
      </c>
    </row>
    <row r="291" spans="1:15" ht="18" x14ac:dyDescent="0.35">
      <c r="A291" s="4" t="s">
        <v>398</v>
      </c>
      <c r="B291" s="5">
        <v>45446</v>
      </c>
      <c r="C291" s="6" t="s">
        <v>36</v>
      </c>
      <c r="D291" s="6" t="s">
        <v>121</v>
      </c>
      <c r="E291" s="6" t="s">
        <v>38</v>
      </c>
      <c r="F291" s="6" t="s">
        <v>29</v>
      </c>
      <c r="G291" s="6" t="s">
        <v>20</v>
      </c>
      <c r="H291" s="6" t="s">
        <v>21</v>
      </c>
      <c r="I291" s="6" t="s">
        <v>51</v>
      </c>
      <c r="J291" s="6" t="s">
        <v>23</v>
      </c>
      <c r="K291" s="6" t="s">
        <v>66</v>
      </c>
      <c r="L291" s="6">
        <v>5</v>
      </c>
      <c r="M291" s="7">
        <v>5999</v>
      </c>
      <c r="N291" s="8">
        <v>0.2</v>
      </c>
      <c r="O291" s="9">
        <v>3890</v>
      </c>
    </row>
    <row r="292" spans="1:15" ht="18" x14ac:dyDescent="0.35">
      <c r="A292" s="4" t="s">
        <v>399</v>
      </c>
      <c r="B292" s="5">
        <v>45446</v>
      </c>
      <c r="C292" s="6" t="s">
        <v>48</v>
      </c>
      <c r="D292" s="6" t="s">
        <v>68</v>
      </c>
      <c r="E292" s="6" t="s">
        <v>101</v>
      </c>
      <c r="F292" s="6" t="s">
        <v>29</v>
      </c>
      <c r="G292" s="6" t="s">
        <v>70</v>
      </c>
      <c r="H292" s="6" t="s">
        <v>71</v>
      </c>
      <c r="I292" s="6" t="s">
        <v>72</v>
      </c>
      <c r="J292" s="6" t="s">
        <v>33</v>
      </c>
      <c r="K292" s="6" t="s">
        <v>24</v>
      </c>
      <c r="L292" s="6">
        <v>5</v>
      </c>
      <c r="M292" s="7">
        <v>3499</v>
      </c>
      <c r="N292" s="8">
        <v>0.18</v>
      </c>
      <c r="O292" s="9">
        <v>2190</v>
      </c>
    </row>
    <row r="293" spans="1:15" ht="18" x14ac:dyDescent="0.35">
      <c r="A293" s="4" t="s">
        <v>400</v>
      </c>
      <c r="B293" s="5">
        <v>45447</v>
      </c>
      <c r="C293" s="6" t="s">
        <v>48</v>
      </c>
      <c r="D293" s="6" t="s">
        <v>49</v>
      </c>
      <c r="E293" s="6" t="s">
        <v>75</v>
      </c>
      <c r="F293" s="6" t="s">
        <v>29</v>
      </c>
      <c r="G293" s="6" t="s">
        <v>20</v>
      </c>
      <c r="H293" s="6" t="s">
        <v>21</v>
      </c>
      <c r="I293" s="6" t="s">
        <v>115</v>
      </c>
      <c r="J293" s="6" t="s">
        <v>57</v>
      </c>
      <c r="K293" s="6" t="s">
        <v>78</v>
      </c>
      <c r="L293" s="6">
        <v>21</v>
      </c>
      <c r="M293" s="7">
        <v>6499</v>
      </c>
      <c r="N293" s="8">
        <v>0.08</v>
      </c>
      <c r="O293" s="9">
        <v>4210</v>
      </c>
    </row>
    <row r="294" spans="1:15" ht="18" x14ac:dyDescent="0.35">
      <c r="A294" s="4" t="s">
        <v>401</v>
      </c>
      <c r="B294" s="5">
        <v>45448</v>
      </c>
      <c r="C294" s="6" t="s">
        <v>26</v>
      </c>
      <c r="D294" s="6" t="s">
        <v>53</v>
      </c>
      <c r="E294" s="6" t="s">
        <v>60</v>
      </c>
      <c r="F294" s="6" t="s">
        <v>19</v>
      </c>
      <c r="G294" s="6" t="s">
        <v>30</v>
      </c>
      <c r="H294" s="6" t="s">
        <v>61</v>
      </c>
      <c r="I294" s="6" t="s">
        <v>62</v>
      </c>
      <c r="J294" s="6" t="s">
        <v>33</v>
      </c>
      <c r="K294" s="6" t="s">
        <v>24</v>
      </c>
      <c r="L294" s="6">
        <v>31</v>
      </c>
      <c r="M294" s="7">
        <v>12490</v>
      </c>
      <c r="N294" s="8">
        <v>0.18</v>
      </c>
      <c r="O294" s="9">
        <v>7900</v>
      </c>
    </row>
    <row r="295" spans="1:15" ht="18" x14ac:dyDescent="0.35">
      <c r="A295" s="4" t="s">
        <v>402</v>
      </c>
      <c r="B295" s="5">
        <v>45448</v>
      </c>
      <c r="C295" s="6" t="s">
        <v>16</v>
      </c>
      <c r="D295" s="6" t="s">
        <v>111</v>
      </c>
      <c r="E295" s="6" t="s">
        <v>28</v>
      </c>
      <c r="F295" s="6" t="s">
        <v>39</v>
      </c>
      <c r="G295" s="6" t="s">
        <v>70</v>
      </c>
      <c r="H295" s="6" t="s">
        <v>71</v>
      </c>
      <c r="I295" s="6" t="s">
        <v>72</v>
      </c>
      <c r="J295" s="6" t="s">
        <v>57</v>
      </c>
      <c r="K295" s="6" t="s">
        <v>78</v>
      </c>
      <c r="L295" s="6">
        <v>9</v>
      </c>
      <c r="M295" s="7">
        <v>3499</v>
      </c>
      <c r="N295" s="8">
        <v>0.2</v>
      </c>
      <c r="O295" s="9">
        <v>2190</v>
      </c>
    </row>
    <row r="296" spans="1:15" ht="18" x14ac:dyDescent="0.35">
      <c r="A296" s="4" t="s">
        <v>403</v>
      </c>
      <c r="B296" s="5">
        <v>45450</v>
      </c>
      <c r="C296" s="6" t="s">
        <v>36</v>
      </c>
      <c r="D296" s="6" t="s">
        <v>44</v>
      </c>
      <c r="E296" s="6" t="s">
        <v>101</v>
      </c>
      <c r="F296" s="6" t="s">
        <v>19</v>
      </c>
      <c r="G296" s="6" t="s">
        <v>70</v>
      </c>
      <c r="H296" s="6" t="s">
        <v>71</v>
      </c>
      <c r="I296" s="6" t="s">
        <v>72</v>
      </c>
      <c r="J296" s="6" t="s">
        <v>33</v>
      </c>
      <c r="K296" s="6" t="s">
        <v>78</v>
      </c>
      <c r="L296" s="6">
        <v>10</v>
      </c>
      <c r="M296" s="7">
        <v>3499</v>
      </c>
      <c r="N296" s="8">
        <v>0.1</v>
      </c>
      <c r="O296" s="9">
        <v>2190</v>
      </c>
    </row>
    <row r="297" spans="1:15" ht="18" x14ac:dyDescent="0.35">
      <c r="A297" s="4" t="s">
        <v>404</v>
      </c>
      <c r="B297" s="5">
        <v>45451</v>
      </c>
      <c r="C297" s="6" t="s">
        <v>48</v>
      </c>
      <c r="D297" s="6" t="s">
        <v>49</v>
      </c>
      <c r="E297" s="6" t="s">
        <v>60</v>
      </c>
      <c r="F297" s="6" t="s">
        <v>29</v>
      </c>
      <c r="G297" s="6" t="s">
        <v>70</v>
      </c>
      <c r="H297" s="6" t="s">
        <v>71</v>
      </c>
      <c r="I297" s="6" t="s">
        <v>72</v>
      </c>
      <c r="J297" s="6" t="s">
        <v>33</v>
      </c>
      <c r="K297" s="6" t="s">
        <v>34</v>
      </c>
      <c r="L297" s="6">
        <v>19</v>
      </c>
      <c r="M297" s="7">
        <v>3499</v>
      </c>
      <c r="N297" s="8">
        <v>0.2</v>
      </c>
      <c r="O297" s="9">
        <v>2190</v>
      </c>
    </row>
    <row r="298" spans="1:15" ht="18" x14ac:dyDescent="0.35">
      <c r="A298" s="4" t="s">
        <v>405</v>
      </c>
      <c r="B298" s="5">
        <v>45451</v>
      </c>
      <c r="C298" s="6" t="s">
        <v>82</v>
      </c>
      <c r="D298" s="6" t="s">
        <v>183</v>
      </c>
      <c r="E298" s="6" t="s">
        <v>18</v>
      </c>
      <c r="F298" s="6" t="s">
        <v>19</v>
      </c>
      <c r="G298" s="6" t="s">
        <v>40</v>
      </c>
      <c r="H298" s="6" t="s">
        <v>64</v>
      </c>
      <c r="I298" s="6" t="s">
        <v>153</v>
      </c>
      <c r="J298" s="6" t="s">
        <v>33</v>
      </c>
      <c r="K298" s="6" t="s">
        <v>34</v>
      </c>
      <c r="L298" s="6">
        <v>25</v>
      </c>
      <c r="M298" s="7">
        <v>4490</v>
      </c>
      <c r="N298" s="8">
        <v>0.18</v>
      </c>
      <c r="O298" s="9">
        <v>2950</v>
      </c>
    </row>
    <row r="299" spans="1:15" ht="18" x14ac:dyDescent="0.35">
      <c r="A299" s="4" t="s">
        <v>406</v>
      </c>
      <c r="B299" s="5">
        <v>45451</v>
      </c>
      <c r="C299" s="6" t="s">
        <v>16</v>
      </c>
      <c r="D299" s="6" t="s">
        <v>98</v>
      </c>
      <c r="E299" s="6" t="s">
        <v>84</v>
      </c>
      <c r="F299" s="6" t="s">
        <v>19</v>
      </c>
      <c r="G299" s="6" t="s">
        <v>20</v>
      </c>
      <c r="H299" s="6" t="s">
        <v>21</v>
      </c>
      <c r="I299" s="6" t="s">
        <v>51</v>
      </c>
      <c r="J299" s="6" t="s">
        <v>57</v>
      </c>
      <c r="K299" s="6" t="s">
        <v>34</v>
      </c>
      <c r="L299" s="6">
        <v>39</v>
      </c>
      <c r="M299" s="7">
        <v>5999</v>
      </c>
      <c r="N299" s="8">
        <v>0.18</v>
      </c>
      <c r="O299" s="9">
        <v>3890</v>
      </c>
    </row>
    <row r="300" spans="1:15" ht="18" x14ac:dyDescent="0.35">
      <c r="A300" s="4" t="s">
        <v>407</v>
      </c>
      <c r="B300" s="5">
        <v>45452</v>
      </c>
      <c r="C300" s="6" t="s">
        <v>26</v>
      </c>
      <c r="D300" s="6" t="s">
        <v>163</v>
      </c>
      <c r="E300" s="6" t="s">
        <v>69</v>
      </c>
      <c r="F300" s="6" t="s">
        <v>39</v>
      </c>
      <c r="G300" s="6" t="s">
        <v>70</v>
      </c>
      <c r="H300" s="6" t="s">
        <v>71</v>
      </c>
      <c r="I300" s="6" t="s">
        <v>72</v>
      </c>
      <c r="J300" s="6" t="s">
        <v>57</v>
      </c>
      <c r="K300" s="6" t="s">
        <v>78</v>
      </c>
      <c r="L300" s="6">
        <v>13</v>
      </c>
      <c r="M300" s="7">
        <v>3499</v>
      </c>
      <c r="N300" s="8">
        <v>0.12</v>
      </c>
      <c r="O300" s="9">
        <v>2190</v>
      </c>
    </row>
    <row r="301" spans="1:15" ht="18" x14ac:dyDescent="0.35">
      <c r="A301" s="4" t="s">
        <v>408</v>
      </c>
      <c r="B301" s="5">
        <v>45452</v>
      </c>
      <c r="C301" s="6" t="s">
        <v>82</v>
      </c>
      <c r="D301" s="6" t="s">
        <v>83</v>
      </c>
      <c r="E301" s="6" t="s">
        <v>69</v>
      </c>
      <c r="F301" s="6" t="s">
        <v>39</v>
      </c>
      <c r="G301" s="6" t="s">
        <v>70</v>
      </c>
      <c r="H301" s="6" t="s">
        <v>71</v>
      </c>
      <c r="I301" s="6" t="s">
        <v>80</v>
      </c>
      <c r="J301" s="6" t="s">
        <v>33</v>
      </c>
      <c r="K301" s="6" t="s">
        <v>24</v>
      </c>
      <c r="L301" s="6">
        <v>22</v>
      </c>
      <c r="M301" s="7">
        <v>1299</v>
      </c>
      <c r="N301" s="8">
        <v>0.08</v>
      </c>
      <c r="O301" s="9">
        <v>720</v>
      </c>
    </row>
    <row r="302" spans="1:15" ht="18" x14ac:dyDescent="0.35">
      <c r="A302" s="4" t="s">
        <v>409</v>
      </c>
      <c r="B302" s="5">
        <v>45453</v>
      </c>
      <c r="C302" s="6" t="s">
        <v>36</v>
      </c>
      <c r="D302" s="6" t="s">
        <v>44</v>
      </c>
      <c r="E302" s="6" t="s">
        <v>101</v>
      </c>
      <c r="F302" s="6" t="s">
        <v>29</v>
      </c>
      <c r="G302" s="6" t="s">
        <v>40</v>
      </c>
      <c r="H302" s="6" t="s">
        <v>64</v>
      </c>
      <c r="I302" s="6" t="s">
        <v>159</v>
      </c>
      <c r="J302" s="6" t="s">
        <v>23</v>
      </c>
      <c r="K302" s="6" t="s">
        <v>78</v>
      </c>
      <c r="L302" s="6">
        <v>3</v>
      </c>
      <c r="M302" s="7">
        <v>3299</v>
      </c>
      <c r="N302" s="8">
        <v>0.08</v>
      </c>
      <c r="O302" s="9">
        <v>2050</v>
      </c>
    </row>
    <row r="303" spans="1:15" ht="18" x14ac:dyDescent="0.35">
      <c r="A303" s="4" t="s">
        <v>410</v>
      </c>
      <c r="B303" s="5">
        <v>45454</v>
      </c>
      <c r="C303" s="6" t="s">
        <v>82</v>
      </c>
      <c r="D303" s="6" t="s">
        <v>183</v>
      </c>
      <c r="E303" s="6" t="s">
        <v>28</v>
      </c>
      <c r="F303" s="6" t="s">
        <v>19</v>
      </c>
      <c r="G303" s="6" t="s">
        <v>30</v>
      </c>
      <c r="H303" s="6" t="s">
        <v>31</v>
      </c>
      <c r="I303" s="6" t="s">
        <v>106</v>
      </c>
      <c r="J303" s="6" t="s">
        <v>33</v>
      </c>
      <c r="K303" s="6" t="s">
        <v>24</v>
      </c>
      <c r="L303" s="6">
        <v>35</v>
      </c>
      <c r="M303" s="7">
        <v>52990</v>
      </c>
      <c r="N303" s="8">
        <v>0.12</v>
      </c>
      <c r="O303" s="9">
        <v>35100</v>
      </c>
    </row>
    <row r="304" spans="1:15" ht="18" x14ac:dyDescent="0.35">
      <c r="A304" s="4" t="s">
        <v>411</v>
      </c>
      <c r="B304" s="5">
        <v>45454</v>
      </c>
      <c r="C304" s="6" t="s">
        <v>26</v>
      </c>
      <c r="D304" s="6" t="s">
        <v>27</v>
      </c>
      <c r="E304" s="6" t="s">
        <v>105</v>
      </c>
      <c r="F304" s="6" t="s">
        <v>19</v>
      </c>
      <c r="G304" s="6" t="s">
        <v>30</v>
      </c>
      <c r="H304" s="6" t="s">
        <v>61</v>
      </c>
      <c r="I304" s="6" t="s">
        <v>96</v>
      </c>
      <c r="J304" s="6" t="s">
        <v>23</v>
      </c>
      <c r="K304" s="6" t="s">
        <v>34</v>
      </c>
      <c r="L304" s="6">
        <v>32</v>
      </c>
      <c r="M304" s="7">
        <v>25110</v>
      </c>
      <c r="N304" s="8">
        <v>0.18</v>
      </c>
      <c r="O304" s="9">
        <v>16730</v>
      </c>
    </row>
    <row r="305" spans="1:15" ht="18" x14ac:dyDescent="0.35">
      <c r="A305" s="4" t="s">
        <v>412</v>
      </c>
      <c r="B305" s="5">
        <v>45454</v>
      </c>
      <c r="C305" s="6" t="s">
        <v>36</v>
      </c>
      <c r="D305" s="6" t="s">
        <v>59</v>
      </c>
      <c r="E305" s="6" t="s">
        <v>84</v>
      </c>
      <c r="F305" s="6" t="s">
        <v>19</v>
      </c>
      <c r="G305" s="6" t="s">
        <v>40</v>
      </c>
      <c r="H305" s="6" t="s">
        <v>41</v>
      </c>
      <c r="I305" s="6" t="s">
        <v>42</v>
      </c>
      <c r="J305" s="6" t="s">
        <v>23</v>
      </c>
      <c r="K305" s="6" t="s">
        <v>78</v>
      </c>
      <c r="L305" s="6">
        <v>26</v>
      </c>
      <c r="M305" s="7">
        <v>55230</v>
      </c>
      <c r="N305" s="8">
        <v>0.18</v>
      </c>
      <c r="O305" s="9">
        <v>33800</v>
      </c>
    </row>
    <row r="306" spans="1:15" ht="18" x14ac:dyDescent="0.35">
      <c r="A306" s="4" t="s">
        <v>413</v>
      </c>
      <c r="B306" s="5">
        <v>45455</v>
      </c>
      <c r="C306" s="6" t="s">
        <v>82</v>
      </c>
      <c r="D306" s="6" t="s">
        <v>100</v>
      </c>
      <c r="E306" s="6" t="s">
        <v>105</v>
      </c>
      <c r="F306" s="6" t="s">
        <v>29</v>
      </c>
      <c r="G306" s="6" t="s">
        <v>70</v>
      </c>
      <c r="H306" s="6" t="s">
        <v>71</v>
      </c>
      <c r="I306" s="6" t="s">
        <v>80</v>
      </c>
      <c r="J306" s="6" t="s">
        <v>57</v>
      </c>
      <c r="K306" s="6" t="s">
        <v>24</v>
      </c>
      <c r="L306" s="6">
        <v>2</v>
      </c>
      <c r="M306" s="7">
        <v>1299</v>
      </c>
      <c r="N306" s="8">
        <v>0.2</v>
      </c>
      <c r="O306" s="9">
        <v>720</v>
      </c>
    </row>
    <row r="307" spans="1:15" ht="18" x14ac:dyDescent="0.35">
      <c r="A307" s="4" t="s">
        <v>414</v>
      </c>
      <c r="B307" s="5">
        <v>45456</v>
      </c>
      <c r="C307" s="6" t="s">
        <v>48</v>
      </c>
      <c r="D307" s="6" t="s">
        <v>49</v>
      </c>
      <c r="E307" s="6" t="s">
        <v>28</v>
      </c>
      <c r="F307" s="6" t="s">
        <v>19</v>
      </c>
      <c r="G307" s="6" t="s">
        <v>20</v>
      </c>
      <c r="H307" s="6" t="s">
        <v>21</v>
      </c>
      <c r="I307" s="6" t="s">
        <v>51</v>
      </c>
      <c r="J307" s="6" t="s">
        <v>23</v>
      </c>
      <c r="K307" s="6" t="s">
        <v>34</v>
      </c>
      <c r="L307" s="6">
        <v>5</v>
      </c>
      <c r="M307" s="7">
        <v>5999</v>
      </c>
      <c r="N307" s="8">
        <v>0.05</v>
      </c>
      <c r="O307" s="9">
        <v>3890</v>
      </c>
    </row>
    <row r="308" spans="1:15" ht="18" x14ac:dyDescent="0.35">
      <c r="A308" s="4" t="s">
        <v>415</v>
      </c>
      <c r="B308" s="5">
        <v>45456</v>
      </c>
      <c r="C308" s="6" t="s">
        <v>16</v>
      </c>
      <c r="D308" s="6" t="s">
        <v>111</v>
      </c>
      <c r="E308" s="6" t="s">
        <v>101</v>
      </c>
      <c r="F308" s="6" t="s">
        <v>19</v>
      </c>
      <c r="G308" s="6" t="s">
        <v>20</v>
      </c>
      <c r="H308" s="6" t="s">
        <v>21</v>
      </c>
      <c r="I308" s="6" t="s">
        <v>115</v>
      </c>
      <c r="J308" s="6" t="s">
        <v>33</v>
      </c>
      <c r="K308" s="6" t="s">
        <v>24</v>
      </c>
      <c r="L308" s="6">
        <v>29</v>
      </c>
      <c r="M308" s="7">
        <v>6499</v>
      </c>
      <c r="N308" s="8">
        <v>0.2</v>
      </c>
      <c r="O308" s="9">
        <v>4210</v>
      </c>
    </row>
    <row r="309" spans="1:15" ht="18" x14ac:dyDescent="0.35">
      <c r="A309" s="4" t="s">
        <v>416</v>
      </c>
      <c r="B309" s="5">
        <v>45457</v>
      </c>
      <c r="C309" s="6" t="s">
        <v>26</v>
      </c>
      <c r="D309" s="6" t="s">
        <v>163</v>
      </c>
      <c r="E309" s="6" t="s">
        <v>69</v>
      </c>
      <c r="F309" s="6" t="s">
        <v>19</v>
      </c>
      <c r="G309" s="6" t="s">
        <v>70</v>
      </c>
      <c r="H309" s="6" t="s">
        <v>71</v>
      </c>
      <c r="I309" s="6" t="s">
        <v>72</v>
      </c>
      <c r="J309" s="6" t="s">
        <v>33</v>
      </c>
      <c r="K309" s="6" t="s">
        <v>78</v>
      </c>
      <c r="L309" s="6">
        <v>3</v>
      </c>
      <c r="M309" s="7">
        <v>3499</v>
      </c>
      <c r="N309" s="8">
        <v>0.12</v>
      </c>
      <c r="O309" s="9">
        <v>2190</v>
      </c>
    </row>
    <row r="310" spans="1:15" ht="18" x14ac:dyDescent="0.35">
      <c r="A310" s="4" t="s">
        <v>417</v>
      </c>
      <c r="B310" s="5">
        <v>45457</v>
      </c>
      <c r="C310" s="6" t="s">
        <v>26</v>
      </c>
      <c r="D310" s="6" t="s">
        <v>74</v>
      </c>
      <c r="E310" s="6" t="s">
        <v>38</v>
      </c>
      <c r="F310" s="6" t="s">
        <v>19</v>
      </c>
      <c r="G310" s="6" t="s">
        <v>40</v>
      </c>
      <c r="H310" s="6" t="s">
        <v>76</v>
      </c>
      <c r="I310" s="6" t="s">
        <v>77</v>
      </c>
      <c r="J310" s="6" t="s">
        <v>33</v>
      </c>
      <c r="K310" s="6" t="s">
        <v>24</v>
      </c>
      <c r="L310" s="6">
        <v>9</v>
      </c>
      <c r="M310" s="7">
        <v>52990</v>
      </c>
      <c r="N310" s="8">
        <v>0.12</v>
      </c>
      <c r="O310" s="9">
        <v>39500</v>
      </c>
    </row>
    <row r="311" spans="1:15" ht="18" x14ac:dyDescent="0.35">
      <c r="A311" s="4" t="s">
        <v>418</v>
      </c>
      <c r="B311" s="5">
        <v>45457</v>
      </c>
      <c r="C311" s="6" t="s">
        <v>82</v>
      </c>
      <c r="D311" s="6" t="s">
        <v>100</v>
      </c>
      <c r="E311" s="6" t="s">
        <v>18</v>
      </c>
      <c r="F311" s="6" t="s">
        <v>29</v>
      </c>
      <c r="G311" s="6" t="s">
        <v>70</v>
      </c>
      <c r="H311" s="6" t="s">
        <v>71</v>
      </c>
      <c r="I311" s="6" t="s">
        <v>88</v>
      </c>
      <c r="J311" s="6" t="s">
        <v>57</v>
      </c>
      <c r="K311" s="6" t="s">
        <v>78</v>
      </c>
      <c r="L311" s="6">
        <v>35</v>
      </c>
      <c r="M311" s="7">
        <v>999</v>
      </c>
      <c r="N311" s="8">
        <v>0.08</v>
      </c>
      <c r="O311" s="9">
        <v>540</v>
      </c>
    </row>
    <row r="312" spans="1:15" ht="18" x14ac:dyDescent="0.35">
      <c r="A312" s="4" t="s">
        <v>419</v>
      </c>
      <c r="B312" s="5">
        <v>45457</v>
      </c>
      <c r="C312" s="6" t="s">
        <v>26</v>
      </c>
      <c r="D312" s="6" t="s">
        <v>74</v>
      </c>
      <c r="E312" s="6" t="s">
        <v>38</v>
      </c>
      <c r="F312" s="6" t="s">
        <v>19</v>
      </c>
      <c r="G312" s="6" t="s">
        <v>70</v>
      </c>
      <c r="H312" s="6" t="s">
        <v>71</v>
      </c>
      <c r="I312" s="6" t="s">
        <v>80</v>
      </c>
      <c r="J312" s="6" t="s">
        <v>23</v>
      </c>
      <c r="K312" s="6" t="s">
        <v>24</v>
      </c>
      <c r="L312" s="6">
        <v>35</v>
      </c>
      <c r="M312" s="7">
        <v>1299</v>
      </c>
      <c r="N312" s="8">
        <v>0.1</v>
      </c>
      <c r="O312" s="9">
        <v>720</v>
      </c>
    </row>
    <row r="313" spans="1:15" ht="18" x14ac:dyDescent="0.35">
      <c r="A313" s="4" t="s">
        <v>420</v>
      </c>
      <c r="B313" s="5">
        <v>45457</v>
      </c>
      <c r="C313" s="6" t="s">
        <v>26</v>
      </c>
      <c r="D313" s="6" t="s">
        <v>27</v>
      </c>
      <c r="E313" s="6" t="s">
        <v>38</v>
      </c>
      <c r="F313" s="6" t="s">
        <v>29</v>
      </c>
      <c r="G313" s="6" t="s">
        <v>54</v>
      </c>
      <c r="H313" s="6" t="s">
        <v>129</v>
      </c>
      <c r="I313" s="6" t="s">
        <v>130</v>
      </c>
      <c r="J313" s="6" t="s">
        <v>23</v>
      </c>
      <c r="K313" s="6" t="s">
        <v>24</v>
      </c>
      <c r="L313" s="6">
        <v>26</v>
      </c>
      <c r="M313" s="7">
        <v>27890</v>
      </c>
      <c r="N313" s="8">
        <v>0.12</v>
      </c>
      <c r="O313" s="9">
        <v>18800</v>
      </c>
    </row>
    <row r="314" spans="1:15" ht="18" x14ac:dyDescent="0.35">
      <c r="A314" s="4" t="s">
        <v>421</v>
      </c>
      <c r="B314" s="5">
        <v>45458</v>
      </c>
      <c r="C314" s="6" t="s">
        <v>36</v>
      </c>
      <c r="D314" s="6" t="s">
        <v>44</v>
      </c>
      <c r="E314" s="6" t="s">
        <v>105</v>
      </c>
      <c r="F314" s="6" t="s">
        <v>39</v>
      </c>
      <c r="G314" s="6" t="s">
        <v>40</v>
      </c>
      <c r="H314" s="6" t="s">
        <v>41</v>
      </c>
      <c r="I314" s="6" t="s">
        <v>119</v>
      </c>
      <c r="J314" s="6" t="s">
        <v>33</v>
      </c>
      <c r="K314" s="6" t="s">
        <v>34</v>
      </c>
      <c r="L314" s="6">
        <v>38</v>
      </c>
      <c r="M314" s="7">
        <v>48990</v>
      </c>
      <c r="N314" s="8">
        <v>0.05</v>
      </c>
      <c r="O314" s="9">
        <v>30100</v>
      </c>
    </row>
    <row r="315" spans="1:15" ht="18" x14ac:dyDescent="0.35">
      <c r="A315" s="4" t="s">
        <v>422</v>
      </c>
      <c r="B315" s="5">
        <v>45458</v>
      </c>
      <c r="C315" s="6" t="s">
        <v>82</v>
      </c>
      <c r="D315" s="6" t="s">
        <v>100</v>
      </c>
      <c r="E315" s="6" t="s">
        <v>50</v>
      </c>
      <c r="F315" s="6" t="s">
        <v>19</v>
      </c>
      <c r="G315" s="6" t="s">
        <v>30</v>
      </c>
      <c r="H315" s="6" t="s">
        <v>31</v>
      </c>
      <c r="I315" s="6" t="s">
        <v>85</v>
      </c>
      <c r="J315" s="6" t="s">
        <v>23</v>
      </c>
      <c r="K315" s="6" t="s">
        <v>66</v>
      </c>
      <c r="L315" s="6">
        <v>22</v>
      </c>
      <c r="M315" s="7">
        <v>43500</v>
      </c>
      <c r="N315" s="8">
        <v>0.2</v>
      </c>
      <c r="O315" s="9">
        <v>29520</v>
      </c>
    </row>
    <row r="316" spans="1:15" ht="18" x14ac:dyDescent="0.35">
      <c r="A316" s="4" t="s">
        <v>423</v>
      </c>
      <c r="B316" s="5">
        <v>45458</v>
      </c>
      <c r="C316" s="6" t="s">
        <v>48</v>
      </c>
      <c r="D316" s="6" t="s">
        <v>93</v>
      </c>
      <c r="E316" s="6" t="s">
        <v>28</v>
      </c>
      <c r="F316" s="6" t="s">
        <v>19</v>
      </c>
      <c r="G316" s="6" t="s">
        <v>30</v>
      </c>
      <c r="H316" s="6" t="s">
        <v>61</v>
      </c>
      <c r="I316" s="6" t="s">
        <v>186</v>
      </c>
      <c r="J316" s="6" t="s">
        <v>33</v>
      </c>
      <c r="K316" s="6" t="s">
        <v>66</v>
      </c>
      <c r="L316" s="6">
        <v>40</v>
      </c>
      <c r="M316" s="7">
        <v>6999</v>
      </c>
      <c r="N316" s="8">
        <v>0.12</v>
      </c>
      <c r="O316" s="9">
        <v>4320</v>
      </c>
    </row>
    <row r="317" spans="1:15" ht="18" x14ac:dyDescent="0.35">
      <c r="A317" s="4" t="s">
        <v>424</v>
      </c>
      <c r="B317" s="5">
        <v>45459</v>
      </c>
      <c r="C317" s="6" t="s">
        <v>36</v>
      </c>
      <c r="D317" s="6" t="s">
        <v>37</v>
      </c>
      <c r="E317" s="6" t="s">
        <v>69</v>
      </c>
      <c r="F317" s="6" t="s">
        <v>39</v>
      </c>
      <c r="G317" s="6" t="s">
        <v>54</v>
      </c>
      <c r="H317" s="6" t="s">
        <v>55</v>
      </c>
      <c r="I317" s="6" t="s">
        <v>56</v>
      </c>
      <c r="J317" s="6" t="s">
        <v>57</v>
      </c>
      <c r="K317" s="6" t="s">
        <v>24</v>
      </c>
      <c r="L317" s="6">
        <v>26</v>
      </c>
      <c r="M317" s="7">
        <v>7299</v>
      </c>
      <c r="N317" s="8">
        <v>0.18</v>
      </c>
      <c r="O317" s="9">
        <v>5010</v>
      </c>
    </row>
    <row r="318" spans="1:15" ht="18" x14ac:dyDescent="0.35">
      <c r="A318" s="4" t="s">
        <v>425</v>
      </c>
      <c r="B318" s="5">
        <v>45459</v>
      </c>
      <c r="C318" s="6" t="s">
        <v>48</v>
      </c>
      <c r="D318" s="6" t="s">
        <v>136</v>
      </c>
      <c r="E318" s="6" t="s">
        <v>101</v>
      </c>
      <c r="F318" s="6" t="s">
        <v>39</v>
      </c>
      <c r="G318" s="6" t="s">
        <v>40</v>
      </c>
      <c r="H318" s="6" t="s">
        <v>76</v>
      </c>
      <c r="I318" s="6" t="s">
        <v>113</v>
      </c>
      <c r="J318" s="6" t="s">
        <v>23</v>
      </c>
      <c r="K318" s="6" t="s">
        <v>66</v>
      </c>
      <c r="L318" s="6">
        <v>36</v>
      </c>
      <c r="M318" s="7">
        <v>22999</v>
      </c>
      <c r="N318" s="8">
        <v>0.18</v>
      </c>
      <c r="O318" s="9">
        <v>15100</v>
      </c>
    </row>
    <row r="319" spans="1:15" ht="18" x14ac:dyDescent="0.35">
      <c r="A319" s="4" t="s">
        <v>426</v>
      </c>
      <c r="B319" s="5">
        <v>45460</v>
      </c>
      <c r="C319" s="6" t="s">
        <v>82</v>
      </c>
      <c r="D319" s="6" t="s">
        <v>87</v>
      </c>
      <c r="E319" s="6" t="s">
        <v>84</v>
      </c>
      <c r="F319" s="6" t="s">
        <v>29</v>
      </c>
      <c r="G319" s="6" t="s">
        <v>30</v>
      </c>
      <c r="H319" s="6" t="s">
        <v>61</v>
      </c>
      <c r="I319" s="6" t="s">
        <v>186</v>
      </c>
      <c r="J319" s="6" t="s">
        <v>57</v>
      </c>
      <c r="K319" s="6" t="s">
        <v>78</v>
      </c>
      <c r="L319" s="6">
        <v>25</v>
      </c>
      <c r="M319" s="7">
        <v>6999</v>
      </c>
      <c r="N319" s="8">
        <v>0.2</v>
      </c>
      <c r="O319" s="9">
        <v>4320</v>
      </c>
    </row>
    <row r="320" spans="1:15" ht="18" x14ac:dyDescent="0.35">
      <c r="A320" s="4" t="s">
        <v>427</v>
      </c>
      <c r="B320" s="5">
        <v>45461</v>
      </c>
      <c r="C320" s="6" t="s">
        <v>48</v>
      </c>
      <c r="D320" s="6" t="s">
        <v>93</v>
      </c>
      <c r="E320" s="6" t="s">
        <v>75</v>
      </c>
      <c r="F320" s="6" t="s">
        <v>19</v>
      </c>
      <c r="G320" s="6" t="s">
        <v>30</v>
      </c>
      <c r="H320" s="6" t="s">
        <v>31</v>
      </c>
      <c r="I320" s="6" t="s">
        <v>85</v>
      </c>
      <c r="J320" s="6" t="s">
        <v>33</v>
      </c>
      <c r="K320" s="6" t="s">
        <v>78</v>
      </c>
      <c r="L320" s="6">
        <v>17</v>
      </c>
      <c r="M320" s="7">
        <v>43500</v>
      </c>
      <c r="N320" s="8">
        <v>0.05</v>
      </c>
      <c r="O320" s="9">
        <v>29520</v>
      </c>
    </row>
    <row r="321" spans="1:15" ht="18" x14ac:dyDescent="0.35">
      <c r="A321" s="4" t="s">
        <v>428</v>
      </c>
      <c r="B321" s="5">
        <v>45461</v>
      </c>
      <c r="C321" s="6" t="s">
        <v>26</v>
      </c>
      <c r="D321" s="6" t="s">
        <v>27</v>
      </c>
      <c r="E321" s="6" t="s">
        <v>18</v>
      </c>
      <c r="F321" s="6" t="s">
        <v>39</v>
      </c>
      <c r="G321" s="6" t="s">
        <v>20</v>
      </c>
      <c r="H321" s="6" t="s">
        <v>21</v>
      </c>
      <c r="I321" s="6" t="s">
        <v>22</v>
      </c>
      <c r="J321" s="6" t="s">
        <v>23</v>
      </c>
      <c r="K321" s="6" t="s">
        <v>24</v>
      </c>
      <c r="L321" s="6">
        <v>2</v>
      </c>
      <c r="M321" s="7">
        <v>4499</v>
      </c>
      <c r="N321" s="8">
        <v>0.12</v>
      </c>
      <c r="O321" s="9">
        <v>2910</v>
      </c>
    </row>
    <row r="322" spans="1:15" ht="18" x14ac:dyDescent="0.35">
      <c r="A322" s="4" t="s">
        <v>429</v>
      </c>
      <c r="B322" s="5">
        <v>45461</v>
      </c>
      <c r="C322" s="6" t="s">
        <v>48</v>
      </c>
      <c r="D322" s="6" t="s">
        <v>93</v>
      </c>
      <c r="E322" s="6" t="s">
        <v>38</v>
      </c>
      <c r="F322" s="6" t="s">
        <v>29</v>
      </c>
      <c r="G322" s="6" t="s">
        <v>30</v>
      </c>
      <c r="H322" s="6" t="s">
        <v>61</v>
      </c>
      <c r="I322" s="6" t="s">
        <v>186</v>
      </c>
      <c r="J322" s="6" t="s">
        <v>33</v>
      </c>
      <c r="K322" s="6" t="s">
        <v>24</v>
      </c>
      <c r="L322" s="6">
        <v>38</v>
      </c>
      <c r="M322" s="7">
        <v>6999</v>
      </c>
      <c r="N322" s="8">
        <v>0.12</v>
      </c>
      <c r="O322" s="9">
        <v>4320</v>
      </c>
    </row>
    <row r="323" spans="1:15" ht="18" x14ac:dyDescent="0.35">
      <c r="A323" s="4" t="s">
        <v>430</v>
      </c>
      <c r="B323" s="5">
        <v>45462</v>
      </c>
      <c r="C323" s="6" t="s">
        <v>48</v>
      </c>
      <c r="D323" s="6" t="s">
        <v>49</v>
      </c>
      <c r="E323" s="6" t="s">
        <v>28</v>
      </c>
      <c r="F323" s="6" t="s">
        <v>39</v>
      </c>
      <c r="G323" s="6" t="s">
        <v>40</v>
      </c>
      <c r="H323" s="6" t="s">
        <v>64</v>
      </c>
      <c r="I323" s="6" t="s">
        <v>65</v>
      </c>
      <c r="J323" s="6" t="s">
        <v>23</v>
      </c>
      <c r="K323" s="6" t="s">
        <v>34</v>
      </c>
      <c r="L323" s="6">
        <v>27</v>
      </c>
      <c r="M323" s="7">
        <v>1930</v>
      </c>
      <c r="N323" s="8">
        <v>0.05</v>
      </c>
      <c r="O323" s="9">
        <v>1120</v>
      </c>
    </row>
    <row r="324" spans="1:15" ht="18" x14ac:dyDescent="0.35">
      <c r="A324" s="4" t="s">
        <v>431</v>
      </c>
      <c r="B324" s="5">
        <v>45463</v>
      </c>
      <c r="C324" s="6" t="s">
        <v>26</v>
      </c>
      <c r="D324" s="6" t="s">
        <v>163</v>
      </c>
      <c r="E324" s="6" t="s">
        <v>84</v>
      </c>
      <c r="F324" s="6" t="s">
        <v>39</v>
      </c>
      <c r="G324" s="6" t="s">
        <v>70</v>
      </c>
      <c r="H324" s="6" t="s">
        <v>71</v>
      </c>
      <c r="I324" s="6" t="s">
        <v>72</v>
      </c>
      <c r="J324" s="6" t="s">
        <v>33</v>
      </c>
      <c r="K324" s="6" t="s">
        <v>24</v>
      </c>
      <c r="L324" s="6">
        <v>38</v>
      </c>
      <c r="M324" s="7">
        <v>3499</v>
      </c>
      <c r="N324" s="8">
        <v>0.08</v>
      </c>
      <c r="O324" s="9">
        <v>2190</v>
      </c>
    </row>
    <row r="325" spans="1:15" ht="18" x14ac:dyDescent="0.35">
      <c r="A325" s="4" t="s">
        <v>432</v>
      </c>
      <c r="B325" s="5">
        <v>45464</v>
      </c>
      <c r="C325" s="6" t="s">
        <v>26</v>
      </c>
      <c r="D325" s="6" t="s">
        <v>53</v>
      </c>
      <c r="E325" s="6" t="s">
        <v>28</v>
      </c>
      <c r="F325" s="6" t="s">
        <v>29</v>
      </c>
      <c r="G325" s="6" t="s">
        <v>40</v>
      </c>
      <c r="H325" s="6" t="s">
        <v>76</v>
      </c>
      <c r="I325" s="6" t="s">
        <v>113</v>
      </c>
      <c r="J325" s="6" t="s">
        <v>57</v>
      </c>
      <c r="K325" s="6" t="s">
        <v>24</v>
      </c>
      <c r="L325" s="6">
        <v>30</v>
      </c>
      <c r="M325" s="7">
        <v>22999</v>
      </c>
      <c r="N325" s="8">
        <v>0.1</v>
      </c>
      <c r="O325" s="9">
        <v>15100</v>
      </c>
    </row>
    <row r="326" spans="1:15" ht="18" x14ac:dyDescent="0.35">
      <c r="A326" s="4" t="s">
        <v>433</v>
      </c>
      <c r="B326" s="5">
        <v>45464</v>
      </c>
      <c r="C326" s="6" t="s">
        <v>82</v>
      </c>
      <c r="D326" s="6" t="s">
        <v>100</v>
      </c>
      <c r="E326" s="6" t="s">
        <v>105</v>
      </c>
      <c r="F326" s="6" t="s">
        <v>39</v>
      </c>
      <c r="G326" s="6" t="s">
        <v>30</v>
      </c>
      <c r="H326" s="6" t="s">
        <v>61</v>
      </c>
      <c r="I326" s="6" t="s">
        <v>186</v>
      </c>
      <c r="J326" s="6" t="s">
        <v>23</v>
      </c>
      <c r="K326" s="6" t="s">
        <v>66</v>
      </c>
      <c r="L326" s="6">
        <v>20</v>
      </c>
      <c r="M326" s="7">
        <v>6999</v>
      </c>
      <c r="N326" s="8">
        <v>0.15</v>
      </c>
      <c r="O326" s="9">
        <v>4320</v>
      </c>
    </row>
    <row r="327" spans="1:15" ht="18" x14ac:dyDescent="0.35">
      <c r="A327" s="4" t="s">
        <v>434</v>
      </c>
      <c r="B327" s="5">
        <v>45465</v>
      </c>
      <c r="C327" s="6" t="s">
        <v>82</v>
      </c>
      <c r="D327" s="6" t="s">
        <v>100</v>
      </c>
      <c r="E327" s="6" t="s">
        <v>60</v>
      </c>
      <c r="F327" s="6" t="s">
        <v>39</v>
      </c>
      <c r="G327" s="6" t="s">
        <v>30</v>
      </c>
      <c r="H327" s="6" t="s">
        <v>31</v>
      </c>
      <c r="I327" s="6" t="s">
        <v>85</v>
      </c>
      <c r="J327" s="6" t="s">
        <v>57</v>
      </c>
      <c r="K327" s="6" t="s">
        <v>34</v>
      </c>
      <c r="L327" s="6">
        <v>19</v>
      </c>
      <c r="M327" s="7">
        <v>43500</v>
      </c>
      <c r="N327" s="8">
        <v>0.18</v>
      </c>
      <c r="O327" s="9">
        <v>29520</v>
      </c>
    </row>
    <row r="328" spans="1:15" ht="18" x14ac:dyDescent="0.35">
      <c r="A328" s="4" t="s">
        <v>435</v>
      </c>
      <c r="B328" s="5">
        <v>45466</v>
      </c>
      <c r="C328" s="6" t="s">
        <v>48</v>
      </c>
      <c r="D328" s="6" t="s">
        <v>93</v>
      </c>
      <c r="E328" s="6" t="s">
        <v>105</v>
      </c>
      <c r="F328" s="6" t="s">
        <v>39</v>
      </c>
      <c r="G328" s="6" t="s">
        <v>54</v>
      </c>
      <c r="H328" s="6" t="s">
        <v>90</v>
      </c>
      <c r="I328" s="6" t="s">
        <v>91</v>
      </c>
      <c r="J328" s="6" t="s">
        <v>57</v>
      </c>
      <c r="K328" s="6" t="s">
        <v>24</v>
      </c>
      <c r="L328" s="6">
        <v>3</v>
      </c>
      <c r="M328" s="7">
        <v>31990</v>
      </c>
      <c r="N328" s="8">
        <v>0.15</v>
      </c>
      <c r="O328" s="9">
        <v>21800</v>
      </c>
    </row>
    <row r="329" spans="1:15" ht="18" x14ac:dyDescent="0.35">
      <c r="A329" s="4" t="s">
        <v>436</v>
      </c>
      <c r="B329" s="5">
        <v>45467</v>
      </c>
      <c r="C329" s="6" t="s">
        <v>48</v>
      </c>
      <c r="D329" s="6" t="s">
        <v>93</v>
      </c>
      <c r="E329" s="6" t="s">
        <v>84</v>
      </c>
      <c r="F329" s="6" t="s">
        <v>19</v>
      </c>
      <c r="G329" s="6" t="s">
        <v>20</v>
      </c>
      <c r="H329" s="6" t="s">
        <v>21</v>
      </c>
      <c r="I329" s="6" t="s">
        <v>115</v>
      </c>
      <c r="J329" s="6" t="s">
        <v>23</v>
      </c>
      <c r="K329" s="6" t="s">
        <v>24</v>
      </c>
      <c r="L329" s="6">
        <v>23</v>
      </c>
      <c r="M329" s="7">
        <v>6499</v>
      </c>
      <c r="N329" s="8">
        <v>0.1</v>
      </c>
      <c r="O329" s="9">
        <v>4210</v>
      </c>
    </row>
    <row r="330" spans="1:15" ht="18" x14ac:dyDescent="0.35">
      <c r="A330" s="4" t="s">
        <v>437</v>
      </c>
      <c r="B330" s="5">
        <v>45467</v>
      </c>
      <c r="C330" s="6" t="s">
        <v>16</v>
      </c>
      <c r="D330" s="6" t="s">
        <v>17</v>
      </c>
      <c r="E330" s="6" t="s">
        <v>28</v>
      </c>
      <c r="F330" s="6" t="s">
        <v>39</v>
      </c>
      <c r="G330" s="6" t="s">
        <v>40</v>
      </c>
      <c r="H330" s="6" t="s">
        <v>41</v>
      </c>
      <c r="I330" s="6" t="s">
        <v>156</v>
      </c>
      <c r="J330" s="6" t="s">
        <v>33</v>
      </c>
      <c r="K330" s="6" t="s">
        <v>24</v>
      </c>
      <c r="L330" s="6">
        <v>32</v>
      </c>
      <c r="M330" s="7">
        <v>48500</v>
      </c>
      <c r="N330" s="8">
        <v>0.08</v>
      </c>
      <c r="O330" s="9">
        <v>30200</v>
      </c>
    </row>
    <row r="331" spans="1:15" ht="18" x14ac:dyDescent="0.35">
      <c r="A331" s="4" t="s">
        <v>438</v>
      </c>
      <c r="B331" s="5">
        <v>45468</v>
      </c>
      <c r="C331" s="6" t="s">
        <v>16</v>
      </c>
      <c r="D331" s="6" t="s">
        <v>98</v>
      </c>
      <c r="E331" s="6" t="s">
        <v>69</v>
      </c>
      <c r="F331" s="6" t="s">
        <v>19</v>
      </c>
      <c r="G331" s="6" t="s">
        <v>40</v>
      </c>
      <c r="H331" s="6" t="s">
        <v>64</v>
      </c>
      <c r="I331" s="6" t="s">
        <v>65</v>
      </c>
      <c r="J331" s="6" t="s">
        <v>23</v>
      </c>
      <c r="K331" s="6" t="s">
        <v>24</v>
      </c>
      <c r="L331" s="6">
        <v>3</v>
      </c>
      <c r="M331" s="7">
        <v>1930</v>
      </c>
      <c r="N331" s="8">
        <v>0.12</v>
      </c>
      <c r="O331" s="9">
        <v>1120</v>
      </c>
    </row>
    <row r="332" spans="1:15" ht="18" x14ac:dyDescent="0.35">
      <c r="A332" s="4" t="s">
        <v>439</v>
      </c>
      <c r="B332" s="5">
        <v>45468</v>
      </c>
      <c r="C332" s="6" t="s">
        <v>36</v>
      </c>
      <c r="D332" s="6" t="s">
        <v>121</v>
      </c>
      <c r="E332" s="6" t="s">
        <v>28</v>
      </c>
      <c r="F332" s="6" t="s">
        <v>19</v>
      </c>
      <c r="G332" s="6" t="s">
        <v>20</v>
      </c>
      <c r="H332" s="6" t="s">
        <v>45</v>
      </c>
      <c r="I332" s="6" t="s">
        <v>196</v>
      </c>
      <c r="J332" s="6" t="s">
        <v>23</v>
      </c>
      <c r="K332" s="6" t="s">
        <v>66</v>
      </c>
      <c r="L332" s="6">
        <v>33</v>
      </c>
      <c r="M332" s="7">
        <v>2499</v>
      </c>
      <c r="N332" s="8">
        <v>0.08</v>
      </c>
      <c r="O332" s="9">
        <v>1510</v>
      </c>
    </row>
    <row r="333" spans="1:15" ht="18" x14ac:dyDescent="0.35">
      <c r="A333" s="4" t="s">
        <v>440</v>
      </c>
      <c r="B333" s="5">
        <v>45468</v>
      </c>
      <c r="C333" s="6" t="s">
        <v>26</v>
      </c>
      <c r="D333" s="6" t="s">
        <v>74</v>
      </c>
      <c r="E333" s="6" t="s">
        <v>18</v>
      </c>
      <c r="F333" s="6" t="s">
        <v>29</v>
      </c>
      <c r="G333" s="6" t="s">
        <v>30</v>
      </c>
      <c r="H333" s="6" t="s">
        <v>31</v>
      </c>
      <c r="I333" s="6" t="s">
        <v>106</v>
      </c>
      <c r="J333" s="6" t="s">
        <v>23</v>
      </c>
      <c r="K333" s="6" t="s">
        <v>24</v>
      </c>
      <c r="L333" s="6">
        <v>28</v>
      </c>
      <c r="M333" s="7">
        <v>52990</v>
      </c>
      <c r="N333" s="8">
        <v>0.18</v>
      </c>
      <c r="O333" s="9">
        <v>35100</v>
      </c>
    </row>
    <row r="334" spans="1:15" ht="18" x14ac:dyDescent="0.35">
      <c r="A334" s="4" t="s">
        <v>441</v>
      </c>
      <c r="B334" s="5">
        <v>45469</v>
      </c>
      <c r="C334" s="6" t="s">
        <v>48</v>
      </c>
      <c r="D334" s="6" t="s">
        <v>49</v>
      </c>
      <c r="E334" s="6" t="s">
        <v>18</v>
      </c>
      <c r="F334" s="6" t="s">
        <v>39</v>
      </c>
      <c r="G334" s="6" t="s">
        <v>30</v>
      </c>
      <c r="H334" s="6" t="s">
        <v>31</v>
      </c>
      <c r="I334" s="6" t="s">
        <v>32</v>
      </c>
      <c r="J334" s="6" t="s">
        <v>57</v>
      </c>
      <c r="K334" s="6" t="s">
        <v>66</v>
      </c>
      <c r="L334" s="6">
        <v>11</v>
      </c>
      <c r="M334" s="7">
        <v>38990</v>
      </c>
      <c r="N334" s="8">
        <v>0.05</v>
      </c>
      <c r="O334" s="9">
        <v>25400</v>
      </c>
    </row>
    <row r="335" spans="1:15" ht="18" x14ac:dyDescent="0.35">
      <c r="A335" s="4" t="s">
        <v>442</v>
      </c>
      <c r="B335" s="5">
        <v>45469</v>
      </c>
      <c r="C335" s="6" t="s">
        <v>26</v>
      </c>
      <c r="D335" s="6" t="s">
        <v>53</v>
      </c>
      <c r="E335" s="6" t="s">
        <v>18</v>
      </c>
      <c r="F335" s="6" t="s">
        <v>39</v>
      </c>
      <c r="G335" s="6" t="s">
        <v>40</v>
      </c>
      <c r="H335" s="6" t="s">
        <v>76</v>
      </c>
      <c r="I335" s="6" t="s">
        <v>113</v>
      </c>
      <c r="J335" s="6" t="s">
        <v>23</v>
      </c>
      <c r="K335" s="6" t="s">
        <v>78</v>
      </c>
      <c r="L335" s="6">
        <v>9</v>
      </c>
      <c r="M335" s="7">
        <v>22999</v>
      </c>
      <c r="N335" s="8">
        <v>0.12</v>
      </c>
      <c r="O335" s="9">
        <v>15100</v>
      </c>
    </row>
    <row r="336" spans="1:15" ht="18" x14ac:dyDescent="0.35">
      <c r="A336" s="4" t="s">
        <v>443</v>
      </c>
      <c r="B336" s="5">
        <v>45470</v>
      </c>
      <c r="C336" s="6" t="s">
        <v>26</v>
      </c>
      <c r="D336" s="6" t="s">
        <v>74</v>
      </c>
      <c r="E336" s="6" t="s">
        <v>75</v>
      </c>
      <c r="F336" s="6" t="s">
        <v>29</v>
      </c>
      <c r="G336" s="6" t="s">
        <v>20</v>
      </c>
      <c r="H336" s="6" t="s">
        <v>21</v>
      </c>
      <c r="I336" s="6" t="s">
        <v>51</v>
      </c>
      <c r="J336" s="6" t="s">
        <v>57</v>
      </c>
      <c r="K336" s="6" t="s">
        <v>34</v>
      </c>
      <c r="L336" s="6">
        <v>11</v>
      </c>
      <c r="M336" s="7">
        <v>5999</v>
      </c>
      <c r="N336" s="8">
        <v>0.1</v>
      </c>
      <c r="O336" s="9">
        <v>3890</v>
      </c>
    </row>
    <row r="337" spans="1:15" ht="18" x14ac:dyDescent="0.35">
      <c r="A337" s="4" t="s">
        <v>444</v>
      </c>
      <c r="B337" s="5">
        <v>45470</v>
      </c>
      <c r="C337" s="6" t="s">
        <v>36</v>
      </c>
      <c r="D337" s="6" t="s">
        <v>121</v>
      </c>
      <c r="E337" s="6" t="s">
        <v>60</v>
      </c>
      <c r="F337" s="6" t="s">
        <v>39</v>
      </c>
      <c r="G337" s="6" t="s">
        <v>30</v>
      </c>
      <c r="H337" s="6" t="s">
        <v>61</v>
      </c>
      <c r="I337" s="6" t="s">
        <v>96</v>
      </c>
      <c r="J337" s="6" t="s">
        <v>33</v>
      </c>
      <c r="K337" s="6" t="s">
        <v>66</v>
      </c>
      <c r="L337" s="6">
        <v>18</v>
      </c>
      <c r="M337" s="7">
        <v>25110</v>
      </c>
      <c r="N337" s="8">
        <v>0.15</v>
      </c>
      <c r="O337" s="9">
        <v>16730</v>
      </c>
    </row>
    <row r="338" spans="1:15" ht="18" x14ac:dyDescent="0.35">
      <c r="A338" s="4" t="s">
        <v>445</v>
      </c>
      <c r="B338" s="5">
        <v>45471</v>
      </c>
      <c r="C338" s="6" t="s">
        <v>36</v>
      </c>
      <c r="D338" s="6" t="s">
        <v>37</v>
      </c>
      <c r="E338" s="6" t="s">
        <v>50</v>
      </c>
      <c r="F338" s="6" t="s">
        <v>39</v>
      </c>
      <c r="G338" s="6" t="s">
        <v>30</v>
      </c>
      <c r="H338" s="6" t="s">
        <v>61</v>
      </c>
      <c r="I338" s="6" t="s">
        <v>96</v>
      </c>
      <c r="J338" s="6" t="s">
        <v>57</v>
      </c>
      <c r="K338" s="6" t="s">
        <v>66</v>
      </c>
      <c r="L338" s="6">
        <v>20</v>
      </c>
      <c r="M338" s="7">
        <v>25110</v>
      </c>
      <c r="N338" s="8">
        <v>0.1</v>
      </c>
      <c r="O338" s="9">
        <v>16730</v>
      </c>
    </row>
    <row r="339" spans="1:15" ht="18" x14ac:dyDescent="0.35">
      <c r="A339" s="4" t="s">
        <v>446</v>
      </c>
      <c r="B339" s="5">
        <v>45471</v>
      </c>
      <c r="C339" s="6" t="s">
        <v>16</v>
      </c>
      <c r="D339" s="6" t="s">
        <v>126</v>
      </c>
      <c r="E339" s="6" t="s">
        <v>60</v>
      </c>
      <c r="F339" s="6" t="s">
        <v>39</v>
      </c>
      <c r="G339" s="6" t="s">
        <v>20</v>
      </c>
      <c r="H339" s="6" t="s">
        <v>45</v>
      </c>
      <c r="I339" s="6" t="s">
        <v>103</v>
      </c>
      <c r="J339" s="6" t="s">
        <v>57</v>
      </c>
      <c r="K339" s="6" t="s">
        <v>24</v>
      </c>
      <c r="L339" s="6">
        <v>19</v>
      </c>
      <c r="M339" s="7">
        <v>1599</v>
      </c>
      <c r="N339" s="8">
        <v>0.1</v>
      </c>
      <c r="O339" s="9">
        <v>920</v>
      </c>
    </row>
    <row r="340" spans="1:15" ht="18" x14ac:dyDescent="0.35">
      <c r="A340" s="4" t="s">
        <v>447</v>
      </c>
      <c r="B340" s="5">
        <v>45472</v>
      </c>
      <c r="C340" s="6" t="s">
        <v>26</v>
      </c>
      <c r="D340" s="6" t="s">
        <v>27</v>
      </c>
      <c r="E340" s="6" t="s">
        <v>101</v>
      </c>
      <c r="F340" s="6" t="s">
        <v>29</v>
      </c>
      <c r="G340" s="6" t="s">
        <v>20</v>
      </c>
      <c r="H340" s="6" t="s">
        <v>21</v>
      </c>
      <c r="I340" s="6" t="s">
        <v>22</v>
      </c>
      <c r="J340" s="6" t="s">
        <v>23</v>
      </c>
      <c r="K340" s="6" t="s">
        <v>24</v>
      </c>
      <c r="L340" s="6">
        <v>21</v>
      </c>
      <c r="M340" s="7">
        <v>4499</v>
      </c>
      <c r="N340" s="8">
        <v>0.12</v>
      </c>
      <c r="O340" s="9">
        <v>2910</v>
      </c>
    </row>
    <row r="341" spans="1:15" ht="18" x14ac:dyDescent="0.35">
      <c r="A341" s="4" t="s">
        <v>448</v>
      </c>
      <c r="B341" s="5">
        <v>45473</v>
      </c>
      <c r="C341" s="6" t="s">
        <v>36</v>
      </c>
      <c r="D341" s="6" t="s">
        <v>44</v>
      </c>
      <c r="E341" s="6" t="s">
        <v>105</v>
      </c>
      <c r="F341" s="6" t="s">
        <v>39</v>
      </c>
      <c r="G341" s="6" t="s">
        <v>20</v>
      </c>
      <c r="H341" s="6" t="s">
        <v>21</v>
      </c>
      <c r="I341" s="6" t="s">
        <v>115</v>
      </c>
      <c r="J341" s="6" t="s">
        <v>23</v>
      </c>
      <c r="K341" s="6" t="s">
        <v>24</v>
      </c>
      <c r="L341" s="6">
        <v>1</v>
      </c>
      <c r="M341" s="7">
        <v>6499</v>
      </c>
      <c r="N341" s="8">
        <v>0.1</v>
      </c>
      <c r="O341" s="9">
        <v>4210</v>
      </c>
    </row>
    <row r="342" spans="1:15" ht="18" x14ac:dyDescent="0.35">
      <c r="A342" s="4" t="s">
        <v>449</v>
      </c>
      <c r="B342" s="5">
        <v>45475</v>
      </c>
      <c r="C342" s="6" t="s">
        <v>26</v>
      </c>
      <c r="D342" s="6" t="s">
        <v>163</v>
      </c>
      <c r="E342" s="6" t="s">
        <v>28</v>
      </c>
      <c r="F342" s="6" t="s">
        <v>19</v>
      </c>
      <c r="G342" s="6" t="s">
        <v>54</v>
      </c>
      <c r="H342" s="6" t="s">
        <v>90</v>
      </c>
      <c r="I342" s="6" t="s">
        <v>258</v>
      </c>
      <c r="J342" s="6" t="s">
        <v>33</v>
      </c>
      <c r="K342" s="6" t="s">
        <v>24</v>
      </c>
      <c r="L342" s="6">
        <v>25</v>
      </c>
      <c r="M342" s="7">
        <v>29010</v>
      </c>
      <c r="N342" s="8">
        <v>0.15</v>
      </c>
      <c r="O342" s="9">
        <v>19150</v>
      </c>
    </row>
    <row r="343" spans="1:15" ht="18" x14ac:dyDescent="0.35">
      <c r="A343" s="4" t="s">
        <v>450</v>
      </c>
      <c r="B343" s="5">
        <v>45475</v>
      </c>
      <c r="C343" s="6" t="s">
        <v>36</v>
      </c>
      <c r="D343" s="6" t="s">
        <v>121</v>
      </c>
      <c r="E343" s="6" t="s">
        <v>69</v>
      </c>
      <c r="F343" s="6" t="s">
        <v>29</v>
      </c>
      <c r="G343" s="6" t="s">
        <v>70</v>
      </c>
      <c r="H343" s="6" t="s">
        <v>71</v>
      </c>
      <c r="I343" s="6" t="s">
        <v>72</v>
      </c>
      <c r="J343" s="6" t="s">
        <v>57</v>
      </c>
      <c r="K343" s="6" t="s">
        <v>34</v>
      </c>
      <c r="L343" s="6">
        <v>35</v>
      </c>
      <c r="M343" s="7">
        <v>3499</v>
      </c>
      <c r="N343" s="8">
        <v>0.18</v>
      </c>
      <c r="O343" s="9">
        <v>2190</v>
      </c>
    </row>
    <row r="344" spans="1:15" ht="18" x14ac:dyDescent="0.35">
      <c r="A344" s="4" t="s">
        <v>451</v>
      </c>
      <c r="B344" s="5">
        <v>45475</v>
      </c>
      <c r="C344" s="6" t="s">
        <v>16</v>
      </c>
      <c r="D344" s="6" t="s">
        <v>17</v>
      </c>
      <c r="E344" s="6" t="s">
        <v>84</v>
      </c>
      <c r="F344" s="6" t="s">
        <v>19</v>
      </c>
      <c r="G344" s="6" t="s">
        <v>20</v>
      </c>
      <c r="H344" s="6" t="s">
        <v>45</v>
      </c>
      <c r="I344" s="6" t="s">
        <v>196</v>
      </c>
      <c r="J344" s="6" t="s">
        <v>57</v>
      </c>
      <c r="K344" s="6" t="s">
        <v>66</v>
      </c>
      <c r="L344" s="6">
        <v>39</v>
      </c>
      <c r="M344" s="7">
        <v>2499</v>
      </c>
      <c r="N344" s="8">
        <v>0.08</v>
      </c>
      <c r="O344" s="9">
        <v>1510</v>
      </c>
    </row>
    <row r="345" spans="1:15" ht="18" x14ac:dyDescent="0.35">
      <c r="A345" s="4" t="s">
        <v>452</v>
      </c>
      <c r="B345" s="5">
        <v>45476</v>
      </c>
      <c r="C345" s="6" t="s">
        <v>16</v>
      </c>
      <c r="D345" s="6" t="s">
        <v>126</v>
      </c>
      <c r="E345" s="6" t="s">
        <v>75</v>
      </c>
      <c r="F345" s="6" t="s">
        <v>39</v>
      </c>
      <c r="G345" s="6" t="s">
        <v>30</v>
      </c>
      <c r="H345" s="6" t="s">
        <v>61</v>
      </c>
      <c r="I345" s="6" t="s">
        <v>62</v>
      </c>
      <c r="J345" s="6" t="s">
        <v>57</v>
      </c>
      <c r="K345" s="6" t="s">
        <v>24</v>
      </c>
      <c r="L345" s="6">
        <v>6</v>
      </c>
      <c r="M345" s="7">
        <v>12490</v>
      </c>
      <c r="N345" s="8">
        <v>0.15</v>
      </c>
      <c r="O345" s="9">
        <v>7900</v>
      </c>
    </row>
    <row r="346" spans="1:15" ht="18" x14ac:dyDescent="0.35">
      <c r="A346" s="4" t="s">
        <v>453</v>
      </c>
      <c r="B346" s="5">
        <v>45476</v>
      </c>
      <c r="C346" s="6" t="s">
        <v>82</v>
      </c>
      <c r="D346" s="6" t="s">
        <v>100</v>
      </c>
      <c r="E346" s="6" t="s">
        <v>105</v>
      </c>
      <c r="F346" s="6" t="s">
        <v>39</v>
      </c>
      <c r="G346" s="6" t="s">
        <v>54</v>
      </c>
      <c r="H346" s="6" t="s">
        <v>55</v>
      </c>
      <c r="I346" s="6" t="s">
        <v>148</v>
      </c>
      <c r="J346" s="6" t="s">
        <v>33</v>
      </c>
      <c r="K346" s="6" t="s">
        <v>24</v>
      </c>
      <c r="L346" s="6">
        <v>32</v>
      </c>
      <c r="M346" s="7">
        <v>4680</v>
      </c>
      <c r="N346" s="8">
        <v>0.05</v>
      </c>
      <c r="O346" s="9">
        <v>3250</v>
      </c>
    </row>
    <row r="347" spans="1:15" ht="18" x14ac:dyDescent="0.35">
      <c r="A347" s="4" t="s">
        <v>454</v>
      </c>
      <c r="B347" s="5">
        <v>45476</v>
      </c>
      <c r="C347" s="6" t="s">
        <v>16</v>
      </c>
      <c r="D347" s="6" t="s">
        <v>17</v>
      </c>
      <c r="E347" s="6" t="s">
        <v>75</v>
      </c>
      <c r="F347" s="6" t="s">
        <v>39</v>
      </c>
      <c r="G347" s="6" t="s">
        <v>70</v>
      </c>
      <c r="H347" s="6" t="s">
        <v>71</v>
      </c>
      <c r="I347" s="6" t="s">
        <v>72</v>
      </c>
      <c r="J347" s="6" t="s">
        <v>57</v>
      </c>
      <c r="K347" s="6" t="s">
        <v>66</v>
      </c>
      <c r="L347" s="6">
        <v>20</v>
      </c>
      <c r="M347" s="7">
        <v>3499</v>
      </c>
      <c r="N347" s="8">
        <v>0.08</v>
      </c>
      <c r="O347" s="9">
        <v>2190</v>
      </c>
    </row>
    <row r="348" spans="1:15" ht="18" x14ac:dyDescent="0.35">
      <c r="A348" s="4" t="s">
        <v>455</v>
      </c>
      <c r="B348" s="5">
        <v>45476</v>
      </c>
      <c r="C348" s="6" t="s">
        <v>82</v>
      </c>
      <c r="D348" s="6" t="s">
        <v>87</v>
      </c>
      <c r="E348" s="6" t="s">
        <v>84</v>
      </c>
      <c r="F348" s="6" t="s">
        <v>19</v>
      </c>
      <c r="G348" s="6" t="s">
        <v>40</v>
      </c>
      <c r="H348" s="6" t="s">
        <v>76</v>
      </c>
      <c r="I348" s="6" t="s">
        <v>139</v>
      </c>
      <c r="J348" s="6" t="s">
        <v>23</v>
      </c>
      <c r="K348" s="6" t="s">
        <v>24</v>
      </c>
      <c r="L348" s="6">
        <v>32</v>
      </c>
      <c r="M348" s="7">
        <v>25999</v>
      </c>
      <c r="N348" s="8">
        <v>0.2</v>
      </c>
      <c r="O348" s="9">
        <v>17800</v>
      </c>
    </row>
    <row r="349" spans="1:15" ht="18" x14ac:dyDescent="0.35">
      <c r="A349" s="4" t="s">
        <v>456</v>
      </c>
      <c r="B349" s="5">
        <v>45476</v>
      </c>
      <c r="C349" s="6" t="s">
        <v>36</v>
      </c>
      <c r="D349" s="6" t="s">
        <v>44</v>
      </c>
      <c r="E349" s="6" t="s">
        <v>60</v>
      </c>
      <c r="F349" s="6" t="s">
        <v>19</v>
      </c>
      <c r="G349" s="6" t="s">
        <v>40</v>
      </c>
      <c r="H349" s="6" t="s">
        <v>76</v>
      </c>
      <c r="I349" s="6" t="s">
        <v>139</v>
      </c>
      <c r="J349" s="6" t="s">
        <v>33</v>
      </c>
      <c r="K349" s="6" t="s">
        <v>34</v>
      </c>
      <c r="L349" s="6">
        <v>18</v>
      </c>
      <c r="M349" s="7">
        <v>25999</v>
      </c>
      <c r="N349" s="8">
        <v>0.18</v>
      </c>
      <c r="O349" s="9">
        <v>17800</v>
      </c>
    </row>
    <row r="350" spans="1:15" ht="18" x14ac:dyDescent="0.35">
      <c r="A350" s="4" t="s">
        <v>457</v>
      </c>
      <c r="B350" s="5">
        <v>45478</v>
      </c>
      <c r="C350" s="6" t="s">
        <v>48</v>
      </c>
      <c r="D350" s="6" t="s">
        <v>49</v>
      </c>
      <c r="E350" s="6" t="s">
        <v>18</v>
      </c>
      <c r="F350" s="6" t="s">
        <v>19</v>
      </c>
      <c r="G350" s="6" t="s">
        <v>40</v>
      </c>
      <c r="H350" s="6" t="s">
        <v>41</v>
      </c>
      <c r="I350" s="6" t="s">
        <v>156</v>
      </c>
      <c r="J350" s="6" t="s">
        <v>57</v>
      </c>
      <c r="K350" s="6" t="s">
        <v>24</v>
      </c>
      <c r="L350" s="6">
        <v>30</v>
      </c>
      <c r="M350" s="7">
        <v>48500</v>
      </c>
      <c r="N350" s="8">
        <v>0.18</v>
      </c>
      <c r="O350" s="9">
        <v>30200</v>
      </c>
    </row>
    <row r="351" spans="1:15" ht="18" x14ac:dyDescent="0.35">
      <c r="A351" s="4" t="s">
        <v>458</v>
      </c>
      <c r="B351" s="5">
        <v>45478</v>
      </c>
      <c r="C351" s="6" t="s">
        <v>36</v>
      </c>
      <c r="D351" s="6" t="s">
        <v>59</v>
      </c>
      <c r="E351" s="6" t="s">
        <v>28</v>
      </c>
      <c r="F351" s="6" t="s">
        <v>29</v>
      </c>
      <c r="G351" s="6" t="s">
        <v>70</v>
      </c>
      <c r="H351" s="6" t="s">
        <v>71</v>
      </c>
      <c r="I351" s="6" t="s">
        <v>88</v>
      </c>
      <c r="J351" s="6" t="s">
        <v>33</v>
      </c>
      <c r="K351" s="6" t="s">
        <v>24</v>
      </c>
      <c r="L351" s="6">
        <v>40</v>
      </c>
      <c r="M351" s="7">
        <v>999</v>
      </c>
      <c r="N351" s="8">
        <v>0.2</v>
      </c>
      <c r="O351" s="9">
        <v>540</v>
      </c>
    </row>
    <row r="352" spans="1:15" ht="18" x14ac:dyDescent="0.35">
      <c r="A352" s="4" t="s">
        <v>459</v>
      </c>
      <c r="B352" s="5">
        <v>45479</v>
      </c>
      <c r="C352" s="6" t="s">
        <v>82</v>
      </c>
      <c r="D352" s="6" t="s">
        <v>183</v>
      </c>
      <c r="E352" s="6" t="s">
        <v>50</v>
      </c>
      <c r="F352" s="6" t="s">
        <v>19</v>
      </c>
      <c r="G352" s="6" t="s">
        <v>40</v>
      </c>
      <c r="H352" s="6" t="s">
        <v>64</v>
      </c>
      <c r="I352" s="6" t="s">
        <v>153</v>
      </c>
      <c r="J352" s="6" t="s">
        <v>57</v>
      </c>
      <c r="K352" s="6" t="s">
        <v>24</v>
      </c>
      <c r="L352" s="6">
        <v>8</v>
      </c>
      <c r="M352" s="7">
        <v>4490</v>
      </c>
      <c r="N352" s="8">
        <v>0.12</v>
      </c>
      <c r="O352" s="9">
        <v>2950</v>
      </c>
    </row>
    <row r="353" spans="1:15" ht="18" x14ac:dyDescent="0.35">
      <c r="A353" s="4" t="s">
        <v>460</v>
      </c>
      <c r="B353" s="5">
        <v>45480</v>
      </c>
      <c r="C353" s="6" t="s">
        <v>16</v>
      </c>
      <c r="D353" s="6" t="s">
        <v>126</v>
      </c>
      <c r="E353" s="6" t="s">
        <v>69</v>
      </c>
      <c r="F353" s="6" t="s">
        <v>19</v>
      </c>
      <c r="G353" s="6" t="s">
        <v>40</v>
      </c>
      <c r="H353" s="6" t="s">
        <v>64</v>
      </c>
      <c r="I353" s="6" t="s">
        <v>65</v>
      </c>
      <c r="J353" s="6" t="s">
        <v>57</v>
      </c>
      <c r="K353" s="6" t="s">
        <v>78</v>
      </c>
      <c r="L353" s="6">
        <v>18</v>
      </c>
      <c r="M353" s="7">
        <v>1930</v>
      </c>
      <c r="N353" s="8">
        <v>0.18</v>
      </c>
      <c r="O353" s="9">
        <v>1120</v>
      </c>
    </row>
    <row r="354" spans="1:15" ht="18" x14ac:dyDescent="0.35">
      <c r="A354" s="4" t="s">
        <v>461</v>
      </c>
      <c r="B354" s="5">
        <v>45480</v>
      </c>
      <c r="C354" s="6" t="s">
        <v>48</v>
      </c>
      <c r="D354" s="6" t="s">
        <v>136</v>
      </c>
      <c r="E354" s="6" t="s">
        <v>28</v>
      </c>
      <c r="F354" s="6" t="s">
        <v>29</v>
      </c>
      <c r="G354" s="6" t="s">
        <v>20</v>
      </c>
      <c r="H354" s="6" t="s">
        <v>21</v>
      </c>
      <c r="I354" s="6" t="s">
        <v>51</v>
      </c>
      <c r="J354" s="6" t="s">
        <v>23</v>
      </c>
      <c r="K354" s="6" t="s">
        <v>66</v>
      </c>
      <c r="L354" s="6">
        <v>27</v>
      </c>
      <c r="M354" s="7">
        <v>5999</v>
      </c>
      <c r="N354" s="8">
        <v>0.2</v>
      </c>
      <c r="O354" s="9">
        <v>3890</v>
      </c>
    </row>
    <row r="355" spans="1:15" ht="18" x14ac:dyDescent="0.35">
      <c r="A355" s="4" t="s">
        <v>462</v>
      </c>
      <c r="B355" s="5">
        <v>45480</v>
      </c>
      <c r="C355" s="6" t="s">
        <v>26</v>
      </c>
      <c r="D355" s="6" t="s">
        <v>53</v>
      </c>
      <c r="E355" s="6" t="s">
        <v>38</v>
      </c>
      <c r="F355" s="6" t="s">
        <v>19</v>
      </c>
      <c r="G355" s="6" t="s">
        <v>20</v>
      </c>
      <c r="H355" s="6" t="s">
        <v>45</v>
      </c>
      <c r="I355" s="6" t="s">
        <v>46</v>
      </c>
      <c r="J355" s="6" t="s">
        <v>33</v>
      </c>
      <c r="K355" s="6" t="s">
        <v>78</v>
      </c>
      <c r="L355" s="6">
        <v>31</v>
      </c>
      <c r="M355" s="7">
        <v>1899</v>
      </c>
      <c r="N355" s="8">
        <v>0.18</v>
      </c>
      <c r="O355" s="9">
        <v>1080</v>
      </c>
    </row>
    <row r="356" spans="1:15" ht="18" x14ac:dyDescent="0.35">
      <c r="A356" s="4" t="s">
        <v>463</v>
      </c>
      <c r="B356" s="5">
        <v>45481</v>
      </c>
      <c r="C356" s="6" t="s">
        <v>16</v>
      </c>
      <c r="D356" s="6" t="s">
        <v>111</v>
      </c>
      <c r="E356" s="6" t="s">
        <v>105</v>
      </c>
      <c r="F356" s="6" t="s">
        <v>39</v>
      </c>
      <c r="G356" s="6" t="s">
        <v>20</v>
      </c>
      <c r="H356" s="6" t="s">
        <v>45</v>
      </c>
      <c r="I356" s="6" t="s">
        <v>46</v>
      </c>
      <c r="J356" s="6" t="s">
        <v>23</v>
      </c>
      <c r="K356" s="6" t="s">
        <v>34</v>
      </c>
      <c r="L356" s="6">
        <v>21</v>
      </c>
      <c r="M356" s="7">
        <v>1899</v>
      </c>
      <c r="N356" s="8">
        <v>0.08</v>
      </c>
      <c r="O356" s="9">
        <v>1080</v>
      </c>
    </row>
    <row r="357" spans="1:15" ht="18" x14ac:dyDescent="0.35">
      <c r="A357" s="4" t="s">
        <v>464</v>
      </c>
      <c r="B357" s="5">
        <v>45481</v>
      </c>
      <c r="C357" s="6" t="s">
        <v>26</v>
      </c>
      <c r="D357" s="6" t="s">
        <v>163</v>
      </c>
      <c r="E357" s="6" t="s">
        <v>50</v>
      </c>
      <c r="F357" s="6" t="s">
        <v>19</v>
      </c>
      <c r="G357" s="6" t="s">
        <v>20</v>
      </c>
      <c r="H357" s="6" t="s">
        <v>21</v>
      </c>
      <c r="I357" s="6" t="s">
        <v>51</v>
      </c>
      <c r="J357" s="6" t="s">
        <v>23</v>
      </c>
      <c r="K357" s="6" t="s">
        <v>78</v>
      </c>
      <c r="L357" s="6">
        <v>31</v>
      </c>
      <c r="M357" s="7">
        <v>5999</v>
      </c>
      <c r="N357" s="8">
        <v>0.08</v>
      </c>
      <c r="O357" s="9">
        <v>3890</v>
      </c>
    </row>
    <row r="358" spans="1:15" ht="18" x14ac:dyDescent="0.35">
      <c r="A358" s="4" t="s">
        <v>465</v>
      </c>
      <c r="B358" s="5">
        <v>45481</v>
      </c>
      <c r="C358" s="6" t="s">
        <v>82</v>
      </c>
      <c r="D358" s="6" t="s">
        <v>87</v>
      </c>
      <c r="E358" s="6" t="s">
        <v>50</v>
      </c>
      <c r="F358" s="6" t="s">
        <v>39</v>
      </c>
      <c r="G358" s="6" t="s">
        <v>70</v>
      </c>
      <c r="H358" s="6" t="s">
        <v>71</v>
      </c>
      <c r="I358" s="6" t="s">
        <v>72</v>
      </c>
      <c r="J358" s="6" t="s">
        <v>57</v>
      </c>
      <c r="K358" s="6" t="s">
        <v>24</v>
      </c>
      <c r="L358" s="6">
        <v>26</v>
      </c>
      <c r="M358" s="7">
        <v>3499</v>
      </c>
      <c r="N358" s="8">
        <v>0.08</v>
      </c>
      <c r="O358" s="9">
        <v>2190</v>
      </c>
    </row>
    <row r="359" spans="1:15" ht="18" x14ac:dyDescent="0.35">
      <c r="A359" s="4" t="s">
        <v>466</v>
      </c>
      <c r="B359" s="5">
        <v>45482</v>
      </c>
      <c r="C359" s="6" t="s">
        <v>16</v>
      </c>
      <c r="D359" s="6" t="s">
        <v>111</v>
      </c>
      <c r="E359" s="6" t="s">
        <v>60</v>
      </c>
      <c r="F359" s="6" t="s">
        <v>39</v>
      </c>
      <c r="G359" s="6" t="s">
        <v>20</v>
      </c>
      <c r="H359" s="6" t="s">
        <v>21</v>
      </c>
      <c r="I359" s="6" t="s">
        <v>115</v>
      </c>
      <c r="J359" s="6" t="s">
        <v>33</v>
      </c>
      <c r="K359" s="6" t="s">
        <v>24</v>
      </c>
      <c r="L359" s="6">
        <v>28</v>
      </c>
      <c r="M359" s="7">
        <v>6499</v>
      </c>
      <c r="N359" s="8">
        <v>0.05</v>
      </c>
      <c r="O359" s="9">
        <v>4210</v>
      </c>
    </row>
    <row r="360" spans="1:15" ht="18" x14ac:dyDescent="0.35">
      <c r="A360" s="4" t="s">
        <v>467</v>
      </c>
      <c r="B360" s="5">
        <v>45482</v>
      </c>
      <c r="C360" s="6" t="s">
        <v>36</v>
      </c>
      <c r="D360" s="6" t="s">
        <v>121</v>
      </c>
      <c r="E360" s="6" t="s">
        <v>75</v>
      </c>
      <c r="F360" s="6" t="s">
        <v>29</v>
      </c>
      <c r="G360" s="6" t="s">
        <v>20</v>
      </c>
      <c r="H360" s="6" t="s">
        <v>45</v>
      </c>
      <c r="I360" s="6" t="s">
        <v>196</v>
      </c>
      <c r="J360" s="6" t="s">
        <v>23</v>
      </c>
      <c r="K360" s="6" t="s">
        <v>78</v>
      </c>
      <c r="L360" s="6">
        <v>11</v>
      </c>
      <c r="M360" s="7">
        <v>2499</v>
      </c>
      <c r="N360" s="8">
        <v>0.1</v>
      </c>
      <c r="O360" s="9">
        <v>1510</v>
      </c>
    </row>
    <row r="361" spans="1:15" ht="18" x14ac:dyDescent="0.35">
      <c r="A361" s="4" t="s">
        <v>468</v>
      </c>
      <c r="B361" s="5">
        <v>45482</v>
      </c>
      <c r="C361" s="6" t="s">
        <v>36</v>
      </c>
      <c r="D361" s="6" t="s">
        <v>44</v>
      </c>
      <c r="E361" s="6" t="s">
        <v>18</v>
      </c>
      <c r="F361" s="6" t="s">
        <v>19</v>
      </c>
      <c r="G361" s="6" t="s">
        <v>54</v>
      </c>
      <c r="H361" s="6" t="s">
        <v>90</v>
      </c>
      <c r="I361" s="6" t="s">
        <v>91</v>
      </c>
      <c r="J361" s="6" t="s">
        <v>57</v>
      </c>
      <c r="K361" s="6" t="s">
        <v>24</v>
      </c>
      <c r="L361" s="6">
        <v>5</v>
      </c>
      <c r="M361" s="7">
        <v>31990</v>
      </c>
      <c r="N361" s="8">
        <v>0.15</v>
      </c>
      <c r="O361" s="9">
        <v>21800</v>
      </c>
    </row>
    <row r="362" spans="1:15" ht="18" x14ac:dyDescent="0.35">
      <c r="A362" s="4" t="s">
        <v>469</v>
      </c>
      <c r="B362" s="5">
        <v>45482</v>
      </c>
      <c r="C362" s="6" t="s">
        <v>82</v>
      </c>
      <c r="D362" s="6" t="s">
        <v>83</v>
      </c>
      <c r="E362" s="6" t="s">
        <v>105</v>
      </c>
      <c r="F362" s="6" t="s">
        <v>19</v>
      </c>
      <c r="G362" s="6" t="s">
        <v>70</v>
      </c>
      <c r="H362" s="6" t="s">
        <v>71</v>
      </c>
      <c r="I362" s="6" t="s">
        <v>88</v>
      </c>
      <c r="J362" s="6" t="s">
        <v>33</v>
      </c>
      <c r="K362" s="6" t="s">
        <v>66</v>
      </c>
      <c r="L362" s="6">
        <v>2</v>
      </c>
      <c r="M362" s="7">
        <v>999</v>
      </c>
      <c r="N362" s="8">
        <v>0.08</v>
      </c>
      <c r="O362" s="9">
        <v>540</v>
      </c>
    </row>
    <row r="363" spans="1:15" ht="18" x14ac:dyDescent="0.35">
      <c r="A363" s="4" t="s">
        <v>470</v>
      </c>
      <c r="B363" s="5">
        <v>45483</v>
      </c>
      <c r="C363" s="6" t="s">
        <v>48</v>
      </c>
      <c r="D363" s="6" t="s">
        <v>93</v>
      </c>
      <c r="E363" s="6" t="s">
        <v>60</v>
      </c>
      <c r="F363" s="6" t="s">
        <v>39</v>
      </c>
      <c r="G363" s="6" t="s">
        <v>30</v>
      </c>
      <c r="H363" s="6" t="s">
        <v>61</v>
      </c>
      <c r="I363" s="6" t="s">
        <v>96</v>
      </c>
      <c r="J363" s="6" t="s">
        <v>57</v>
      </c>
      <c r="K363" s="6" t="s">
        <v>24</v>
      </c>
      <c r="L363" s="6">
        <v>19</v>
      </c>
      <c r="M363" s="7">
        <v>25110</v>
      </c>
      <c r="N363" s="8">
        <v>0.1</v>
      </c>
      <c r="O363" s="9">
        <v>16730</v>
      </c>
    </row>
    <row r="364" spans="1:15" ht="18" x14ac:dyDescent="0.35">
      <c r="A364" s="4" t="s">
        <v>471</v>
      </c>
      <c r="B364" s="5">
        <v>45483</v>
      </c>
      <c r="C364" s="6" t="s">
        <v>26</v>
      </c>
      <c r="D364" s="6" t="s">
        <v>163</v>
      </c>
      <c r="E364" s="6" t="s">
        <v>75</v>
      </c>
      <c r="F364" s="6" t="s">
        <v>19</v>
      </c>
      <c r="G364" s="6" t="s">
        <v>40</v>
      </c>
      <c r="H364" s="6" t="s">
        <v>76</v>
      </c>
      <c r="I364" s="6" t="s">
        <v>77</v>
      </c>
      <c r="J364" s="6" t="s">
        <v>57</v>
      </c>
      <c r="K364" s="6" t="s">
        <v>24</v>
      </c>
      <c r="L364" s="6">
        <v>25</v>
      </c>
      <c r="M364" s="7">
        <v>52990</v>
      </c>
      <c r="N364" s="8">
        <v>0.05</v>
      </c>
      <c r="O364" s="9">
        <v>39500</v>
      </c>
    </row>
    <row r="365" spans="1:15" ht="18" x14ac:dyDescent="0.35">
      <c r="A365" s="4" t="s">
        <v>472</v>
      </c>
      <c r="B365" s="5">
        <v>45483</v>
      </c>
      <c r="C365" s="6" t="s">
        <v>26</v>
      </c>
      <c r="D365" s="6" t="s">
        <v>74</v>
      </c>
      <c r="E365" s="6" t="s">
        <v>69</v>
      </c>
      <c r="F365" s="6" t="s">
        <v>19</v>
      </c>
      <c r="G365" s="6" t="s">
        <v>20</v>
      </c>
      <c r="H365" s="6" t="s">
        <v>45</v>
      </c>
      <c r="I365" s="6" t="s">
        <v>46</v>
      </c>
      <c r="J365" s="6" t="s">
        <v>33</v>
      </c>
      <c r="K365" s="6" t="s">
        <v>78</v>
      </c>
      <c r="L365" s="6">
        <v>13</v>
      </c>
      <c r="M365" s="7">
        <v>1899</v>
      </c>
      <c r="N365" s="8">
        <v>0.18</v>
      </c>
      <c r="O365" s="9">
        <v>1080</v>
      </c>
    </row>
    <row r="366" spans="1:15" ht="18" x14ac:dyDescent="0.35">
      <c r="A366" s="4" t="s">
        <v>473</v>
      </c>
      <c r="B366" s="5">
        <v>45484</v>
      </c>
      <c r="C366" s="6" t="s">
        <v>48</v>
      </c>
      <c r="D366" s="6" t="s">
        <v>136</v>
      </c>
      <c r="E366" s="6" t="s">
        <v>50</v>
      </c>
      <c r="F366" s="6" t="s">
        <v>39</v>
      </c>
      <c r="G366" s="6" t="s">
        <v>30</v>
      </c>
      <c r="H366" s="6" t="s">
        <v>31</v>
      </c>
      <c r="I366" s="6" t="s">
        <v>85</v>
      </c>
      <c r="J366" s="6" t="s">
        <v>33</v>
      </c>
      <c r="K366" s="6" t="s">
        <v>24</v>
      </c>
      <c r="L366" s="6">
        <v>2</v>
      </c>
      <c r="M366" s="7">
        <v>43500</v>
      </c>
      <c r="N366" s="8">
        <v>0.1</v>
      </c>
      <c r="O366" s="9">
        <v>29520</v>
      </c>
    </row>
    <row r="367" spans="1:15" ht="18" x14ac:dyDescent="0.35">
      <c r="A367" s="4" t="s">
        <v>474</v>
      </c>
      <c r="B367" s="5">
        <v>45484</v>
      </c>
      <c r="C367" s="6" t="s">
        <v>16</v>
      </c>
      <c r="D367" s="6" t="s">
        <v>111</v>
      </c>
      <c r="E367" s="6" t="s">
        <v>38</v>
      </c>
      <c r="F367" s="6" t="s">
        <v>39</v>
      </c>
      <c r="G367" s="6" t="s">
        <v>40</v>
      </c>
      <c r="H367" s="6" t="s">
        <v>41</v>
      </c>
      <c r="I367" s="6" t="s">
        <v>42</v>
      </c>
      <c r="J367" s="6" t="s">
        <v>33</v>
      </c>
      <c r="K367" s="6" t="s">
        <v>34</v>
      </c>
      <c r="L367" s="6">
        <v>29</v>
      </c>
      <c r="M367" s="7">
        <v>55230</v>
      </c>
      <c r="N367" s="8">
        <v>0.1</v>
      </c>
      <c r="O367" s="9">
        <v>33800</v>
      </c>
    </row>
    <row r="368" spans="1:15" ht="18" x14ac:dyDescent="0.35">
      <c r="A368" s="4" t="s">
        <v>475</v>
      </c>
      <c r="B368" s="5">
        <v>45485</v>
      </c>
      <c r="C368" s="6" t="s">
        <v>36</v>
      </c>
      <c r="D368" s="6" t="s">
        <v>44</v>
      </c>
      <c r="E368" s="6" t="s">
        <v>28</v>
      </c>
      <c r="F368" s="6" t="s">
        <v>39</v>
      </c>
      <c r="G368" s="6" t="s">
        <v>54</v>
      </c>
      <c r="H368" s="6" t="s">
        <v>129</v>
      </c>
      <c r="I368" s="6" t="s">
        <v>192</v>
      </c>
      <c r="J368" s="6" t="s">
        <v>57</v>
      </c>
      <c r="K368" s="6" t="s">
        <v>24</v>
      </c>
      <c r="L368" s="6">
        <v>32</v>
      </c>
      <c r="M368" s="7">
        <v>29010</v>
      </c>
      <c r="N368" s="8">
        <v>0.15</v>
      </c>
      <c r="O368" s="9">
        <v>19100</v>
      </c>
    </row>
    <row r="369" spans="1:15" ht="18" x14ac:dyDescent="0.35">
      <c r="A369" s="4" t="s">
        <v>476</v>
      </c>
      <c r="B369" s="5">
        <v>45486</v>
      </c>
      <c r="C369" s="6" t="s">
        <v>16</v>
      </c>
      <c r="D369" s="6" t="s">
        <v>111</v>
      </c>
      <c r="E369" s="6" t="s">
        <v>18</v>
      </c>
      <c r="F369" s="6" t="s">
        <v>29</v>
      </c>
      <c r="G369" s="6" t="s">
        <v>30</v>
      </c>
      <c r="H369" s="6" t="s">
        <v>31</v>
      </c>
      <c r="I369" s="6" t="s">
        <v>85</v>
      </c>
      <c r="J369" s="6" t="s">
        <v>57</v>
      </c>
      <c r="K369" s="6" t="s">
        <v>78</v>
      </c>
      <c r="L369" s="6">
        <v>40</v>
      </c>
      <c r="M369" s="7">
        <v>43500</v>
      </c>
      <c r="N369" s="8">
        <v>0.18</v>
      </c>
      <c r="O369" s="9">
        <v>29520</v>
      </c>
    </row>
    <row r="370" spans="1:15" ht="18" x14ac:dyDescent="0.35">
      <c r="A370" s="4" t="s">
        <v>477</v>
      </c>
      <c r="B370" s="5">
        <v>45486</v>
      </c>
      <c r="C370" s="6" t="s">
        <v>48</v>
      </c>
      <c r="D370" s="6" t="s">
        <v>136</v>
      </c>
      <c r="E370" s="6" t="s">
        <v>84</v>
      </c>
      <c r="F370" s="6" t="s">
        <v>19</v>
      </c>
      <c r="G370" s="6" t="s">
        <v>70</v>
      </c>
      <c r="H370" s="6" t="s">
        <v>71</v>
      </c>
      <c r="I370" s="6" t="s">
        <v>88</v>
      </c>
      <c r="J370" s="6" t="s">
        <v>23</v>
      </c>
      <c r="K370" s="6" t="s">
        <v>34</v>
      </c>
      <c r="L370" s="6">
        <v>12</v>
      </c>
      <c r="M370" s="7">
        <v>999</v>
      </c>
      <c r="N370" s="8">
        <v>0.15</v>
      </c>
      <c r="O370" s="9">
        <v>540</v>
      </c>
    </row>
    <row r="371" spans="1:15" ht="18" x14ac:dyDescent="0.35">
      <c r="A371" s="4" t="s">
        <v>478</v>
      </c>
      <c r="B371" s="5">
        <v>45486</v>
      </c>
      <c r="C371" s="6" t="s">
        <v>48</v>
      </c>
      <c r="D371" s="6" t="s">
        <v>49</v>
      </c>
      <c r="E371" s="6" t="s">
        <v>69</v>
      </c>
      <c r="F371" s="6" t="s">
        <v>39</v>
      </c>
      <c r="G371" s="6" t="s">
        <v>30</v>
      </c>
      <c r="H371" s="6" t="s">
        <v>31</v>
      </c>
      <c r="I371" s="6" t="s">
        <v>85</v>
      </c>
      <c r="J371" s="6" t="s">
        <v>33</v>
      </c>
      <c r="K371" s="6" t="s">
        <v>24</v>
      </c>
      <c r="L371" s="6">
        <v>25</v>
      </c>
      <c r="M371" s="7">
        <v>43500</v>
      </c>
      <c r="N371" s="8">
        <v>0.08</v>
      </c>
      <c r="O371" s="9">
        <v>29520</v>
      </c>
    </row>
    <row r="372" spans="1:15" ht="18" x14ac:dyDescent="0.35">
      <c r="A372" s="4" t="s">
        <v>479</v>
      </c>
      <c r="B372" s="5">
        <v>45486</v>
      </c>
      <c r="C372" s="6" t="s">
        <v>36</v>
      </c>
      <c r="D372" s="6" t="s">
        <v>121</v>
      </c>
      <c r="E372" s="6" t="s">
        <v>28</v>
      </c>
      <c r="F372" s="6" t="s">
        <v>39</v>
      </c>
      <c r="G372" s="6" t="s">
        <v>70</v>
      </c>
      <c r="H372" s="6" t="s">
        <v>71</v>
      </c>
      <c r="I372" s="6" t="s">
        <v>80</v>
      </c>
      <c r="J372" s="6" t="s">
        <v>33</v>
      </c>
      <c r="K372" s="6" t="s">
        <v>24</v>
      </c>
      <c r="L372" s="6">
        <v>21</v>
      </c>
      <c r="M372" s="7">
        <v>1299</v>
      </c>
      <c r="N372" s="8">
        <v>0.1</v>
      </c>
      <c r="O372" s="9">
        <v>720</v>
      </c>
    </row>
    <row r="373" spans="1:15" ht="18" x14ac:dyDescent="0.35">
      <c r="A373" s="4" t="s">
        <v>480</v>
      </c>
      <c r="B373" s="5">
        <v>45487</v>
      </c>
      <c r="C373" s="6" t="s">
        <v>26</v>
      </c>
      <c r="D373" s="6" t="s">
        <v>53</v>
      </c>
      <c r="E373" s="6" t="s">
        <v>18</v>
      </c>
      <c r="F373" s="6" t="s">
        <v>39</v>
      </c>
      <c r="G373" s="6" t="s">
        <v>20</v>
      </c>
      <c r="H373" s="6" t="s">
        <v>21</v>
      </c>
      <c r="I373" s="6" t="s">
        <v>115</v>
      </c>
      <c r="J373" s="6" t="s">
        <v>33</v>
      </c>
      <c r="K373" s="6" t="s">
        <v>24</v>
      </c>
      <c r="L373" s="6">
        <v>40</v>
      </c>
      <c r="M373" s="7">
        <v>6499</v>
      </c>
      <c r="N373" s="8">
        <v>0.2</v>
      </c>
      <c r="O373" s="9">
        <v>4210</v>
      </c>
    </row>
    <row r="374" spans="1:15" ht="18" x14ac:dyDescent="0.35">
      <c r="A374" s="4" t="s">
        <v>481</v>
      </c>
      <c r="B374" s="5">
        <v>45487</v>
      </c>
      <c r="C374" s="6" t="s">
        <v>26</v>
      </c>
      <c r="D374" s="6" t="s">
        <v>27</v>
      </c>
      <c r="E374" s="6" t="s">
        <v>101</v>
      </c>
      <c r="F374" s="6" t="s">
        <v>39</v>
      </c>
      <c r="G374" s="6" t="s">
        <v>40</v>
      </c>
      <c r="H374" s="6" t="s">
        <v>76</v>
      </c>
      <c r="I374" s="6" t="s">
        <v>113</v>
      </c>
      <c r="J374" s="6" t="s">
        <v>23</v>
      </c>
      <c r="K374" s="6" t="s">
        <v>66</v>
      </c>
      <c r="L374" s="6">
        <v>17</v>
      </c>
      <c r="M374" s="7">
        <v>22999</v>
      </c>
      <c r="N374" s="8">
        <v>0.15</v>
      </c>
      <c r="O374" s="9">
        <v>15100</v>
      </c>
    </row>
    <row r="375" spans="1:15" ht="18" x14ac:dyDescent="0.35">
      <c r="A375" s="4" t="s">
        <v>482</v>
      </c>
      <c r="B375" s="5">
        <v>45487</v>
      </c>
      <c r="C375" s="6" t="s">
        <v>48</v>
      </c>
      <c r="D375" s="6" t="s">
        <v>49</v>
      </c>
      <c r="E375" s="6" t="s">
        <v>84</v>
      </c>
      <c r="F375" s="6" t="s">
        <v>19</v>
      </c>
      <c r="G375" s="6" t="s">
        <v>40</v>
      </c>
      <c r="H375" s="6" t="s">
        <v>76</v>
      </c>
      <c r="I375" s="6" t="s">
        <v>113</v>
      </c>
      <c r="J375" s="6" t="s">
        <v>33</v>
      </c>
      <c r="K375" s="6" t="s">
        <v>24</v>
      </c>
      <c r="L375" s="6">
        <v>27</v>
      </c>
      <c r="M375" s="7">
        <v>22999</v>
      </c>
      <c r="N375" s="8">
        <v>0.1</v>
      </c>
      <c r="O375" s="9">
        <v>15100</v>
      </c>
    </row>
    <row r="376" spans="1:15" ht="18" x14ac:dyDescent="0.35">
      <c r="A376" s="4" t="s">
        <v>483</v>
      </c>
      <c r="B376" s="5">
        <v>45487</v>
      </c>
      <c r="C376" s="6" t="s">
        <v>36</v>
      </c>
      <c r="D376" s="6" t="s">
        <v>121</v>
      </c>
      <c r="E376" s="6" t="s">
        <v>18</v>
      </c>
      <c r="F376" s="6" t="s">
        <v>29</v>
      </c>
      <c r="G376" s="6" t="s">
        <v>30</v>
      </c>
      <c r="H376" s="6" t="s">
        <v>31</v>
      </c>
      <c r="I376" s="6" t="s">
        <v>85</v>
      </c>
      <c r="J376" s="6" t="s">
        <v>23</v>
      </c>
      <c r="K376" s="6" t="s">
        <v>24</v>
      </c>
      <c r="L376" s="6">
        <v>36</v>
      </c>
      <c r="M376" s="7">
        <v>43500</v>
      </c>
      <c r="N376" s="8">
        <v>0.15</v>
      </c>
      <c r="O376" s="9">
        <v>29520</v>
      </c>
    </row>
    <row r="377" spans="1:15" ht="18" x14ac:dyDescent="0.35">
      <c r="A377" s="4" t="s">
        <v>484</v>
      </c>
      <c r="B377" s="5">
        <v>45488</v>
      </c>
      <c r="C377" s="6" t="s">
        <v>82</v>
      </c>
      <c r="D377" s="6" t="s">
        <v>87</v>
      </c>
      <c r="E377" s="6" t="s">
        <v>50</v>
      </c>
      <c r="F377" s="6" t="s">
        <v>39</v>
      </c>
      <c r="G377" s="6" t="s">
        <v>20</v>
      </c>
      <c r="H377" s="6" t="s">
        <v>21</v>
      </c>
      <c r="I377" s="6" t="s">
        <v>115</v>
      </c>
      <c r="J377" s="6" t="s">
        <v>33</v>
      </c>
      <c r="K377" s="6" t="s">
        <v>24</v>
      </c>
      <c r="L377" s="6">
        <v>8</v>
      </c>
      <c r="M377" s="7">
        <v>6499</v>
      </c>
      <c r="N377" s="8">
        <v>0.15</v>
      </c>
      <c r="O377" s="9">
        <v>4210</v>
      </c>
    </row>
    <row r="378" spans="1:15" ht="18" x14ac:dyDescent="0.35">
      <c r="A378" s="4" t="s">
        <v>485</v>
      </c>
      <c r="B378" s="5">
        <v>45488</v>
      </c>
      <c r="C378" s="6" t="s">
        <v>36</v>
      </c>
      <c r="D378" s="6" t="s">
        <v>44</v>
      </c>
      <c r="E378" s="6" t="s">
        <v>69</v>
      </c>
      <c r="F378" s="6" t="s">
        <v>39</v>
      </c>
      <c r="G378" s="6" t="s">
        <v>20</v>
      </c>
      <c r="H378" s="6" t="s">
        <v>21</v>
      </c>
      <c r="I378" s="6" t="s">
        <v>22</v>
      </c>
      <c r="J378" s="6" t="s">
        <v>33</v>
      </c>
      <c r="K378" s="6" t="s">
        <v>78</v>
      </c>
      <c r="L378" s="6">
        <v>11</v>
      </c>
      <c r="M378" s="7">
        <v>4499</v>
      </c>
      <c r="N378" s="8">
        <v>0.12</v>
      </c>
      <c r="O378" s="9">
        <v>2910</v>
      </c>
    </row>
    <row r="379" spans="1:15" ht="18" x14ac:dyDescent="0.35">
      <c r="A379" s="4" t="s">
        <v>486</v>
      </c>
      <c r="B379" s="5">
        <v>45489</v>
      </c>
      <c r="C379" s="6" t="s">
        <v>16</v>
      </c>
      <c r="D379" s="6" t="s">
        <v>17</v>
      </c>
      <c r="E379" s="6" t="s">
        <v>18</v>
      </c>
      <c r="F379" s="6" t="s">
        <v>39</v>
      </c>
      <c r="G379" s="6" t="s">
        <v>40</v>
      </c>
      <c r="H379" s="6" t="s">
        <v>76</v>
      </c>
      <c r="I379" s="6" t="s">
        <v>113</v>
      </c>
      <c r="J379" s="6" t="s">
        <v>33</v>
      </c>
      <c r="K379" s="6" t="s">
        <v>66</v>
      </c>
      <c r="L379" s="6">
        <v>1</v>
      </c>
      <c r="M379" s="7">
        <v>22999</v>
      </c>
      <c r="N379" s="8">
        <v>0.05</v>
      </c>
      <c r="O379" s="9">
        <v>15100</v>
      </c>
    </row>
    <row r="380" spans="1:15" ht="18" x14ac:dyDescent="0.35">
      <c r="A380" s="4" t="s">
        <v>487</v>
      </c>
      <c r="B380" s="5">
        <v>45489</v>
      </c>
      <c r="C380" s="6" t="s">
        <v>36</v>
      </c>
      <c r="D380" s="6" t="s">
        <v>59</v>
      </c>
      <c r="E380" s="6" t="s">
        <v>60</v>
      </c>
      <c r="F380" s="6" t="s">
        <v>39</v>
      </c>
      <c r="G380" s="6" t="s">
        <v>30</v>
      </c>
      <c r="H380" s="6" t="s">
        <v>31</v>
      </c>
      <c r="I380" s="6" t="s">
        <v>106</v>
      </c>
      <c r="J380" s="6" t="s">
        <v>23</v>
      </c>
      <c r="K380" s="6" t="s">
        <v>24</v>
      </c>
      <c r="L380" s="6">
        <v>15</v>
      </c>
      <c r="M380" s="7">
        <v>52990</v>
      </c>
      <c r="N380" s="8">
        <v>0.12</v>
      </c>
      <c r="O380" s="9">
        <v>35100</v>
      </c>
    </row>
    <row r="381" spans="1:15" ht="18" x14ac:dyDescent="0.35">
      <c r="A381" s="4" t="s">
        <v>488</v>
      </c>
      <c r="B381" s="5">
        <v>45490</v>
      </c>
      <c r="C381" s="6" t="s">
        <v>82</v>
      </c>
      <c r="D381" s="6" t="s">
        <v>83</v>
      </c>
      <c r="E381" s="6" t="s">
        <v>84</v>
      </c>
      <c r="F381" s="6" t="s">
        <v>29</v>
      </c>
      <c r="G381" s="6" t="s">
        <v>30</v>
      </c>
      <c r="H381" s="6" t="s">
        <v>61</v>
      </c>
      <c r="I381" s="6" t="s">
        <v>96</v>
      </c>
      <c r="J381" s="6" t="s">
        <v>57</v>
      </c>
      <c r="K381" s="6" t="s">
        <v>66</v>
      </c>
      <c r="L381" s="6">
        <v>10</v>
      </c>
      <c r="M381" s="7">
        <v>25110</v>
      </c>
      <c r="N381" s="8">
        <v>0.15</v>
      </c>
      <c r="O381" s="9">
        <v>16730</v>
      </c>
    </row>
    <row r="382" spans="1:15" ht="18" x14ac:dyDescent="0.35">
      <c r="A382" s="4" t="s">
        <v>489</v>
      </c>
      <c r="B382" s="5">
        <v>45490</v>
      </c>
      <c r="C382" s="6" t="s">
        <v>36</v>
      </c>
      <c r="D382" s="6" t="s">
        <v>121</v>
      </c>
      <c r="E382" s="6" t="s">
        <v>38</v>
      </c>
      <c r="F382" s="6" t="s">
        <v>19</v>
      </c>
      <c r="G382" s="6" t="s">
        <v>54</v>
      </c>
      <c r="H382" s="6" t="s">
        <v>129</v>
      </c>
      <c r="I382" s="6" t="s">
        <v>130</v>
      </c>
      <c r="J382" s="6" t="s">
        <v>57</v>
      </c>
      <c r="K382" s="6" t="s">
        <v>66</v>
      </c>
      <c r="L382" s="6">
        <v>4</v>
      </c>
      <c r="M382" s="7">
        <v>27890</v>
      </c>
      <c r="N382" s="8">
        <v>0.12</v>
      </c>
      <c r="O382" s="9">
        <v>18800</v>
      </c>
    </row>
    <row r="383" spans="1:15" ht="18" x14ac:dyDescent="0.35">
      <c r="A383" s="4" t="s">
        <v>490</v>
      </c>
      <c r="B383" s="5">
        <v>45490</v>
      </c>
      <c r="C383" s="6" t="s">
        <v>48</v>
      </c>
      <c r="D383" s="6" t="s">
        <v>93</v>
      </c>
      <c r="E383" s="6" t="s">
        <v>101</v>
      </c>
      <c r="F383" s="6" t="s">
        <v>19</v>
      </c>
      <c r="G383" s="6" t="s">
        <v>30</v>
      </c>
      <c r="H383" s="6" t="s">
        <v>31</v>
      </c>
      <c r="I383" s="6" t="s">
        <v>85</v>
      </c>
      <c r="J383" s="6" t="s">
        <v>33</v>
      </c>
      <c r="K383" s="6" t="s">
        <v>24</v>
      </c>
      <c r="L383" s="6">
        <v>4</v>
      </c>
      <c r="M383" s="7">
        <v>43500</v>
      </c>
      <c r="N383" s="8">
        <v>0.12</v>
      </c>
      <c r="O383" s="9">
        <v>29520</v>
      </c>
    </row>
    <row r="384" spans="1:15" ht="18" x14ac:dyDescent="0.35">
      <c r="A384" s="4" t="s">
        <v>491</v>
      </c>
      <c r="B384" s="5">
        <v>45491</v>
      </c>
      <c r="C384" s="6" t="s">
        <v>48</v>
      </c>
      <c r="D384" s="6" t="s">
        <v>136</v>
      </c>
      <c r="E384" s="6" t="s">
        <v>50</v>
      </c>
      <c r="F384" s="6" t="s">
        <v>29</v>
      </c>
      <c r="G384" s="6" t="s">
        <v>20</v>
      </c>
      <c r="H384" s="6" t="s">
        <v>21</v>
      </c>
      <c r="I384" s="6" t="s">
        <v>51</v>
      </c>
      <c r="J384" s="6" t="s">
        <v>33</v>
      </c>
      <c r="K384" s="6" t="s">
        <v>78</v>
      </c>
      <c r="L384" s="6">
        <v>16</v>
      </c>
      <c r="M384" s="7">
        <v>5999</v>
      </c>
      <c r="N384" s="8">
        <v>0.15</v>
      </c>
      <c r="O384" s="9">
        <v>3890</v>
      </c>
    </row>
    <row r="385" spans="1:15" ht="18" x14ac:dyDescent="0.35">
      <c r="A385" s="4" t="s">
        <v>492</v>
      </c>
      <c r="B385" s="5">
        <v>45491</v>
      </c>
      <c r="C385" s="6" t="s">
        <v>16</v>
      </c>
      <c r="D385" s="6" t="s">
        <v>17</v>
      </c>
      <c r="E385" s="6" t="s">
        <v>84</v>
      </c>
      <c r="F385" s="6" t="s">
        <v>29</v>
      </c>
      <c r="G385" s="6" t="s">
        <v>30</v>
      </c>
      <c r="H385" s="6" t="s">
        <v>61</v>
      </c>
      <c r="I385" s="6" t="s">
        <v>186</v>
      </c>
      <c r="J385" s="6" t="s">
        <v>23</v>
      </c>
      <c r="K385" s="6" t="s">
        <v>66</v>
      </c>
      <c r="L385" s="6">
        <v>10</v>
      </c>
      <c r="M385" s="7">
        <v>6999</v>
      </c>
      <c r="N385" s="8">
        <v>0.18</v>
      </c>
      <c r="O385" s="9">
        <v>4320</v>
      </c>
    </row>
    <row r="386" spans="1:15" ht="18" x14ac:dyDescent="0.35">
      <c r="A386" s="4" t="s">
        <v>493</v>
      </c>
      <c r="B386" s="5">
        <v>45491</v>
      </c>
      <c r="C386" s="6" t="s">
        <v>36</v>
      </c>
      <c r="D386" s="6" t="s">
        <v>59</v>
      </c>
      <c r="E386" s="6" t="s">
        <v>28</v>
      </c>
      <c r="F386" s="6" t="s">
        <v>29</v>
      </c>
      <c r="G386" s="6" t="s">
        <v>54</v>
      </c>
      <c r="H386" s="6" t="s">
        <v>129</v>
      </c>
      <c r="I386" s="6" t="s">
        <v>192</v>
      </c>
      <c r="J386" s="6" t="s">
        <v>57</v>
      </c>
      <c r="K386" s="6" t="s">
        <v>24</v>
      </c>
      <c r="L386" s="6">
        <v>38</v>
      </c>
      <c r="M386" s="7">
        <v>29010</v>
      </c>
      <c r="N386" s="8">
        <v>0.18</v>
      </c>
      <c r="O386" s="9">
        <v>19100</v>
      </c>
    </row>
    <row r="387" spans="1:15" ht="18" x14ac:dyDescent="0.35">
      <c r="A387" s="4" t="s">
        <v>494</v>
      </c>
      <c r="B387" s="5">
        <v>45492</v>
      </c>
      <c r="C387" s="6" t="s">
        <v>36</v>
      </c>
      <c r="D387" s="6" t="s">
        <v>59</v>
      </c>
      <c r="E387" s="6" t="s">
        <v>75</v>
      </c>
      <c r="F387" s="6" t="s">
        <v>39</v>
      </c>
      <c r="G387" s="6" t="s">
        <v>30</v>
      </c>
      <c r="H387" s="6" t="s">
        <v>61</v>
      </c>
      <c r="I387" s="6" t="s">
        <v>62</v>
      </c>
      <c r="J387" s="6" t="s">
        <v>23</v>
      </c>
      <c r="K387" s="6" t="s">
        <v>78</v>
      </c>
      <c r="L387" s="6">
        <v>13</v>
      </c>
      <c r="M387" s="7">
        <v>12490</v>
      </c>
      <c r="N387" s="8">
        <v>0.18</v>
      </c>
      <c r="O387" s="9">
        <v>7900</v>
      </c>
    </row>
    <row r="388" spans="1:15" ht="18" x14ac:dyDescent="0.35">
      <c r="A388" s="4" t="s">
        <v>495</v>
      </c>
      <c r="B388" s="5">
        <v>45492</v>
      </c>
      <c r="C388" s="6" t="s">
        <v>16</v>
      </c>
      <c r="D388" s="6" t="s">
        <v>126</v>
      </c>
      <c r="E388" s="6" t="s">
        <v>69</v>
      </c>
      <c r="F388" s="6" t="s">
        <v>19</v>
      </c>
      <c r="G388" s="6" t="s">
        <v>40</v>
      </c>
      <c r="H388" s="6" t="s">
        <v>76</v>
      </c>
      <c r="I388" s="6" t="s">
        <v>139</v>
      </c>
      <c r="J388" s="6" t="s">
        <v>23</v>
      </c>
      <c r="K388" s="6" t="s">
        <v>24</v>
      </c>
      <c r="L388" s="6">
        <v>9</v>
      </c>
      <c r="M388" s="7">
        <v>25999</v>
      </c>
      <c r="N388" s="8">
        <v>0.18</v>
      </c>
      <c r="O388" s="9">
        <v>17800</v>
      </c>
    </row>
    <row r="389" spans="1:15" ht="18" x14ac:dyDescent="0.35">
      <c r="A389" s="4" t="s">
        <v>496</v>
      </c>
      <c r="B389" s="5">
        <v>45492</v>
      </c>
      <c r="C389" s="6" t="s">
        <v>26</v>
      </c>
      <c r="D389" s="6" t="s">
        <v>163</v>
      </c>
      <c r="E389" s="6" t="s">
        <v>28</v>
      </c>
      <c r="F389" s="6" t="s">
        <v>19</v>
      </c>
      <c r="G389" s="6" t="s">
        <v>20</v>
      </c>
      <c r="H389" s="6" t="s">
        <v>21</v>
      </c>
      <c r="I389" s="6" t="s">
        <v>51</v>
      </c>
      <c r="J389" s="6" t="s">
        <v>33</v>
      </c>
      <c r="K389" s="6" t="s">
        <v>24</v>
      </c>
      <c r="L389" s="6">
        <v>4</v>
      </c>
      <c r="M389" s="7">
        <v>5999</v>
      </c>
      <c r="N389" s="8">
        <v>0.1</v>
      </c>
      <c r="O389" s="9">
        <v>3890</v>
      </c>
    </row>
    <row r="390" spans="1:15" ht="18" x14ac:dyDescent="0.35">
      <c r="A390" s="4" t="s">
        <v>497</v>
      </c>
      <c r="B390" s="5">
        <v>45493</v>
      </c>
      <c r="C390" s="6" t="s">
        <v>26</v>
      </c>
      <c r="D390" s="6" t="s">
        <v>74</v>
      </c>
      <c r="E390" s="6" t="s">
        <v>69</v>
      </c>
      <c r="F390" s="6" t="s">
        <v>29</v>
      </c>
      <c r="G390" s="6" t="s">
        <v>70</v>
      </c>
      <c r="H390" s="6" t="s">
        <v>71</v>
      </c>
      <c r="I390" s="6" t="s">
        <v>88</v>
      </c>
      <c r="J390" s="6" t="s">
        <v>57</v>
      </c>
      <c r="K390" s="6" t="s">
        <v>24</v>
      </c>
      <c r="L390" s="6">
        <v>12</v>
      </c>
      <c r="M390" s="7">
        <v>999</v>
      </c>
      <c r="N390" s="8">
        <v>0.15</v>
      </c>
      <c r="O390" s="9">
        <v>540</v>
      </c>
    </row>
    <row r="391" spans="1:15" ht="18" x14ac:dyDescent="0.35">
      <c r="A391" s="4" t="s">
        <v>498</v>
      </c>
      <c r="B391" s="5">
        <v>45494</v>
      </c>
      <c r="C391" s="6" t="s">
        <v>82</v>
      </c>
      <c r="D391" s="6" t="s">
        <v>87</v>
      </c>
      <c r="E391" s="6" t="s">
        <v>105</v>
      </c>
      <c r="F391" s="6" t="s">
        <v>19</v>
      </c>
      <c r="G391" s="6" t="s">
        <v>30</v>
      </c>
      <c r="H391" s="6" t="s">
        <v>31</v>
      </c>
      <c r="I391" s="6" t="s">
        <v>32</v>
      </c>
      <c r="J391" s="6" t="s">
        <v>33</v>
      </c>
      <c r="K391" s="6" t="s">
        <v>78</v>
      </c>
      <c r="L391" s="6">
        <v>35</v>
      </c>
      <c r="M391" s="7">
        <v>38990</v>
      </c>
      <c r="N391" s="8">
        <v>0.12</v>
      </c>
      <c r="O391" s="9">
        <v>25400</v>
      </c>
    </row>
    <row r="392" spans="1:15" ht="18" x14ac:dyDescent="0.35">
      <c r="A392" s="4" t="s">
        <v>499</v>
      </c>
      <c r="B392" s="5">
        <v>45494</v>
      </c>
      <c r="C392" s="6" t="s">
        <v>48</v>
      </c>
      <c r="D392" s="6" t="s">
        <v>136</v>
      </c>
      <c r="E392" s="6" t="s">
        <v>84</v>
      </c>
      <c r="F392" s="6" t="s">
        <v>29</v>
      </c>
      <c r="G392" s="6" t="s">
        <v>20</v>
      </c>
      <c r="H392" s="6" t="s">
        <v>45</v>
      </c>
      <c r="I392" s="6" t="s">
        <v>46</v>
      </c>
      <c r="J392" s="6" t="s">
        <v>33</v>
      </c>
      <c r="K392" s="6" t="s">
        <v>24</v>
      </c>
      <c r="L392" s="6">
        <v>38</v>
      </c>
      <c r="M392" s="7">
        <v>1899</v>
      </c>
      <c r="N392" s="8">
        <v>0.05</v>
      </c>
      <c r="O392" s="9">
        <v>1080</v>
      </c>
    </row>
    <row r="393" spans="1:15" ht="18" x14ac:dyDescent="0.35">
      <c r="A393" s="4" t="s">
        <v>500</v>
      </c>
      <c r="B393" s="5">
        <v>45494</v>
      </c>
      <c r="C393" s="6" t="s">
        <v>16</v>
      </c>
      <c r="D393" s="6" t="s">
        <v>98</v>
      </c>
      <c r="E393" s="6" t="s">
        <v>69</v>
      </c>
      <c r="F393" s="6" t="s">
        <v>39</v>
      </c>
      <c r="G393" s="6" t="s">
        <v>20</v>
      </c>
      <c r="H393" s="6" t="s">
        <v>21</v>
      </c>
      <c r="I393" s="6" t="s">
        <v>115</v>
      </c>
      <c r="J393" s="6" t="s">
        <v>57</v>
      </c>
      <c r="K393" s="6" t="s">
        <v>78</v>
      </c>
      <c r="L393" s="6">
        <v>13</v>
      </c>
      <c r="M393" s="7">
        <v>6499</v>
      </c>
      <c r="N393" s="8">
        <v>0.12</v>
      </c>
      <c r="O393" s="9">
        <v>4210</v>
      </c>
    </row>
    <row r="394" spans="1:15" ht="18" x14ac:dyDescent="0.35">
      <c r="A394" s="4" t="s">
        <v>501</v>
      </c>
      <c r="B394" s="5">
        <v>45495</v>
      </c>
      <c r="C394" s="6" t="s">
        <v>36</v>
      </c>
      <c r="D394" s="6" t="s">
        <v>121</v>
      </c>
      <c r="E394" s="6" t="s">
        <v>28</v>
      </c>
      <c r="F394" s="6" t="s">
        <v>19</v>
      </c>
      <c r="G394" s="6" t="s">
        <v>30</v>
      </c>
      <c r="H394" s="6" t="s">
        <v>31</v>
      </c>
      <c r="I394" s="6" t="s">
        <v>85</v>
      </c>
      <c r="J394" s="6" t="s">
        <v>23</v>
      </c>
      <c r="K394" s="6" t="s">
        <v>24</v>
      </c>
      <c r="L394" s="6">
        <v>34</v>
      </c>
      <c r="M394" s="7">
        <v>43500</v>
      </c>
      <c r="N394" s="8">
        <v>0.1</v>
      </c>
      <c r="O394" s="9">
        <v>29520</v>
      </c>
    </row>
    <row r="395" spans="1:15" ht="18" x14ac:dyDescent="0.35">
      <c r="A395" s="4" t="s">
        <v>502</v>
      </c>
      <c r="B395" s="5">
        <v>45495</v>
      </c>
      <c r="C395" s="6" t="s">
        <v>48</v>
      </c>
      <c r="D395" s="6" t="s">
        <v>49</v>
      </c>
      <c r="E395" s="6" t="s">
        <v>50</v>
      </c>
      <c r="F395" s="6" t="s">
        <v>29</v>
      </c>
      <c r="G395" s="6" t="s">
        <v>70</v>
      </c>
      <c r="H395" s="6" t="s">
        <v>71</v>
      </c>
      <c r="I395" s="6" t="s">
        <v>80</v>
      </c>
      <c r="J395" s="6" t="s">
        <v>57</v>
      </c>
      <c r="K395" s="6" t="s">
        <v>24</v>
      </c>
      <c r="L395" s="6">
        <v>3</v>
      </c>
      <c r="M395" s="7">
        <v>1299</v>
      </c>
      <c r="N395" s="8">
        <v>0.2</v>
      </c>
      <c r="O395" s="9">
        <v>720</v>
      </c>
    </row>
    <row r="396" spans="1:15" ht="18" x14ac:dyDescent="0.35">
      <c r="A396" s="4" t="s">
        <v>503</v>
      </c>
      <c r="B396" s="5">
        <v>45495</v>
      </c>
      <c r="C396" s="6" t="s">
        <v>26</v>
      </c>
      <c r="D396" s="6" t="s">
        <v>53</v>
      </c>
      <c r="E396" s="6" t="s">
        <v>60</v>
      </c>
      <c r="F396" s="6" t="s">
        <v>39</v>
      </c>
      <c r="G396" s="6" t="s">
        <v>30</v>
      </c>
      <c r="H396" s="6" t="s">
        <v>31</v>
      </c>
      <c r="I396" s="6" t="s">
        <v>106</v>
      </c>
      <c r="J396" s="6" t="s">
        <v>33</v>
      </c>
      <c r="K396" s="6" t="s">
        <v>24</v>
      </c>
      <c r="L396" s="6">
        <v>25</v>
      </c>
      <c r="M396" s="7">
        <v>52990</v>
      </c>
      <c r="N396" s="8">
        <v>0.15</v>
      </c>
      <c r="O396" s="9">
        <v>35100</v>
      </c>
    </row>
    <row r="397" spans="1:15" ht="18" x14ac:dyDescent="0.35">
      <c r="A397" s="4" t="s">
        <v>504</v>
      </c>
      <c r="B397" s="5">
        <v>45495</v>
      </c>
      <c r="C397" s="6" t="s">
        <v>82</v>
      </c>
      <c r="D397" s="6" t="s">
        <v>83</v>
      </c>
      <c r="E397" s="6" t="s">
        <v>69</v>
      </c>
      <c r="F397" s="6" t="s">
        <v>29</v>
      </c>
      <c r="G397" s="6" t="s">
        <v>70</v>
      </c>
      <c r="H397" s="6" t="s">
        <v>71</v>
      </c>
      <c r="I397" s="6" t="s">
        <v>80</v>
      </c>
      <c r="J397" s="6" t="s">
        <v>57</v>
      </c>
      <c r="K397" s="6" t="s">
        <v>78</v>
      </c>
      <c r="L397" s="6">
        <v>33</v>
      </c>
      <c r="M397" s="7">
        <v>1299</v>
      </c>
      <c r="N397" s="8">
        <v>0.05</v>
      </c>
      <c r="O397" s="9">
        <v>720</v>
      </c>
    </row>
    <row r="398" spans="1:15" ht="18" x14ac:dyDescent="0.35">
      <c r="A398" s="4" t="s">
        <v>505</v>
      </c>
      <c r="B398" s="5">
        <v>45496</v>
      </c>
      <c r="C398" s="6" t="s">
        <v>16</v>
      </c>
      <c r="D398" s="6" t="s">
        <v>126</v>
      </c>
      <c r="E398" s="6" t="s">
        <v>60</v>
      </c>
      <c r="F398" s="6" t="s">
        <v>29</v>
      </c>
      <c r="G398" s="6" t="s">
        <v>30</v>
      </c>
      <c r="H398" s="6" t="s">
        <v>61</v>
      </c>
      <c r="I398" s="6" t="s">
        <v>186</v>
      </c>
      <c r="J398" s="6" t="s">
        <v>23</v>
      </c>
      <c r="K398" s="6" t="s">
        <v>66</v>
      </c>
      <c r="L398" s="6">
        <v>4</v>
      </c>
      <c r="M398" s="7">
        <v>6999</v>
      </c>
      <c r="N398" s="8">
        <v>0.15</v>
      </c>
      <c r="O398" s="9">
        <v>4320</v>
      </c>
    </row>
    <row r="399" spans="1:15" ht="18" x14ac:dyDescent="0.35">
      <c r="A399" s="4" t="s">
        <v>506</v>
      </c>
      <c r="B399" s="5">
        <v>45497</v>
      </c>
      <c r="C399" s="6" t="s">
        <v>82</v>
      </c>
      <c r="D399" s="6" t="s">
        <v>183</v>
      </c>
      <c r="E399" s="6" t="s">
        <v>28</v>
      </c>
      <c r="F399" s="6" t="s">
        <v>29</v>
      </c>
      <c r="G399" s="6" t="s">
        <v>54</v>
      </c>
      <c r="H399" s="6" t="s">
        <v>55</v>
      </c>
      <c r="I399" s="6" t="s">
        <v>148</v>
      </c>
      <c r="J399" s="6" t="s">
        <v>33</v>
      </c>
      <c r="K399" s="6" t="s">
        <v>24</v>
      </c>
      <c r="L399" s="6">
        <v>9</v>
      </c>
      <c r="M399" s="7">
        <v>4680</v>
      </c>
      <c r="N399" s="8">
        <v>0.08</v>
      </c>
      <c r="O399" s="9">
        <v>3250</v>
      </c>
    </row>
    <row r="400" spans="1:15" ht="18" x14ac:dyDescent="0.35">
      <c r="A400" s="4" t="s">
        <v>507</v>
      </c>
      <c r="B400" s="5">
        <v>45498</v>
      </c>
      <c r="C400" s="6" t="s">
        <v>26</v>
      </c>
      <c r="D400" s="6" t="s">
        <v>163</v>
      </c>
      <c r="E400" s="6" t="s">
        <v>69</v>
      </c>
      <c r="F400" s="6" t="s">
        <v>19</v>
      </c>
      <c r="G400" s="6" t="s">
        <v>20</v>
      </c>
      <c r="H400" s="6" t="s">
        <v>21</v>
      </c>
      <c r="I400" s="6" t="s">
        <v>22</v>
      </c>
      <c r="J400" s="6" t="s">
        <v>23</v>
      </c>
      <c r="K400" s="6" t="s">
        <v>66</v>
      </c>
      <c r="L400" s="6">
        <v>7</v>
      </c>
      <c r="M400" s="7">
        <v>4499</v>
      </c>
      <c r="N400" s="8">
        <v>0.05</v>
      </c>
      <c r="O400" s="9">
        <v>2910</v>
      </c>
    </row>
    <row r="401" spans="1:15" ht="18" x14ac:dyDescent="0.35">
      <c r="A401" s="4" t="s">
        <v>508</v>
      </c>
      <c r="B401" s="5">
        <v>45498</v>
      </c>
      <c r="C401" s="6" t="s">
        <v>48</v>
      </c>
      <c r="D401" s="6" t="s">
        <v>68</v>
      </c>
      <c r="E401" s="6" t="s">
        <v>50</v>
      </c>
      <c r="F401" s="6" t="s">
        <v>19</v>
      </c>
      <c r="G401" s="6" t="s">
        <v>40</v>
      </c>
      <c r="H401" s="6" t="s">
        <v>64</v>
      </c>
      <c r="I401" s="6" t="s">
        <v>159</v>
      </c>
      <c r="J401" s="6" t="s">
        <v>23</v>
      </c>
      <c r="K401" s="6" t="s">
        <v>24</v>
      </c>
      <c r="L401" s="6">
        <v>27</v>
      </c>
      <c r="M401" s="7">
        <v>3299</v>
      </c>
      <c r="N401" s="8">
        <v>0.1</v>
      </c>
      <c r="O401" s="9">
        <v>2050</v>
      </c>
    </row>
    <row r="402" spans="1:15" ht="18" x14ac:dyDescent="0.35">
      <c r="A402" s="4" t="s">
        <v>509</v>
      </c>
      <c r="B402" s="5">
        <v>45498</v>
      </c>
      <c r="C402" s="6" t="s">
        <v>36</v>
      </c>
      <c r="D402" s="6" t="s">
        <v>59</v>
      </c>
      <c r="E402" s="6" t="s">
        <v>69</v>
      </c>
      <c r="F402" s="6" t="s">
        <v>39</v>
      </c>
      <c r="G402" s="6" t="s">
        <v>54</v>
      </c>
      <c r="H402" s="6" t="s">
        <v>90</v>
      </c>
      <c r="I402" s="6" t="s">
        <v>258</v>
      </c>
      <c r="J402" s="6" t="s">
        <v>57</v>
      </c>
      <c r="K402" s="6" t="s">
        <v>24</v>
      </c>
      <c r="L402" s="6">
        <v>11</v>
      </c>
      <c r="M402" s="7">
        <v>29010</v>
      </c>
      <c r="N402" s="8">
        <v>0.2</v>
      </c>
      <c r="O402" s="9">
        <v>19150</v>
      </c>
    </row>
    <row r="403" spans="1:15" ht="18" x14ac:dyDescent="0.35">
      <c r="A403" s="4" t="s">
        <v>510</v>
      </c>
      <c r="B403" s="5">
        <v>45498</v>
      </c>
      <c r="C403" s="6" t="s">
        <v>48</v>
      </c>
      <c r="D403" s="6" t="s">
        <v>93</v>
      </c>
      <c r="E403" s="6" t="s">
        <v>101</v>
      </c>
      <c r="F403" s="6" t="s">
        <v>29</v>
      </c>
      <c r="G403" s="6" t="s">
        <v>54</v>
      </c>
      <c r="H403" s="6" t="s">
        <v>90</v>
      </c>
      <c r="I403" s="6" t="s">
        <v>134</v>
      </c>
      <c r="J403" s="6" t="s">
        <v>33</v>
      </c>
      <c r="K403" s="6" t="s">
        <v>24</v>
      </c>
      <c r="L403" s="6">
        <v>11</v>
      </c>
      <c r="M403" s="7">
        <v>32800</v>
      </c>
      <c r="N403" s="8">
        <v>0.12</v>
      </c>
      <c r="O403" s="9">
        <v>23100</v>
      </c>
    </row>
    <row r="404" spans="1:15" ht="18" x14ac:dyDescent="0.35">
      <c r="A404" s="4" t="s">
        <v>511</v>
      </c>
      <c r="B404" s="5">
        <v>45499</v>
      </c>
      <c r="C404" s="6" t="s">
        <v>48</v>
      </c>
      <c r="D404" s="6" t="s">
        <v>68</v>
      </c>
      <c r="E404" s="6" t="s">
        <v>50</v>
      </c>
      <c r="F404" s="6" t="s">
        <v>19</v>
      </c>
      <c r="G404" s="6" t="s">
        <v>70</v>
      </c>
      <c r="H404" s="6" t="s">
        <v>71</v>
      </c>
      <c r="I404" s="6" t="s">
        <v>88</v>
      </c>
      <c r="J404" s="6" t="s">
        <v>23</v>
      </c>
      <c r="K404" s="6" t="s">
        <v>34</v>
      </c>
      <c r="L404" s="6">
        <v>19</v>
      </c>
      <c r="M404" s="7">
        <v>999</v>
      </c>
      <c r="N404" s="8">
        <v>0.05</v>
      </c>
      <c r="O404" s="9">
        <v>540</v>
      </c>
    </row>
    <row r="405" spans="1:15" ht="18" x14ac:dyDescent="0.35">
      <c r="A405" s="4" t="s">
        <v>512</v>
      </c>
      <c r="B405" s="5">
        <v>45499</v>
      </c>
      <c r="C405" s="6" t="s">
        <v>48</v>
      </c>
      <c r="D405" s="6" t="s">
        <v>68</v>
      </c>
      <c r="E405" s="6" t="s">
        <v>105</v>
      </c>
      <c r="F405" s="6" t="s">
        <v>39</v>
      </c>
      <c r="G405" s="6" t="s">
        <v>54</v>
      </c>
      <c r="H405" s="6" t="s">
        <v>55</v>
      </c>
      <c r="I405" s="6" t="s">
        <v>108</v>
      </c>
      <c r="J405" s="6" t="s">
        <v>33</v>
      </c>
      <c r="K405" s="6" t="s">
        <v>34</v>
      </c>
      <c r="L405" s="6">
        <v>20</v>
      </c>
      <c r="M405" s="7">
        <v>5890</v>
      </c>
      <c r="N405" s="8">
        <v>0.08</v>
      </c>
      <c r="O405" s="9">
        <v>3980</v>
      </c>
    </row>
    <row r="406" spans="1:15" ht="18" x14ac:dyDescent="0.35">
      <c r="A406" s="4" t="s">
        <v>513</v>
      </c>
      <c r="B406" s="5">
        <v>45500</v>
      </c>
      <c r="C406" s="6" t="s">
        <v>48</v>
      </c>
      <c r="D406" s="6" t="s">
        <v>49</v>
      </c>
      <c r="E406" s="6" t="s">
        <v>84</v>
      </c>
      <c r="F406" s="6" t="s">
        <v>29</v>
      </c>
      <c r="G406" s="6" t="s">
        <v>54</v>
      </c>
      <c r="H406" s="6" t="s">
        <v>90</v>
      </c>
      <c r="I406" s="6" t="s">
        <v>91</v>
      </c>
      <c r="J406" s="6" t="s">
        <v>33</v>
      </c>
      <c r="K406" s="6" t="s">
        <v>78</v>
      </c>
      <c r="L406" s="6">
        <v>15</v>
      </c>
      <c r="M406" s="7">
        <v>31990</v>
      </c>
      <c r="N406" s="8">
        <v>0.1</v>
      </c>
      <c r="O406" s="9">
        <v>21800</v>
      </c>
    </row>
    <row r="407" spans="1:15" ht="18" x14ac:dyDescent="0.35">
      <c r="A407" s="4" t="s">
        <v>514</v>
      </c>
      <c r="B407" s="5">
        <v>45501</v>
      </c>
      <c r="C407" s="6" t="s">
        <v>82</v>
      </c>
      <c r="D407" s="6" t="s">
        <v>87</v>
      </c>
      <c r="E407" s="6" t="s">
        <v>105</v>
      </c>
      <c r="F407" s="6" t="s">
        <v>39</v>
      </c>
      <c r="G407" s="6" t="s">
        <v>20</v>
      </c>
      <c r="H407" s="6" t="s">
        <v>21</v>
      </c>
      <c r="I407" s="6" t="s">
        <v>22</v>
      </c>
      <c r="J407" s="6" t="s">
        <v>23</v>
      </c>
      <c r="K407" s="6" t="s">
        <v>24</v>
      </c>
      <c r="L407" s="6">
        <v>10</v>
      </c>
      <c r="M407" s="7">
        <v>4499</v>
      </c>
      <c r="N407" s="8">
        <v>0.05</v>
      </c>
      <c r="O407" s="9">
        <v>2910</v>
      </c>
    </row>
    <row r="408" spans="1:15" ht="18" x14ac:dyDescent="0.35">
      <c r="A408" s="4" t="s">
        <v>515</v>
      </c>
      <c r="B408" s="5">
        <v>45501</v>
      </c>
      <c r="C408" s="6" t="s">
        <v>48</v>
      </c>
      <c r="D408" s="6" t="s">
        <v>93</v>
      </c>
      <c r="E408" s="6" t="s">
        <v>60</v>
      </c>
      <c r="F408" s="6" t="s">
        <v>39</v>
      </c>
      <c r="G408" s="6" t="s">
        <v>20</v>
      </c>
      <c r="H408" s="6" t="s">
        <v>21</v>
      </c>
      <c r="I408" s="6" t="s">
        <v>115</v>
      </c>
      <c r="J408" s="6" t="s">
        <v>33</v>
      </c>
      <c r="K408" s="6" t="s">
        <v>24</v>
      </c>
      <c r="L408" s="6">
        <v>14</v>
      </c>
      <c r="M408" s="7">
        <v>6499</v>
      </c>
      <c r="N408" s="8">
        <v>0.08</v>
      </c>
      <c r="O408" s="9">
        <v>4210</v>
      </c>
    </row>
    <row r="409" spans="1:15" ht="18" x14ac:dyDescent="0.35">
      <c r="A409" s="4" t="s">
        <v>516</v>
      </c>
      <c r="B409" s="5">
        <v>45501</v>
      </c>
      <c r="C409" s="6" t="s">
        <v>36</v>
      </c>
      <c r="D409" s="6" t="s">
        <v>37</v>
      </c>
      <c r="E409" s="6" t="s">
        <v>69</v>
      </c>
      <c r="F409" s="6" t="s">
        <v>39</v>
      </c>
      <c r="G409" s="6" t="s">
        <v>30</v>
      </c>
      <c r="H409" s="6" t="s">
        <v>31</v>
      </c>
      <c r="I409" s="6" t="s">
        <v>85</v>
      </c>
      <c r="J409" s="6" t="s">
        <v>33</v>
      </c>
      <c r="K409" s="6" t="s">
        <v>24</v>
      </c>
      <c r="L409" s="6">
        <v>13</v>
      </c>
      <c r="M409" s="7">
        <v>43500</v>
      </c>
      <c r="N409" s="8">
        <v>0.1</v>
      </c>
      <c r="O409" s="9">
        <v>29520</v>
      </c>
    </row>
    <row r="410" spans="1:15" ht="18" x14ac:dyDescent="0.35">
      <c r="A410" s="4" t="s">
        <v>517</v>
      </c>
      <c r="B410" s="5">
        <v>45501</v>
      </c>
      <c r="C410" s="6" t="s">
        <v>36</v>
      </c>
      <c r="D410" s="6" t="s">
        <v>37</v>
      </c>
      <c r="E410" s="6" t="s">
        <v>69</v>
      </c>
      <c r="F410" s="6" t="s">
        <v>29</v>
      </c>
      <c r="G410" s="6" t="s">
        <v>30</v>
      </c>
      <c r="H410" s="6" t="s">
        <v>31</v>
      </c>
      <c r="I410" s="6" t="s">
        <v>85</v>
      </c>
      <c r="J410" s="6" t="s">
        <v>33</v>
      </c>
      <c r="K410" s="6" t="s">
        <v>24</v>
      </c>
      <c r="L410" s="6">
        <v>39</v>
      </c>
      <c r="M410" s="7">
        <v>43500</v>
      </c>
      <c r="N410" s="8">
        <v>0.15</v>
      </c>
      <c r="O410" s="9">
        <v>29520</v>
      </c>
    </row>
    <row r="411" spans="1:15" ht="18" x14ac:dyDescent="0.35">
      <c r="A411" s="4" t="s">
        <v>518</v>
      </c>
      <c r="B411" s="5">
        <v>45502</v>
      </c>
      <c r="C411" s="6" t="s">
        <v>36</v>
      </c>
      <c r="D411" s="6" t="s">
        <v>44</v>
      </c>
      <c r="E411" s="6" t="s">
        <v>28</v>
      </c>
      <c r="F411" s="6" t="s">
        <v>19</v>
      </c>
      <c r="G411" s="6" t="s">
        <v>54</v>
      </c>
      <c r="H411" s="6" t="s">
        <v>129</v>
      </c>
      <c r="I411" s="6" t="s">
        <v>192</v>
      </c>
      <c r="J411" s="6" t="s">
        <v>23</v>
      </c>
      <c r="K411" s="6" t="s">
        <v>34</v>
      </c>
      <c r="L411" s="6">
        <v>15</v>
      </c>
      <c r="M411" s="7">
        <v>29010</v>
      </c>
      <c r="N411" s="8">
        <v>0.2</v>
      </c>
      <c r="O411" s="9">
        <v>19100</v>
      </c>
    </row>
    <row r="412" spans="1:15" ht="18" x14ac:dyDescent="0.35">
      <c r="A412" s="4" t="s">
        <v>519</v>
      </c>
      <c r="B412" s="5">
        <v>45503</v>
      </c>
      <c r="C412" s="6" t="s">
        <v>82</v>
      </c>
      <c r="D412" s="6" t="s">
        <v>83</v>
      </c>
      <c r="E412" s="6" t="s">
        <v>50</v>
      </c>
      <c r="F412" s="6" t="s">
        <v>39</v>
      </c>
      <c r="G412" s="6" t="s">
        <v>30</v>
      </c>
      <c r="H412" s="6" t="s">
        <v>61</v>
      </c>
      <c r="I412" s="6" t="s">
        <v>186</v>
      </c>
      <c r="J412" s="6" t="s">
        <v>33</v>
      </c>
      <c r="K412" s="6" t="s">
        <v>66</v>
      </c>
      <c r="L412" s="6">
        <v>34</v>
      </c>
      <c r="M412" s="7">
        <v>6999</v>
      </c>
      <c r="N412" s="8">
        <v>0.08</v>
      </c>
      <c r="O412" s="9">
        <v>4320</v>
      </c>
    </row>
    <row r="413" spans="1:15" ht="18" x14ac:dyDescent="0.35">
      <c r="A413" s="4" t="s">
        <v>520</v>
      </c>
      <c r="B413" s="5">
        <v>45503</v>
      </c>
      <c r="C413" s="6" t="s">
        <v>36</v>
      </c>
      <c r="D413" s="6" t="s">
        <v>44</v>
      </c>
      <c r="E413" s="6" t="s">
        <v>38</v>
      </c>
      <c r="F413" s="6" t="s">
        <v>39</v>
      </c>
      <c r="G413" s="6" t="s">
        <v>40</v>
      </c>
      <c r="H413" s="6" t="s">
        <v>76</v>
      </c>
      <c r="I413" s="6" t="s">
        <v>139</v>
      </c>
      <c r="J413" s="6" t="s">
        <v>23</v>
      </c>
      <c r="K413" s="6" t="s">
        <v>66</v>
      </c>
      <c r="L413" s="6">
        <v>23</v>
      </c>
      <c r="M413" s="7">
        <v>25999</v>
      </c>
      <c r="N413" s="8">
        <v>0.08</v>
      </c>
      <c r="O413" s="9">
        <v>17800</v>
      </c>
    </row>
    <row r="414" spans="1:15" ht="18" x14ac:dyDescent="0.35">
      <c r="A414" s="4" t="s">
        <v>521</v>
      </c>
      <c r="B414" s="5">
        <v>45504</v>
      </c>
      <c r="C414" s="6" t="s">
        <v>48</v>
      </c>
      <c r="D414" s="6" t="s">
        <v>68</v>
      </c>
      <c r="E414" s="6" t="s">
        <v>28</v>
      </c>
      <c r="F414" s="6" t="s">
        <v>29</v>
      </c>
      <c r="G414" s="6" t="s">
        <v>70</v>
      </c>
      <c r="H414" s="6" t="s">
        <v>71</v>
      </c>
      <c r="I414" s="6" t="s">
        <v>88</v>
      </c>
      <c r="J414" s="6" t="s">
        <v>33</v>
      </c>
      <c r="K414" s="6" t="s">
        <v>24</v>
      </c>
      <c r="L414" s="6">
        <v>19</v>
      </c>
      <c r="M414" s="7">
        <v>999</v>
      </c>
      <c r="N414" s="8">
        <v>0.1</v>
      </c>
      <c r="O414" s="9">
        <v>540</v>
      </c>
    </row>
    <row r="415" spans="1:15" ht="18" x14ac:dyDescent="0.35">
      <c r="A415" s="4" t="s">
        <v>522</v>
      </c>
      <c r="B415" s="5">
        <v>45504</v>
      </c>
      <c r="C415" s="6" t="s">
        <v>36</v>
      </c>
      <c r="D415" s="6" t="s">
        <v>121</v>
      </c>
      <c r="E415" s="6" t="s">
        <v>18</v>
      </c>
      <c r="F415" s="6" t="s">
        <v>29</v>
      </c>
      <c r="G415" s="6" t="s">
        <v>20</v>
      </c>
      <c r="H415" s="6" t="s">
        <v>21</v>
      </c>
      <c r="I415" s="6" t="s">
        <v>51</v>
      </c>
      <c r="J415" s="6" t="s">
        <v>33</v>
      </c>
      <c r="K415" s="6" t="s">
        <v>66</v>
      </c>
      <c r="L415" s="6">
        <v>22</v>
      </c>
      <c r="M415" s="7">
        <v>5999</v>
      </c>
      <c r="N415" s="8">
        <v>0.05</v>
      </c>
      <c r="O415" s="9">
        <v>3890</v>
      </c>
    </row>
    <row r="416" spans="1:15" ht="18" x14ac:dyDescent="0.35">
      <c r="A416" s="4" t="s">
        <v>523</v>
      </c>
      <c r="B416" s="5">
        <v>45504</v>
      </c>
      <c r="C416" s="6" t="s">
        <v>36</v>
      </c>
      <c r="D416" s="6" t="s">
        <v>59</v>
      </c>
      <c r="E416" s="6" t="s">
        <v>84</v>
      </c>
      <c r="F416" s="6" t="s">
        <v>39</v>
      </c>
      <c r="G416" s="6" t="s">
        <v>30</v>
      </c>
      <c r="H416" s="6" t="s">
        <v>61</v>
      </c>
      <c r="I416" s="6" t="s">
        <v>96</v>
      </c>
      <c r="J416" s="6" t="s">
        <v>23</v>
      </c>
      <c r="K416" s="6" t="s">
        <v>24</v>
      </c>
      <c r="L416" s="6">
        <v>33</v>
      </c>
      <c r="M416" s="7">
        <v>25110</v>
      </c>
      <c r="N416" s="8">
        <v>0.08</v>
      </c>
      <c r="O416" s="9">
        <v>16730</v>
      </c>
    </row>
    <row r="417" spans="1:15" ht="18" x14ac:dyDescent="0.35">
      <c r="A417" s="4" t="s">
        <v>524</v>
      </c>
      <c r="B417" s="5">
        <v>45506</v>
      </c>
      <c r="C417" s="6" t="s">
        <v>82</v>
      </c>
      <c r="D417" s="6" t="s">
        <v>83</v>
      </c>
      <c r="E417" s="6" t="s">
        <v>28</v>
      </c>
      <c r="F417" s="6" t="s">
        <v>29</v>
      </c>
      <c r="G417" s="6" t="s">
        <v>30</v>
      </c>
      <c r="H417" s="6" t="s">
        <v>31</v>
      </c>
      <c r="I417" s="6" t="s">
        <v>32</v>
      </c>
      <c r="J417" s="6" t="s">
        <v>57</v>
      </c>
      <c r="K417" s="6" t="s">
        <v>34</v>
      </c>
      <c r="L417" s="6">
        <v>33</v>
      </c>
      <c r="M417" s="7">
        <v>38990</v>
      </c>
      <c r="N417" s="8">
        <v>0.15</v>
      </c>
      <c r="O417" s="9">
        <v>25400</v>
      </c>
    </row>
    <row r="418" spans="1:15" ht="18" x14ac:dyDescent="0.35">
      <c r="A418" s="4" t="s">
        <v>525</v>
      </c>
      <c r="B418" s="5">
        <v>45506</v>
      </c>
      <c r="C418" s="6" t="s">
        <v>36</v>
      </c>
      <c r="D418" s="6" t="s">
        <v>121</v>
      </c>
      <c r="E418" s="6" t="s">
        <v>101</v>
      </c>
      <c r="F418" s="6" t="s">
        <v>19</v>
      </c>
      <c r="G418" s="6" t="s">
        <v>20</v>
      </c>
      <c r="H418" s="6" t="s">
        <v>45</v>
      </c>
      <c r="I418" s="6" t="s">
        <v>46</v>
      </c>
      <c r="J418" s="6" t="s">
        <v>33</v>
      </c>
      <c r="K418" s="6" t="s">
        <v>24</v>
      </c>
      <c r="L418" s="6">
        <v>25</v>
      </c>
      <c r="M418" s="7">
        <v>1899</v>
      </c>
      <c r="N418" s="8">
        <v>0.08</v>
      </c>
      <c r="O418" s="9">
        <v>1080</v>
      </c>
    </row>
    <row r="419" spans="1:15" ht="18" x14ac:dyDescent="0.35">
      <c r="A419" s="4" t="s">
        <v>526</v>
      </c>
      <c r="B419" s="5">
        <v>45506</v>
      </c>
      <c r="C419" s="6" t="s">
        <v>36</v>
      </c>
      <c r="D419" s="6" t="s">
        <v>59</v>
      </c>
      <c r="E419" s="6" t="s">
        <v>101</v>
      </c>
      <c r="F419" s="6" t="s">
        <v>39</v>
      </c>
      <c r="G419" s="6" t="s">
        <v>20</v>
      </c>
      <c r="H419" s="6" t="s">
        <v>21</v>
      </c>
      <c r="I419" s="6" t="s">
        <v>22</v>
      </c>
      <c r="J419" s="6" t="s">
        <v>23</v>
      </c>
      <c r="K419" s="6" t="s">
        <v>78</v>
      </c>
      <c r="L419" s="6">
        <v>34</v>
      </c>
      <c r="M419" s="7">
        <v>4499</v>
      </c>
      <c r="N419" s="8">
        <v>0.2</v>
      </c>
      <c r="O419" s="9">
        <v>2910</v>
      </c>
    </row>
    <row r="420" spans="1:15" ht="18" x14ac:dyDescent="0.35">
      <c r="A420" s="4" t="s">
        <v>527</v>
      </c>
      <c r="B420" s="5">
        <v>45506</v>
      </c>
      <c r="C420" s="6" t="s">
        <v>48</v>
      </c>
      <c r="D420" s="6" t="s">
        <v>93</v>
      </c>
      <c r="E420" s="6" t="s">
        <v>38</v>
      </c>
      <c r="F420" s="6" t="s">
        <v>29</v>
      </c>
      <c r="G420" s="6" t="s">
        <v>40</v>
      </c>
      <c r="H420" s="6" t="s">
        <v>41</v>
      </c>
      <c r="I420" s="6" t="s">
        <v>119</v>
      </c>
      <c r="J420" s="6" t="s">
        <v>57</v>
      </c>
      <c r="K420" s="6" t="s">
        <v>78</v>
      </c>
      <c r="L420" s="6">
        <v>38</v>
      </c>
      <c r="M420" s="7">
        <v>48990</v>
      </c>
      <c r="N420" s="8">
        <v>0.1</v>
      </c>
      <c r="O420" s="9">
        <v>30100</v>
      </c>
    </row>
    <row r="421" spans="1:15" ht="18" x14ac:dyDescent="0.35">
      <c r="A421" s="4" t="s">
        <v>528</v>
      </c>
      <c r="B421" s="5">
        <v>45508</v>
      </c>
      <c r="C421" s="6" t="s">
        <v>16</v>
      </c>
      <c r="D421" s="6" t="s">
        <v>98</v>
      </c>
      <c r="E421" s="6" t="s">
        <v>105</v>
      </c>
      <c r="F421" s="6" t="s">
        <v>39</v>
      </c>
      <c r="G421" s="6" t="s">
        <v>20</v>
      </c>
      <c r="H421" s="6" t="s">
        <v>45</v>
      </c>
      <c r="I421" s="6" t="s">
        <v>196</v>
      </c>
      <c r="J421" s="6" t="s">
        <v>23</v>
      </c>
      <c r="K421" s="6" t="s">
        <v>78</v>
      </c>
      <c r="L421" s="6">
        <v>19</v>
      </c>
      <c r="M421" s="7">
        <v>2499</v>
      </c>
      <c r="N421" s="8">
        <v>0.2</v>
      </c>
      <c r="O421" s="9">
        <v>1510</v>
      </c>
    </row>
    <row r="422" spans="1:15" ht="18" x14ac:dyDescent="0.35">
      <c r="A422" s="4" t="s">
        <v>529</v>
      </c>
      <c r="B422" s="5">
        <v>45508</v>
      </c>
      <c r="C422" s="6" t="s">
        <v>16</v>
      </c>
      <c r="D422" s="6" t="s">
        <v>126</v>
      </c>
      <c r="E422" s="6" t="s">
        <v>75</v>
      </c>
      <c r="F422" s="6" t="s">
        <v>19</v>
      </c>
      <c r="G422" s="6" t="s">
        <v>40</v>
      </c>
      <c r="H422" s="6" t="s">
        <v>76</v>
      </c>
      <c r="I422" s="6" t="s">
        <v>113</v>
      </c>
      <c r="J422" s="6" t="s">
        <v>23</v>
      </c>
      <c r="K422" s="6" t="s">
        <v>34</v>
      </c>
      <c r="L422" s="6">
        <v>22</v>
      </c>
      <c r="M422" s="7">
        <v>22999</v>
      </c>
      <c r="N422" s="8">
        <v>0.18</v>
      </c>
      <c r="O422" s="9">
        <v>15100</v>
      </c>
    </row>
    <row r="423" spans="1:15" ht="18" x14ac:dyDescent="0.35">
      <c r="A423" s="4" t="s">
        <v>530</v>
      </c>
      <c r="B423" s="5">
        <v>45508</v>
      </c>
      <c r="C423" s="6" t="s">
        <v>48</v>
      </c>
      <c r="D423" s="6" t="s">
        <v>68</v>
      </c>
      <c r="E423" s="6" t="s">
        <v>38</v>
      </c>
      <c r="F423" s="6" t="s">
        <v>29</v>
      </c>
      <c r="G423" s="6" t="s">
        <v>20</v>
      </c>
      <c r="H423" s="6" t="s">
        <v>45</v>
      </c>
      <c r="I423" s="6" t="s">
        <v>103</v>
      </c>
      <c r="J423" s="6" t="s">
        <v>57</v>
      </c>
      <c r="K423" s="6" t="s">
        <v>24</v>
      </c>
      <c r="L423" s="6">
        <v>37</v>
      </c>
      <c r="M423" s="7">
        <v>1599</v>
      </c>
      <c r="N423" s="8">
        <v>0.15</v>
      </c>
      <c r="O423" s="9">
        <v>920</v>
      </c>
    </row>
    <row r="424" spans="1:15" ht="18" x14ac:dyDescent="0.35">
      <c r="A424" s="4" t="s">
        <v>531</v>
      </c>
      <c r="B424" s="5">
        <v>45509</v>
      </c>
      <c r="C424" s="6" t="s">
        <v>48</v>
      </c>
      <c r="D424" s="6" t="s">
        <v>136</v>
      </c>
      <c r="E424" s="6" t="s">
        <v>84</v>
      </c>
      <c r="F424" s="6" t="s">
        <v>19</v>
      </c>
      <c r="G424" s="6" t="s">
        <v>54</v>
      </c>
      <c r="H424" s="6" t="s">
        <v>90</v>
      </c>
      <c r="I424" s="6" t="s">
        <v>134</v>
      </c>
      <c r="J424" s="6" t="s">
        <v>23</v>
      </c>
      <c r="K424" s="6" t="s">
        <v>34</v>
      </c>
      <c r="L424" s="6">
        <v>8</v>
      </c>
      <c r="M424" s="7">
        <v>32800</v>
      </c>
      <c r="N424" s="8">
        <v>0.08</v>
      </c>
      <c r="O424" s="9">
        <v>23100</v>
      </c>
    </row>
    <row r="425" spans="1:15" ht="18" x14ac:dyDescent="0.35">
      <c r="A425" s="4" t="s">
        <v>532</v>
      </c>
      <c r="B425" s="5">
        <v>45511</v>
      </c>
      <c r="C425" s="6" t="s">
        <v>26</v>
      </c>
      <c r="D425" s="6" t="s">
        <v>53</v>
      </c>
      <c r="E425" s="6" t="s">
        <v>84</v>
      </c>
      <c r="F425" s="6" t="s">
        <v>19</v>
      </c>
      <c r="G425" s="6" t="s">
        <v>70</v>
      </c>
      <c r="H425" s="6" t="s">
        <v>71</v>
      </c>
      <c r="I425" s="6" t="s">
        <v>80</v>
      </c>
      <c r="J425" s="6" t="s">
        <v>57</v>
      </c>
      <c r="K425" s="6" t="s">
        <v>78</v>
      </c>
      <c r="L425" s="6">
        <v>15</v>
      </c>
      <c r="M425" s="7">
        <v>1299</v>
      </c>
      <c r="N425" s="8">
        <v>0.2</v>
      </c>
      <c r="O425" s="9">
        <v>720</v>
      </c>
    </row>
    <row r="426" spans="1:15" ht="18" x14ac:dyDescent="0.35">
      <c r="A426" s="4" t="s">
        <v>533</v>
      </c>
      <c r="B426" s="5">
        <v>45511</v>
      </c>
      <c r="C426" s="6" t="s">
        <v>16</v>
      </c>
      <c r="D426" s="6" t="s">
        <v>111</v>
      </c>
      <c r="E426" s="6" t="s">
        <v>60</v>
      </c>
      <c r="F426" s="6" t="s">
        <v>19</v>
      </c>
      <c r="G426" s="6" t="s">
        <v>54</v>
      </c>
      <c r="H426" s="6" t="s">
        <v>129</v>
      </c>
      <c r="I426" s="6" t="s">
        <v>145</v>
      </c>
      <c r="J426" s="6" t="s">
        <v>23</v>
      </c>
      <c r="K426" s="6" t="s">
        <v>24</v>
      </c>
      <c r="L426" s="6">
        <v>2</v>
      </c>
      <c r="M426" s="7">
        <v>31490</v>
      </c>
      <c r="N426" s="8">
        <v>0.1</v>
      </c>
      <c r="O426" s="9">
        <v>21300</v>
      </c>
    </row>
    <row r="427" spans="1:15" ht="18" x14ac:dyDescent="0.35">
      <c r="A427" s="4" t="s">
        <v>534</v>
      </c>
      <c r="B427" s="5">
        <v>45511</v>
      </c>
      <c r="C427" s="6" t="s">
        <v>36</v>
      </c>
      <c r="D427" s="6" t="s">
        <v>121</v>
      </c>
      <c r="E427" s="6" t="s">
        <v>84</v>
      </c>
      <c r="F427" s="6" t="s">
        <v>19</v>
      </c>
      <c r="G427" s="6" t="s">
        <v>54</v>
      </c>
      <c r="H427" s="6" t="s">
        <v>90</v>
      </c>
      <c r="I427" s="6" t="s">
        <v>91</v>
      </c>
      <c r="J427" s="6" t="s">
        <v>33</v>
      </c>
      <c r="K427" s="6" t="s">
        <v>24</v>
      </c>
      <c r="L427" s="6">
        <v>26</v>
      </c>
      <c r="M427" s="7">
        <v>31990</v>
      </c>
      <c r="N427" s="8">
        <v>0.15</v>
      </c>
      <c r="O427" s="9">
        <v>21800</v>
      </c>
    </row>
    <row r="428" spans="1:15" ht="18" x14ac:dyDescent="0.35">
      <c r="A428" s="4" t="s">
        <v>535</v>
      </c>
      <c r="B428" s="5">
        <v>45512</v>
      </c>
      <c r="C428" s="6" t="s">
        <v>82</v>
      </c>
      <c r="D428" s="6" t="s">
        <v>83</v>
      </c>
      <c r="E428" s="6" t="s">
        <v>75</v>
      </c>
      <c r="F428" s="6" t="s">
        <v>39</v>
      </c>
      <c r="G428" s="6" t="s">
        <v>20</v>
      </c>
      <c r="H428" s="6" t="s">
        <v>21</v>
      </c>
      <c r="I428" s="6" t="s">
        <v>22</v>
      </c>
      <c r="J428" s="6" t="s">
        <v>23</v>
      </c>
      <c r="K428" s="6" t="s">
        <v>66</v>
      </c>
      <c r="L428" s="6">
        <v>13</v>
      </c>
      <c r="M428" s="7">
        <v>4499</v>
      </c>
      <c r="N428" s="8">
        <v>0.1</v>
      </c>
      <c r="O428" s="9">
        <v>2910</v>
      </c>
    </row>
    <row r="429" spans="1:15" ht="18" x14ac:dyDescent="0.35">
      <c r="A429" s="4" t="s">
        <v>536</v>
      </c>
      <c r="B429" s="5">
        <v>45512</v>
      </c>
      <c r="C429" s="6" t="s">
        <v>26</v>
      </c>
      <c r="D429" s="6" t="s">
        <v>163</v>
      </c>
      <c r="E429" s="6" t="s">
        <v>60</v>
      </c>
      <c r="F429" s="6" t="s">
        <v>19</v>
      </c>
      <c r="G429" s="6" t="s">
        <v>20</v>
      </c>
      <c r="H429" s="6" t="s">
        <v>45</v>
      </c>
      <c r="I429" s="6" t="s">
        <v>196</v>
      </c>
      <c r="J429" s="6" t="s">
        <v>57</v>
      </c>
      <c r="K429" s="6" t="s">
        <v>24</v>
      </c>
      <c r="L429" s="6">
        <v>28</v>
      </c>
      <c r="M429" s="7">
        <v>2499</v>
      </c>
      <c r="N429" s="8">
        <v>0.05</v>
      </c>
      <c r="O429" s="9">
        <v>1510</v>
      </c>
    </row>
    <row r="430" spans="1:15" ht="18" x14ac:dyDescent="0.35">
      <c r="A430" s="4" t="s">
        <v>537</v>
      </c>
      <c r="B430" s="5">
        <v>45512</v>
      </c>
      <c r="C430" s="6" t="s">
        <v>82</v>
      </c>
      <c r="D430" s="6" t="s">
        <v>100</v>
      </c>
      <c r="E430" s="6" t="s">
        <v>60</v>
      </c>
      <c r="F430" s="6" t="s">
        <v>39</v>
      </c>
      <c r="G430" s="6" t="s">
        <v>70</v>
      </c>
      <c r="H430" s="6" t="s">
        <v>71</v>
      </c>
      <c r="I430" s="6" t="s">
        <v>80</v>
      </c>
      <c r="J430" s="6" t="s">
        <v>57</v>
      </c>
      <c r="K430" s="6" t="s">
        <v>66</v>
      </c>
      <c r="L430" s="6">
        <v>34</v>
      </c>
      <c r="M430" s="7">
        <v>1299</v>
      </c>
      <c r="N430" s="8">
        <v>0.08</v>
      </c>
      <c r="O430" s="9">
        <v>720</v>
      </c>
    </row>
    <row r="431" spans="1:15" ht="18" x14ac:dyDescent="0.35">
      <c r="A431" s="4" t="s">
        <v>538</v>
      </c>
      <c r="B431" s="5">
        <v>45512</v>
      </c>
      <c r="C431" s="6" t="s">
        <v>26</v>
      </c>
      <c r="D431" s="6" t="s">
        <v>74</v>
      </c>
      <c r="E431" s="6" t="s">
        <v>75</v>
      </c>
      <c r="F431" s="6" t="s">
        <v>29</v>
      </c>
      <c r="G431" s="6" t="s">
        <v>54</v>
      </c>
      <c r="H431" s="6" t="s">
        <v>129</v>
      </c>
      <c r="I431" s="6" t="s">
        <v>130</v>
      </c>
      <c r="J431" s="6" t="s">
        <v>57</v>
      </c>
      <c r="K431" s="6" t="s">
        <v>66</v>
      </c>
      <c r="L431" s="6">
        <v>11</v>
      </c>
      <c r="M431" s="7">
        <v>27890</v>
      </c>
      <c r="N431" s="8">
        <v>0.12</v>
      </c>
      <c r="O431" s="9">
        <v>18800</v>
      </c>
    </row>
    <row r="432" spans="1:15" ht="18" x14ac:dyDescent="0.35">
      <c r="A432" s="4" t="s">
        <v>539</v>
      </c>
      <c r="B432" s="5">
        <v>45513</v>
      </c>
      <c r="C432" s="6" t="s">
        <v>48</v>
      </c>
      <c r="D432" s="6" t="s">
        <v>49</v>
      </c>
      <c r="E432" s="6" t="s">
        <v>28</v>
      </c>
      <c r="F432" s="6" t="s">
        <v>19</v>
      </c>
      <c r="G432" s="6" t="s">
        <v>70</v>
      </c>
      <c r="H432" s="6" t="s">
        <v>71</v>
      </c>
      <c r="I432" s="6" t="s">
        <v>72</v>
      </c>
      <c r="J432" s="6" t="s">
        <v>33</v>
      </c>
      <c r="K432" s="6" t="s">
        <v>78</v>
      </c>
      <c r="L432" s="6">
        <v>4</v>
      </c>
      <c r="M432" s="7">
        <v>3499</v>
      </c>
      <c r="N432" s="8">
        <v>0.15</v>
      </c>
      <c r="O432" s="9">
        <v>2190</v>
      </c>
    </row>
    <row r="433" spans="1:15" ht="18" x14ac:dyDescent="0.35">
      <c r="A433" s="4" t="s">
        <v>540</v>
      </c>
      <c r="B433" s="5">
        <v>45513</v>
      </c>
      <c r="C433" s="6" t="s">
        <v>82</v>
      </c>
      <c r="D433" s="6" t="s">
        <v>100</v>
      </c>
      <c r="E433" s="6" t="s">
        <v>75</v>
      </c>
      <c r="F433" s="6" t="s">
        <v>39</v>
      </c>
      <c r="G433" s="6" t="s">
        <v>20</v>
      </c>
      <c r="H433" s="6" t="s">
        <v>45</v>
      </c>
      <c r="I433" s="6" t="s">
        <v>196</v>
      </c>
      <c r="J433" s="6" t="s">
        <v>23</v>
      </c>
      <c r="K433" s="6" t="s">
        <v>78</v>
      </c>
      <c r="L433" s="6">
        <v>6</v>
      </c>
      <c r="M433" s="7">
        <v>2499</v>
      </c>
      <c r="N433" s="8">
        <v>0.08</v>
      </c>
      <c r="O433" s="9">
        <v>1510</v>
      </c>
    </row>
    <row r="434" spans="1:15" ht="18" x14ac:dyDescent="0.35">
      <c r="A434" s="4" t="s">
        <v>541</v>
      </c>
      <c r="B434" s="5">
        <v>45514</v>
      </c>
      <c r="C434" s="6" t="s">
        <v>36</v>
      </c>
      <c r="D434" s="6" t="s">
        <v>44</v>
      </c>
      <c r="E434" s="6" t="s">
        <v>60</v>
      </c>
      <c r="F434" s="6" t="s">
        <v>39</v>
      </c>
      <c r="G434" s="6" t="s">
        <v>20</v>
      </c>
      <c r="H434" s="6" t="s">
        <v>45</v>
      </c>
      <c r="I434" s="6" t="s">
        <v>103</v>
      </c>
      <c r="J434" s="6" t="s">
        <v>33</v>
      </c>
      <c r="K434" s="6" t="s">
        <v>66</v>
      </c>
      <c r="L434" s="6">
        <v>23</v>
      </c>
      <c r="M434" s="7">
        <v>1599</v>
      </c>
      <c r="N434" s="8">
        <v>0.15</v>
      </c>
      <c r="O434" s="9">
        <v>920</v>
      </c>
    </row>
    <row r="435" spans="1:15" ht="18" x14ac:dyDescent="0.35">
      <c r="A435" s="4" t="s">
        <v>542</v>
      </c>
      <c r="B435" s="5">
        <v>45514</v>
      </c>
      <c r="C435" s="6" t="s">
        <v>36</v>
      </c>
      <c r="D435" s="6" t="s">
        <v>44</v>
      </c>
      <c r="E435" s="6" t="s">
        <v>28</v>
      </c>
      <c r="F435" s="6" t="s">
        <v>19</v>
      </c>
      <c r="G435" s="6" t="s">
        <v>40</v>
      </c>
      <c r="H435" s="6" t="s">
        <v>64</v>
      </c>
      <c r="I435" s="6" t="s">
        <v>159</v>
      </c>
      <c r="J435" s="6" t="s">
        <v>23</v>
      </c>
      <c r="K435" s="6" t="s">
        <v>24</v>
      </c>
      <c r="L435" s="6">
        <v>16</v>
      </c>
      <c r="M435" s="7">
        <v>3299</v>
      </c>
      <c r="N435" s="8">
        <v>0.1</v>
      </c>
      <c r="O435" s="9">
        <v>2050</v>
      </c>
    </row>
    <row r="436" spans="1:15" ht="18" x14ac:dyDescent="0.35">
      <c r="A436" s="4" t="s">
        <v>543</v>
      </c>
      <c r="B436" s="5">
        <v>45516</v>
      </c>
      <c r="C436" s="6" t="s">
        <v>36</v>
      </c>
      <c r="D436" s="6" t="s">
        <v>121</v>
      </c>
      <c r="E436" s="6" t="s">
        <v>38</v>
      </c>
      <c r="F436" s="6" t="s">
        <v>19</v>
      </c>
      <c r="G436" s="6" t="s">
        <v>54</v>
      </c>
      <c r="H436" s="6" t="s">
        <v>90</v>
      </c>
      <c r="I436" s="6" t="s">
        <v>134</v>
      </c>
      <c r="J436" s="6" t="s">
        <v>33</v>
      </c>
      <c r="K436" s="6" t="s">
        <v>24</v>
      </c>
      <c r="L436" s="6">
        <v>19</v>
      </c>
      <c r="M436" s="7">
        <v>32800</v>
      </c>
      <c r="N436" s="8">
        <v>0.08</v>
      </c>
      <c r="O436" s="9">
        <v>23100</v>
      </c>
    </row>
    <row r="437" spans="1:15" ht="18" x14ac:dyDescent="0.35">
      <c r="A437" s="4" t="s">
        <v>544</v>
      </c>
      <c r="B437" s="5">
        <v>45516</v>
      </c>
      <c r="C437" s="6" t="s">
        <v>16</v>
      </c>
      <c r="D437" s="6" t="s">
        <v>17</v>
      </c>
      <c r="E437" s="6" t="s">
        <v>50</v>
      </c>
      <c r="F437" s="6" t="s">
        <v>19</v>
      </c>
      <c r="G437" s="6" t="s">
        <v>54</v>
      </c>
      <c r="H437" s="6" t="s">
        <v>55</v>
      </c>
      <c r="I437" s="6" t="s">
        <v>148</v>
      </c>
      <c r="J437" s="6" t="s">
        <v>23</v>
      </c>
      <c r="K437" s="6" t="s">
        <v>78</v>
      </c>
      <c r="L437" s="6">
        <v>11</v>
      </c>
      <c r="M437" s="7">
        <v>4680</v>
      </c>
      <c r="N437" s="8">
        <v>0.18</v>
      </c>
      <c r="O437" s="9">
        <v>3250</v>
      </c>
    </row>
    <row r="438" spans="1:15" ht="18" x14ac:dyDescent="0.35">
      <c r="A438" s="4" t="s">
        <v>545</v>
      </c>
      <c r="B438" s="5">
        <v>45517</v>
      </c>
      <c r="C438" s="6" t="s">
        <v>48</v>
      </c>
      <c r="D438" s="6" t="s">
        <v>68</v>
      </c>
      <c r="E438" s="6" t="s">
        <v>60</v>
      </c>
      <c r="F438" s="6" t="s">
        <v>39</v>
      </c>
      <c r="G438" s="6" t="s">
        <v>20</v>
      </c>
      <c r="H438" s="6" t="s">
        <v>21</v>
      </c>
      <c r="I438" s="6" t="s">
        <v>115</v>
      </c>
      <c r="J438" s="6" t="s">
        <v>23</v>
      </c>
      <c r="K438" s="6" t="s">
        <v>24</v>
      </c>
      <c r="L438" s="6">
        <v>31</v>
      </c>
      <c r="M438" s="7">
        <v>6499</v>
      </c>
      <c r="N438" s="8">
        <v>0.12</v>
      </c>
      <c r="O438" s="9">
        <v>4210</v>
      </c>
    </row>
    <row r="439" spans="1:15" ht="18" x14ac:dyDescent="0.35">
      <c r="A439" s="4" t="s">
        <v>546</v>
      </c>
      <c r="B439" s="5">
        <v>45517</v>
      </c>
      <c r="C439" s="6" t="s">
        <v>82</v>
      </c>
      <c r="D439" s="6" t="s">
        <v>83</v>
      </c>
      <c r="E439" s="6" t="s">
        <v>105</v>
      </c>
      <c r="F439" s="6" t="s">
        <v>29</v>
      </c>
      <c r="G439" s="6" t="s">
        <v>30</v>
      </c>
      <c r="H439" s="6" t="s">
        <v>31</v>
      </c>
      <c r="I439" s="6" t="s">
        <v>85</v>
      </c>
      <c r="J439" s="6" t="s">
        <v>57</v>
      </c>
      <c r="K439" s="6" t="s">
        <v>34</v>
      </c>
      <c r="L439" s="6">
        <v>26</v>
      </c>
      <c r="M439" s="7">
        <v>43500</v>
      </c>
      <c r="N439" s="8">
        <v>0.18</v>
      </c>
      <c r="O439" s="9">
        <v>29520</v>
      </c>
    </row>
    <row r="440" spans="1:15" ht="18" x14ac:dyDescent="0.35">
      <c r="A440" s="4" t="s">
        <v>547</v>
      </c>
      <c r="B440" s="5">
        <v>45517</v>
      </c>
      <c r="C440" s="6" t="s">
        <v>36</v>
      </c>
      <c r="D440" s="6" t="s">
        <v>44</v>
      </c>
      <c r="E440" s="6" t="s">
        <v>60</v>
      </c>
      <c r="F440" s="6" t="s">
        <v>39</v>
      </c>
      <c r="G440" s="6" t="s">
        <v>54</v>
      </c>
      <c r="H440" s="6" t="s">
        <v>55</v>
      </c>
      <c r="I440" s="6" t="s">
        <v>108</v>
      </c>
      <c r="J440" s="6" t="s">
        <v>23</v>
      </c>
      <c r="K440" s="6" t="s">
        <v>24</v>
      </c>
      <c r="L440" s="6">
        <v>13</v>
      </c>
      <c r="M440" s="7">
        <v>5890</v>
      </c>
      <c r="N440" s="8">
        <v>0.05</v>
      </c>
      <c r="O440" s="9">
        <v>3980</v>
      </c>
    </row>
    <row r="441" spans="1:15" ht="18" x14ac:dyDescent="0.35">
      <c r="A441" s="4" t="s">
        <v>548</v>
      </c>
      <c r="B441" s="5">
        <v>45518</v>
      </c>
      <c r="C441" s="6" t="s">
        <v>48</v>
      </c>
      <c r="D441" s="6" t="s">
        <v>93</v>
      </c>
      <c r="E441" s="6" t="s">
        <v>60</v>
      </c>
      <c r="F441" s="6" t="s">
        <v>29</v>
      </c>
      <c r="G441" s="6" t="s">
        <v>30</v>
      </c>
      <c r="H441" s="6" t="s">
        <v>31</v>
      </c>
      <c r="I441" s="6" t="s">
        <v>85</v>
      </c>
      <c r="J441" s="6" t="s">
        <v>33</v>
      </c>
      <c r="K441" s="6" t="s">
        <v>66</v>
      </c>
      <c r="L441" s="6">
        <v>16</v>
      </c>
      <c r="M441" s="7">
        <v>43500</v>
      </c>
      <c r="N441" s="8">
        <v>0.12</v>
      </c>
      <c r="O441" s="9">
        <v>29520</v>
      </c>
    </row>
    <row r="442" spans="1:15" ht="18" x14ac:dyDescent="0.35">
      <c r="A442" s="4" t="s">
        <v>549</v>
      </c>
      <c r="B442" s="5">
        <v>45518</v>
      </c>
      <c r="C442" s="6" t="s">
        <v>82</v>
      </c>
      <c r="D442" s="6" t="s">
        <v>83</v>
      </c>
      <c r="E442" s="6" t="s">
        <v>38</v>
      </c>
      <c r="F442" s="6" t="s">
        <v>19</v>
      </c>
      <c r="G442" s="6" t="s">
        <v>30</v>
      </c>
      <c r="H442" s="6" t="s">
        <v>31</v>
      </c>
      <c r="I442" s="6" t="s">
        <v>106</v>
      </c>
      <c r="J442" s="6" t="s">
        <v>33</v>
      </c>
      <c r="K442" s="6" t="s">
        <v>78</v>
      </c>
      <c r="L442" s="6">
        <v>16</v>
      </c>
      <c r="M442" s="7">
        <v>52990</v>
      </c>
      <c r="N442" s="8">
        <v>0.2</v>
      </c>
      <c r="O442" s="9">
        <v>35100</v>
      </c>
    </row>
    <row r="443" spans="1:15" ht="18" x14ac:dyDescent="0.35">
      <c r="A443" s="4" t="s">
        <v>550</v>
      </c>
      <c r="B443" s="5">
        <v>45519</v>
      </c>
      <c r="C443" s="6" t="s">
        <v>82</v>
      </c>
      <c r="D443" s="6" t="s">
        <v>183</v>
      </c>
      <c r="E443" s="6" t="s">
        <v>50</v>
      </c>
      <c r="F443" s="6" t="s">
        <v>19</v>
      </c>
      <c r="G443" s="6" t="s">
        <v>40</v>
      </c>
      <c r="H443" s="6" t="s">
        <v>64</v>
      </c>
      <c r="I443" s="6" t="s">
        <v>153</v>
      </c>
      <c r="J443" s="6" t="s">
        <v>57</v>
      </c>
      <c r="K443" s="6" t="s">
        <v>24</v>
      </c>
      <c r="L443" s="6">
        <v>36</v>
      </c>
      <c r="M443" s="7">
        <v>4490</v>
      </c>
      <c r="N443" s="8">
        <v>0.05</v>
      </c>
      <c r="O443" s="9">
        <v>2950</v>
      </c>
    </row>
    <row r="444" spans="1:15" ht="18" x14ac:dyDescent="0.35">
      <c r="A444" s="4" t="s">
        <v>551</v>
      </c>
      <c r="B444" s="5">
        <v>45520</v>
      </c>
      <c r="C444" s="6" t="s">
        <v>36</v>
      </c>
      <c r="D444" s="6" t="s">
        <v>121</v>
      </c>
      <c r="E444" s="6" t="s">
        <v>38</v>
      </c>
      <c r="F444" s="6" t="s">
        <v>19</v>
      </c>
      <c r="G444" s="6" t="s">
        <v>30</v>
      </c>
      <c r="H444" s="6" t="s">
        <v>61</v>
      </c>
      <c r="I444" s="6" t="s">
        <v>96</v>
      </c>
      <c r="J444" s="6" t="s">
        <v>57</v>
      </c>
      <c r="K444" s="6" t="s">
        <v>66</v>
      </c>
      <c r="L444" s="6">
        <v>19</v>
      </c>
      <c r="M444" s="7">
        <v>25110</v>
      </c>
      <c r="N444" s="8">
        <v>0.1</v>
      </c>
      <c r="O444" s="9">
        <v>16730</v>
      </c>
    </row>
    <row r="445" spans="1:15" ht="18" x14ac:dyDescent="0.35">
      <c r="A445" s="4" t="s">
        <v>552</v>
      </c>
      <c r="B445" s="5">
        <v>45520</v>
      </c>
      <c r="C445" s="6" t="s">
        <v>16</v>
      </c>
      <c r="D445" s="6" t="s">
        <v>111</v>
      </c>
      <c r="E445" s="6" t="s">
        <v>101</v>
      </c>
      <c r="F445" s="6" t="s">
        <v>29</v>
      </c>
      <c r="G445" s="6" t="s">
        <v>40</v>
      </c>
      <c r="H445" s="6" t="s">
        <v>64</v>
      </c>
      <c r="I445" s="6" t="s">
        <v>65</v>
      </c>
      <c r="J445" s="6" t="s">
        <v>23</v>
      </c>
      <c r="K445" s="6" t="s">
        <v>66</v>
      </c>
      <c r="L445" s="6">
        <v>10</v>
      </c>
      <c r="M445" s="7">
        <v>1930</v>
      </c>
      <c r="N445" s="8">
        <v>0.18</v>
      </c>
      <c r="O445" s="9">
        <v>1120</v>
      </c>
    </row>
    <row r="446" spans="1:15" ht="18" x14ac:dyDescent="0.35">
      <c r="A446" s="4" t="s">
        <v>553</v>
      </c>
      <c r="B446" s="5">
        <v>45521</v>
      </c>
      <c r="C446" s="6" t="s">
        <v>36</v>
      </c>
      <c r="D446" s="6" t="s">
        <v>44</v>
      </c>
      <c r="E446" s="6" t="s">
        <v>50</v>
      </c>
      <c r="F446" s="6" t="s">
        <v>39</v>
      </c>
      <c r="G446" s="6" t="s">
        <v>40</v>
      </c>
      <c r="H446" s="6" t="s">
        <v>64</v>
      </c>
      <c r="I446" s="6" t="s">
        <v>153</v>
      </c>
      <c r="J446" s="6" t="s">
        <v>23</v>
      </c>
      <c r="K446" s="6" t="s">
        <v>24</v>
      </c>
      <c r="L446" s="6">
        <v>6</v>
      </c>
      <c r="M446" s="7">
        <v>4490</v>
      </c>
      <c r="N446" s="8">
        <v>0.08</v>
      </c>
      <c r="O446" s="9">
        <v>2950</v>
      </c>
    </row>
    <row r="447" spans="1:15" ht="18" x14ac:dyDescent="0.35">
      <c r="A447" s="4" t="s">
        <v>554</v>
      </c>
      <c r="B447" s="5">
        <v>45521</v>
      </c>
      <c r="C447" s="6" t="s">
        <v>82</v>
      </c>
      <c r="D447" s="6" t="s">
        <v>87</v>
      </c>
      <c r="E447" s="6" t="s">
        <v>69</v>
      </c>
      <c r="F447" s="6" t="s">
        <v>19</v>
      </c>
      <c r="G447" s="6" t="s">
        <v>30</v>
      </c>
      <c r="H447" s="6" t="s">
        <v>61</v>
      </c>
      <c r="I447" s="6" t="s">
        <v>62</v>
      </c>
      <c r="J447" s="6" t="s">
        <v>57</v>
      </c>
      <c r="K447" s="6" t="s">
        <v>24</v>
      </c>
      <c r="L447" s="6">
        <v>19</v>
      </c>
      <c r="M447" s="7">
        <v>12490</v>
      </c>
      <c r="N447" s="8">
        <v>0.2</v>
      </c>
      <c r="O447" s="9">
        <v>7900</v>
      </c>
    </row>
    <row r="448" spans="1:15" ht="18" x14ac:dyDescent="0.35">
      <c r="A448" s="4" t="s">
        <v>555</v>
      </c>
      <c r="B448" s="5">
        <v>45522</v>
      </c>
      <c r="C448" s="6" t="s">
        <v>26</v>
      </c>
      <c r="D448" s="6" t="s">
        <v>53</v>
      </c>
      <c r="E448" s="6" t="s">
        <v>84</v>
      </c>
      <c r="F448" s="6" t="s">
        <v>19</v>
      </c>
      <c r="G448" s="6" t="s">
        <v>70</v>
      </c>
      <c r="H448" s="6" t="s">
        <v>71</v>
      </c>
      <c r="I448" s="6" t="s">
        <v>72</v>
      </c>
      <c r="J448" s="6" t="s">
        <v>33</v>
      </c>
      <c r="K448" s="6" t="s">
        <v>66</v>
      </c>
      <c r="L448" s="6">
        <v>18</v>
      </c>
      <c r="M448" s="7">
        <v>3499</v>
      </c>
      <c r="N448" s="8">
        <v>0.2</v>
      </c>
      <c r="O448" s="9">
        <v>2190</v>
      </c>
    </row>
    <row r="449" spans="1:15" ht="18" x14ac:dyDescent="0.35">
      <c r="A449" s="4" t="s">
        <v>556</v>
      </c>
      <c r="B449" s="5">
        <v>45522</v>
      </c>
      <c r="C449" s="6" t="s">
        <v>16</v>
      </c>
      <c r="D449" s="6" t="s">
        <v>111</v>
      </c>
      <c r="E449" s="6" t="s">
        <v>101</v>
      </c>
      <c r="F449" s="6" t="s">
        <v>39</v>
      </c>
      <c r="G449" s="6" t="s">
        <v>20</v>
      </c>
      <c r="H449" s="6" t="s">
        <v>45</v>
      </c>
      <c r="I449" s="6" t="s">
        <v>103</v>
      </c>
      <c r="J449" s="6" t="s">
        <v>57</v>
      </c>
      <c r="K449" s="6" t="s">
        <v>66</v>
      </c>
      <c r="L449" s="6">
        <v>38</v>
      </c>
      <c r="M449" s="7">
        <v>1599</v>
      </c>
      <c r="N449" s="8">
        <v>0.15</v>
      </c>
      <c r="O449" s="9">
        <v>920</v>
      </c>
    </row>
    <row r="450" spans="1:15" ht="18" x14ac:dyDescent="0.35">
      <c r="A450" s="4" t="s">
        <v>557</v>
      </c>
      <c r="B450" s="5">
        <v>45522</v>
      </c>
      <c r="C450" s="6" t="s">
        <v>48</v>
      </c>
      <c r="D450" s="6" t="s">
        <v>136</v>
      </c>
      <c r="E450" s="6" t="s">
        <v>28</v>
      </c>
      <c r="F450" s="6" t="s">
        <v>19</v>
      </c>
      <c r="G450" s="6" t="s">
        <v>40</v>
      </c>
      <c r="H450" s="6" t="s">
        <v>64</v>
      </c>
      <c r="I450" s="6" t="s">
        <v>153</v>
      </c>
      <c r="J450" s="6" t="s">
        <v>57</v>
      </c>
      <c r="K450" s="6" t="s">
        <v>34</v>
      </c>
      <c r="L450" s="6">
        <v>35</v>
      </c>
      <c r="M450" s="7">
        <v>4490</v>
      </c>
      <c r="N450" s="8">
        <v>0.2</v>
      </c>
      <c r="O450" s="9">
        <v>2950</v>
      </c>
    </row>
    <row r="451" spans="1:15" ht="18" x14ac:dyDescent="0.35">
      <c r="A451" s="4" t="s">
        <v>558</v>
      </c>
      <c r="B451" s="5">
        <v>45523</v>
      </c>
      <c r="C451" s="6" t="s">
        <v>36</v>
      </c>
      <c r="D451" s="6" t="s">
        <v>44</v>
      </c>
      <c r="E451" s="6" t="s">
        <v>84</v>
      </c>
      <c r="F451" s="6" t="s">
        <v>39</v>
      </c>
      <c r="G451" s="6" t="s">
        <v>40</v>
      </c>
      <c r="H451" s="6" t="s">
        <v>64</v>
      </c>
      <c r="I451" s="6" t="s">
        <v>153</v>
      </c>
      <c r="J451" s="6" t="s">
        <v>23</v>
      </c>
      <c r="K451" s="6" t="s">
        <v>66</v>
      </c>
      <c r="L451" s="6">
        <v>14</v>
      </c>
      <c r="M451" s="7">
        <v>4490</v>
      </c>
      <c r="N451" s="8">
        <v>0.12</v>
      </c>
      <c r="O451" s="9">
        <v>2950</v>
      </c>
    </row>
    <row r="452" spans="1:15" ht="18" x14ac:dyDescent="0.35">
      <c r="A452" s="4" t="s">
        <v>559</v>
      </c>
      <c r="B452" s="5">
        <v>45523</v>
      </c>
      <c r="C452" s="6" t="s">
        <v>26</v>
      </c>
      <c r="D452" s="6" t="s">
        <v>163</v>
      </c>
      <c r="E452" s="6" t="s">
        <v>50</v>
      </c>
      <c r="F452" s="6" t="s">
        <v>29</v>
      </c>
      <c r="G452" s="6" t="s">
        <v>70</v>
      </c>
      <c r="H452" s="6" t="s">
        <v>71</v>
      </c>
      <c r="I452" s="6" t="s">
        <v>72</v>
      </c>
      <c r="J452" s="6" t="s">
        <v>23</v>
      </c>
      <c r="K452" s="6" t="s">
        <v>66</v>
      </c>
      <c r="L452" s="6">
        <v>17</v>
      </c>
      <c r="M452" s="7">
        <v>3499</v>
      </c>
      <c r="N452" s="8">
        <v>0.1</v>
      </c>
      <c r="O452" s="9">
        <v>2190</v>
      </c>
    </row>
    <row r="453" spans="1:15" ht="18" x14ac:dyDescent="0.35">
      <c r="A453" s="4" t="s">
        <v>560</v>
      </c>
      <c r="B453" s="5">
        <v>45524</v>
      </c>
      <c r="C453" s="6" t="s">
        <v>16</v>
      </c>
      <c r="D453" s="6" t="s">
        <v>98</v>
      </c>
      <c r="E453" s="6" t="s">
        <v>105</v>
      </c>
      <c r="F453" s="6" t="s">
        <v>39</v>
      </c>
      <c r="G453" s="6" t="s">
        <v>30</v>
      </c>
      <c r="H453" s="6" t="s">
        <v>61</v>
      </c>
      <c r="I453" s="6" t="s">
        <v>186</v>
      </c>
      <c r="J453" s="6" t="s">
        <v>57</v>
      </c>
      <c r="K453" s="6" t="s">
        <v>24</v>
      </c>
      <c r="L453" s="6">
        <v>8</v>
      </c>
      <c r="M453" s="7">
        <v>6999</v>
      </c>
      <c r="N453" s="8">
        <v>0.2</v>
      </c>
      <c r="O453" s="9">
        <v>4320</v>
      </c>
    </row>
    <row r="454" spans="1:15" ht="18" x14ac:dyDescent="0.35">
      <c r="A454" s="4" t="s">
        <v>561</v>
      </c>
      <c r="B454" s="5">
        <v>45524</v>
      </c>
      <c r="C454" s="6" t="s">
        <v>26</v>
      </c>
      <c r="D454" s="6" t="s">
        <v>53</v>
      </c>
      <c r="E454" s="6" t="s">
        <v>101</v>
      </c>
      <c r="F454" s="6" t="s">
        <v>29</v>
      </c>
      <c r="G454" s="6" t="s">
        <v>40</v>
      </c>
      <c r="H454" s="6" t="s">
        <v>76</v>
      </c>
      <c r="I454" s="6" t="s">
        <v>77</v>
      </c>
      <c r="J454" s="6" t="s">
        <v>23</v>
      </c>
      <c r="K454" s="6" t="s">
        <v>24</v>
      </c>
      <c r="L454" s="6">
        <v>22</v>
      </c>
      <c r="M454" s="7">
        <v>52990</v>
      </c>
      <c r="N454" s="8">
        <v>0.1</v>
      </c>
      <c r="O454" s="9">
        <v>39500</v>
      </c>
    </row>
    <row r="455" spans="1:15" ht="18" x14ac:dyDescent="0.35">
      <c r="A455" s="4" t="s">
        <v>562</v>
      </c>
      <c r="B455" s="5">
        <v>45524</v>
      </c>
      <c r="C455" s="6" t="s">
        <v>26</v>
      </c>
      <c r="D455" s="6" t="s">
        <v>53</v>
      </c>
      <c r="E455" s="6" t="s">
        <v>84</v>
      </c>
      <c r="F455" s="6" t="s">
        <v>29</v>
      </c>
      <c r="G455" s="6" t="s">
        <v>20</v>
      </c>
      <c r="H455" s="6" t="s">
        <v>45</v>
      </c>
      <c r="I455" s="6" t="s">
        <v>196</v>
      </c>
      <c r="J455" s="6" t="s">
        <v>23</v>
      </c>
      <c r="K455" s="6" t="s">
        <v>34</v>
      </c>
      <c r="L455" s="6">
        <v>40</v>
      </c>
      <c r="M455" s="7">
        <v>2499</v>
      </c>
      <c r="N455" s="8">
        <v>0.08</v>
      </c>
      <c r="O455" s="9">
        <v>1510</v>
      </c>
    </row>
    <row r="456" spans="1:15" ht="18" x14ac:dyDescent="0.35">
      <c r="A456" s="4" t="s">
        <v>563</v>
      </c>
      <c r="B456" s="5">
        <v>45524</v>
      </c>
      <c r="C456" s="6" t="s">
        <v>26</v>
      </c>
      <c r="D456" s="6" t="s">
        <v>53</v>
      </c>
      <c r="E456" s="6" t="s">
        <v>84</v>
      </c>
      <c r="F456" s="6" t="s">
        <v>19</v>
      </c>
      <c r="G456" s="6" t="s">
        <v>70</v>
      </c>
      <c r="H456" s="6" t="s">
        <v>71</v>
      </c>
      <c r="I456" s="6" t="s">
        <v>80</v>
      </c>
      <c r="J456" s="6" t="s">
        <v>57</v>
      </c>
      <c r="K456" s="6" t="s">
        <v>24</v>
      </c>
      <c r="L456" s="6">
        <v>14</v>
      </c>
      <c r="M456" s="7">
        <v>1299</v>
      </c>
      <c r="N456" s="8">
        <v>0.15</v>
      </c>
      <c r="O456" s="9">
        <v>720</v>
      </c>
    </row>
    <row r="457" spans="1:15" ht="18" x14ac:dyDescent="0.35">
      <c r="A457" s="4" t="s">
        <v>564</v>
      </c>
      <c r="B457" s="5">
        <v>45524</v>
      </c>
      <c r="C457" s="6" t="s">
        <v>36</v>
      </c>
      <c r="D457" s="6" t="s">
        <v>59</v>
      </c>
      <c r="E457" s="6" t="s">
        <v>60</v>
      </c>
      <c r="F457" s="6" t="s">
        <v>29</v>
      </c>
      <c r="G457" s="6" t="s">
        <v>30</v>
      </c>
      <c r="H457" s="6" t="s">
        <v>61</v>
      </c>
      <c r="I457" s="6" t="s">
        <v>62</v>
      </c>
      <c r="J457" s="6" t="s">
        <v>33</v>
      </c>
      <c r="K457" s="6" t="s">
        <v>24</v>
      </c>
      <c r="L457" s="6">
        <v>34</v>
      </c>
      <c r="M457" s="7">
        <v>12490</v>
      </c>
      <c r="N457" s="8">
        <v>0.12</v>
      </c>
      <c r="O457" s="9">
        <v>7900</v>
      </c>
    </row>
    <row r="458" spans="1:15" ht="18" x14ac:dyDescent="0.35">
      <c r="A458" s="4" t="s">
        <v>565</v>
      </c>
      <c r="B458" s="5">
        <v>45525</v>
      </c>
      <c r="C458" s="6" t="s">
        <v>36</v>
      </c>
      <c r="D458" s="6" t="s">
        <v>44</v>
      </c>
      <c r="E458" s="6" t="s">
        <v>38</v>
      </c>
      <c r="F458" s="6" t="s">
        <v>29</v>
      </c>
      <c r="G458" s="6" t="s">
        <v>40</v>
      </c>
      <c r="H458" s="6" t="s">
        <v>41</v>
      </c>
      <c r="I458" s="6" t="s">
        <v>156</v>
      </c>
      <c r="J458" s="6" t="s">
        <v>23</v>
      </c>
      <c r="K458" s="6" t="s">
        <v>24</v>
      </c>
      <c r="L458" s="6">
        <v>31</v>
      </c>
      <c r="M458" s="7">
        <v>48500</v>
      </c>
      <c r="N458" s="8">
        <v>0.15</v>
      </c>
      <c r="O458" s="9">
        <v>30200</v>
      </c>
    </row>
    <row r="459" spans="1:15" ht="18" x14ac:dyDescent="0.35">
      <c r="A459" s="4" t="s">
        <v>566</v>
      </c>
      <c r="B459" s="5">
        <v>45525</v>
      </c>
      <c r="C459" s="6" t="s">
        <v>16</v>
      </c>
      <c r="D459" s="6" t="s">
        <v>111</v>
      </c>
      <c r="E459" s="6" t="s">
        <v>60</v>
      </c>
      <c r="F459" s="6" t="s">
        <v>29</v>
      </c>
      <c r="G459" s="6" t="s">
        <v>20</v>
      </c>
      <c r="H459" s="6" t="s">
        <v>45</v>
      </c>
      <c r="I459" s="6" t="s">
        <v>46</v>
      </c>
      <c r="J459" s="6" t="s">
        <v>33</v>
      </c>
      <c r="K459" s="6" t="s">
        <v>24</v>
      </c>
      <c r="L459" s="6">
        <v>20</v>
      </c>
      <c r="M459" s="7">
        <v>1899</v>
      </c>
      <c r="N459" s="8">
        <v>0.1</v>
      </c>
      <c r="O459" s="9">
        <v>1080</v>
      </c>
    </row>
    <row r="460" spans="1:15" ht="18" x14ac:dyDescent="0.35">
      <c r="A460" s="4" t="s">
        <v>567</v>
      </c>
      <c r="B460" s="5">
        <v>45526</v>
      </c>
      <c r="C460" s="6" t="s">
        <v>36</v>
      </c>
      <c r="D460" s="6" t="s">
        <v>44</v>
      </c>
      <c r="E460" s="6" t="s">
        <v>60</v>
      </c>
      <c r="F460" s="6" t="s">
        <v>39</v>
      </c>
      <c r="G460" s="6" t="s">
        <v>20</v>
      </c>
      <c r="H460" s="6" t="s">
        <v>45</v>
      </c>
      <c r="I460" s="6" t="s">
        <v>46</v>
      </c>
      <c r="J460" s="6" t="s">
        <v>33</v>
      </c>
      <c r="K460" s="6" t="s">
        <v>24</v>
      </c>
      <c r="L460" s="6">
        <v>11</v>
      </c>
      <c r="M460" s="7">
        <v>1899</v>
      </c>
      <c r="N460" s="8">
        <v>0.18</v>
      </c>
      <c r="O460" s="9">
        <v>1080</v>
      </c>
    </row>
    <row r="461" spans="1:15" ht="18" x14ac:dyDescent="0.35">
      <c r="A461" s="4" t="s">
        <v>568</v>
      </c>
      <c r="B461" s="5">
        <v>45526</v>
      </c>
      <c r="C461" s="6" t="s">
        <v>48</v>
      </c>
      <c r="D461" s="6" t="s">
        <v>49</v>
      </c>
      <c r="E461" s="6" t="s">
        <v>18</v>
      </c>
      <c r="F461" s="6" t="s">
        <v>19</v>
      </c>
      <c r="G461" s="6" t="s">
        <v>40</v>
      </c>
      <c r="H461" s="6" t="s">
        <v>76</v>
      </c>
      <c r="I461" s="6" t="s">
        <v>139</v>
      </c>
      <c r="J461" s="6" t="s">
        <v>23</v>
      </c>
      <c r="K461" s="6" t="s">
        <v>24</v>
      </c>
      <c r="L461" s="6">
        <v>11</v>
      </c>
      <c r="M461" s="7">
        <v>25999</v>
      </c>
      <c r="N461" s="8">
        <v>0.2</v>
      </c>
      <c r="O461" s="9">
        <v>17800</v>
      </c>
    </row>
    <row r="462" spans="1:15" ht="18" x14ac:dyDescent="0.35">
      <c r="A462" s="4" t="s">
        <v>569</v>
      </c>
      <c r="B462" s="5">
        <v>45526</v>
      </c>
      <c r="C462" s="6" t="s">
        <v>36</v>
      </c>
      <c r="D462" s="6" t="s">
        <v>37</v>
      </c>
      <c r="E462" s="6" t="s">
        <v>28</v>
      </c>
      <c r="F462" s="6" t="s">
        <v>39</v>
      </c>
      <c r="G462" s="6" t="s">
        <v>70</v>
      </c>
      <c r="H462" s="6" t="s">
        <v>71</v>
      </c>
      <c r="I462" s="6" t="s">
        <v>72</v>
      </c>
      <c r="J462" s="6" t="s">
        <v>23</v>
      </c>
      <c r="K462" s="6" t="s">
        <v>24</v>
      </c>
      <c r="L462" s="6">
        <v>5</v>
      </c>
      <c r="M462" s="7">
        <v>3499</v>
      </c>
      <c r="N462" s="8">
        <v>0.08</v>
      </c>
      <c r="O462" s="9">
        <v>2190</v>
      </c>
    </row>
    <row r="463" spans="1:15" ht="18" x14ac:dyDescent="0.35">
      <c r="A463" s="4" t="s">
        <v>570</v>
      </c>
      <c r="B463" s="5">
        <v>45527</v>
      </c>
      <c r="C463" s="6" t="s">
        <v>26</v>
      </c>
      <c r="D463" s="6" t="s">
        <v>53</v>
      </c>
      <c r="E463" s="6" t="s">
        <v>38</v>
      </c>
      <c r="F463" s="6" t="s">
        <v>39</v>
      </c>
      <c r="G463" s="6" t="s">
        <v>30</v>
      </c>
      <c r="H463" s="6" t="s">
        <v>61</v>
      </c>
      <c r="I463" s="6" t="s">
        <v>186</v>
      </c>
      <c r="J463" s="6" t="s">
        <v>23</v>
      </c>
      <c r="K463" s="6" t="s">
        <v>24</v>
      </c>
      <c r="L463" s="6">
        <v>28</v>
      </c>
      <c r="M463" s="7">
        <v>6999</v>
      </c>
      <c r="N463" s="8">
        <v>0.05</v>
      </c>
      <c r="O463" s="9">
        <v>4320</v>
      </c>
    </row>
    <row r="464" spans="1:15" ht="18" x14ac:dyDescent="0.35">
      <c r="A464" s="4" t="s">
        <v>571</v>
      </c>
      <c r="B464" s="5">
        <v>45528</v>
      </c>
      <c r="C464" s="6" t="s">
        <v>16</v>
      </c>
      <c r="D464" s="6" t="s">
        <v>98</v>
      </c>
      <c r="E464" s="6" t="s">
        <v>18</v>
      </c>
      <c r="F464" s="6" t="s">
        <v>29</v>
      </c>
      <c r="G464" s="6" t="s">
        <v>54</v>
      </c>
      <c r="H464" s="6" t="s">
        <v>129</v>
      </c>
      <c r="I464" s="6" t="s">
        <v>145</v>
      </c>
      <c r="J464" s="6" t="s">
        <v>33</v>
      </c>
      <c r="K464" s="6" t="s">
        <v>34</v>
      </c>
      <c r="L464" s="6">
        <v>12</v>
      </c>
      <c r="M464" s="7">
        <v>31490</v>
      </c>
      <c r="N464" s="8">
        <v>0.1</v>
      </c>
      <c r="O464" s="9">
        <v>21300</v>
      </c>
    </row>
    <row r="465" spans="1:15" ht="18" x14ac:dyDescent="0.35">
      <c r="A465" s="4" t="s">
        <v>572</v>
      </c>
      <c r="B465" s="5">
        <v>45528</v>
      </c>
      <c r="C465" s="6" t="s">
        <v>36</v>
      </c>
      <c r="D465" s="6" t="s">
        <v>44</v>
      </c>
      <c r="E465" s="6" t="s">
        <v>75</v>
      </c>
      <c r="F465" s="6" t="s">
        <v>19</v>
      </c>
      <c r="G465" s="6" t="s">
        <v>54</v>
      </c>
      <c r="H465" s="6" t="s">
        <v>129</v>
      </c>
      <c r="I465" s="6" t="s">
        <v>145</v>
      </c>
      <c r="J465" s="6" t="s">
        <v>57</v>
      </c>
      <c r="K465" s="6" t="s">
        <v>78</v>
      </c>
      <c r="L465" s="6">
        <v>4</v>
      </c>
      <c r="M465" s="7">
        <v>31490</v>
      </c>
      <c r="N465" s="8">
        <v>0.15</v>
      </c>
      <c r="O465" s="9">
        <v>21300</v>
      </c>
    </row>
    <row r="466" spans="1:15" ht="18" x14ac:dyDescent="0.35">
      <c r="A466" s="4" t="s">
        <v>573</v>
      </c>
      <c r="B466" s="5">
        <v>45530</v>
      </c>
      <c r="C466" s="6" t="s">
        <v>36</v>
      </c>
      <c r="D466" s="6" t="s">
        <v>37</v>
      </c>
      <c r="E466" s="6" t="s">
        <v>101</v>
      </c>
      <c r="F466" s="6" t="s">
        <v>29</v>
      </c>
      <c r="G466" s="6" t="s">
        <v>40</v>
      </c>
      <c r="H466" s="6" t="s">
        <v>76</v>
      </c>
      <c r="I466" s="6" t="s">
        <v>139</v>
      </c>
      <c r="J466" s="6" t="s">
        <v>23</v>
      </c>
      <c r="K466" s="6" t="s">
        <v>78</v>
      </c>
      <c r="L466" s="6">
        <v>18</v>
      </c>
      <c r="M466" s="7">
        <v>25999</v>
      </c>
      <c r="N466" s="8">
        <v>0.05</v>
      </c>
      <c r="O466" s="9">
        <v>17800</v>
      </c>
    </row>
    <row r="467" spans="1:15" ht="18" x14ac:dyDescent="0.35">
      <c r="A467" s="4" t="s">
        <v>574</v>
      </c>
      <c r="B467" s="5">
        <v>45530</v>
      </c>
      <c r="C467" s="6" t="s">
        <v>36</v>
      </c>
      <c r="D467" s="6" t="s">
        <v>44</v>
      </c>
      <c r="E467" s="6" t="s">
        <v>50</v>
      </c>
      <c r="F467" s="6" t="s">
        <v>19</v>
      </c>
      <c r="G467" s="6" t="s">
        <v>30</v>
      </c>
      <c r="H467" s="6" t="s">
        <v>31</v>
      </c>
      <c r="I467" s="6" t="s">
        <v>85</v>
      </c>
      <c r="J467" s="6" t="s">
        <v>23</v>
      </c>
      <c r="K467" s="6" t="s">
        <v>66</v>
      </c>
      <c r="L467" s="6">
        <v>35</v>
      </c>
      <c r="M467" s="7">
        <v>43500</v>
      </c>
      <c r="N467" s="8">
        <v>0.05</v>
      </c>
      <c r="O467" s="9">
        <v>29520</v>
      </c>
    </row>
    <row r="468" spans="1:15" ht="18" x14ac:dyDescent="0.35">
      <c r="A468" s="4" t="s">
        <v>575</v>
      </c>
      <c r="B468" s="5">
        <v>45531</v>
      </c>
      <c r="C468" s="6" t="s">
        <v>26</v>
      </c>
      <c r="D468" s="6" t="s">
        <v>74</v>
      </c>
      <c r="E468" s="6" t="s">
        <v>38</v>
      </c>
      <c r="F468" s="6" t="s">
        <v>29</v>
      </c>
      <c r="G468" s="6" t="s">
        <v>40</v>
      </c>
      <c r="H468" s="6" t="s">
        <v>76</v>
      </c>
      <c r="I468" s="6" t="s">
        <v>139</v>
      </c>
      <c r="J468" s="6" t="s">
        <v>23</v>
      </c>
      <c r="K468" s="6" t="s">
        <v>78</v>
      </c>
      <c r="L468" s="6">
        <v>6</v>
      </c>
      <c r="M468" s="7">
        <v>25999</v>
      </c>
      <c r="N468" s="8">
        <v>0.1</v>
      </c>
      <c r="O468" s="9">
        <v>17800</v>
      </c>
    </row>
    <row r="469" spans="1:15" ht="18" x14ac:dyDescent="0.35">
      <c r="A469" s="4" t="s">
        <v>576</v>
      </c>
      <c r="B469" s="5">
        <v>45531</v>
      </c>
      <c r="C469" s="6" t="s">
        <v>48</v>
      </c>
      <c r="D469" s="6" t="s">
        <v>136</v>
      </c>
      <c r="E469" s="6" t="s">
        <v>69</v>
      </c>
      <c r="F469" s="6" t="s">
        <v>39</v>
      </c>
      <c r="G469" s="6" t="s">
        <v>70</v>
      </c>
      <c r="H469" s="6" t="s">
        <v>71</v>
      </c>
      <c r="I469" s="6" t="s">
        <v>80</v>
      </c>
      <c r="J469" s="6" t="s">
        <v>23</v>
      </c>
      <c r="K469" s="6" t="s">
        <v>24</v>
      </c>
      <c r="L469" s="6">
        <v>17</v>
      </c>
      <c r="M469" s="7">
        <v>1299</v>
      </c>
      <c r="N469" s="8">
        <v>0.1</v>
      </c>
      <c r="O469" s="9">
        <v>720</v>
      </c>
    </row>
    <row r="470" spans="1:15" ht="18" x14ac:dyDescent="0.35">
      <c r="A470" s="4" t="s">
        <v>577</v>
      </c>
      <c r="B470" s="5">
        <v>45532</v>
      </c>
      <c r="C470" s="6" t="s">
        <v>82</v>
      </c>
      <c r="D470" s="6" t="s">
        <v>87</v>
      </c>
      <c r="E470" s="6" t="s">
        <v>38</v>
      </c>
      <c r="F470" s="6" t="s">
        <v>39</v>
      </c>
      <c r="G470" s="6" t="s">
        <v>20</v>
      </c>
      <c r="H470" s="6" t="s">
        <v>45</v>
      </c>
      <c r="I470" s="6" t="s">
        <v>46</v>
      </c>
      <c r="J470" s="6" t="s">
        <v>23</v>
      </c>
      <c r="K470" s="6" t="s">
        <v>34</v>
      </c>
      <c r="L470" s="6">
        <v>32</v>
      </c>
      <c r="M470" s="7">
        <v>1899</v>
      </c>
      <c r="N470" s="8">
        <v>0.05</v>
      </c>
      <c r="O470" s="9">
        <v>1080</v>
      </c>
    </row>
    <row r="471" spans="1:15" ht="18" x14ac:dyDescent="0.35">
      <c r="A471" s="4" t="s">
        <v>578</v>
      </c>
      <c r="B471" s="5">
        <v>45533</v>
      </c>
      <c r="C471" s="6" t="s">
        <v>48</v>
      </c>
      <c r="D471" s="6" t="s">
        <v>68</v>
      </c>
      <c r="E471" s="6" t="s">
        <v>105</v>
      </c>
      <c r="F471" s="6" t="s">
        <v>29</v>
      </c>
      <c r="G471" s="6" t="s">
        <v>20</v>
      </c>
      <c r="H471" s="6" t="s">
        <v>45</v>
      </c>
      <c r="I471" s="6" t="s">
        <v>103</v>
      </c>
      <c r="J471" s="6" t="s">
        <v>23</v>
      </c>
      <c r="K471" s="6" t="s">
        <v>66</v>
      </c>
      <c r="L471" s="6">
        <v>12</v>
      </c>
      <c r="M471" s="7">
        <v>1599</v>
      </c>
      <c r="N471" s="8">
        <v>0.2</v>
      </c>
      <c r="O471" s="9">
        <v>920</v>
      </c>
    </row>
    <row r="472" spans="1:15" ht="18" x14ac:dyDescent="0.35">
      <c r="A472" s="4" t="s">
        <v>579</v>
      </c>
      <c r="B472" s="5">
        <v>45533</v>
      </c>
      <c r="C472" s="6" t="s">
        <v>16</v>
      </c>
      <c r="D472" s="6" t="s">
        <v>126</v>
      </c>
      <c r="E472" s="6" t="s">
        <v>101</v>
      </c>
      <c r="F472" s="6" t="s">
        <v>29</v>
      </c>
      <c r="G472" s="6" t="s">
        <v>40</v>
      </c>
      <c r="H472" s="6" t="s">
        <v>76</v>
      </c>
      <c r="I472" s="6" t="s">
        <v>77</v>
      </c>
      <c r="J472" s="6" t="s">
        <v>33</v>
      </c>
      <c r="K472" s="6" t="s">
        <v>24</v>
      </c>
      <c r="L472" s="6">
        <v>18</v>
      </c>
      <c r="M472" s="7">
        <v>52990</v>
      </c>
      <c r="N472" s="8">
        <v>0.05</v>
      </c>
      <c r="O472" s="9">
        <v>39500</v>
      </c>
    </row>
    <row r="473" spans="1:15" ht="18" x14ac:dyDescent="0.35">
      <c r="A473" s="4" t="s">
        <v>580</v>
      </c>
      <c r="B473" s="5">
        <v>45533</v>
      </c>
      <c r="C473" s="6" t="s">
        <v>48</v>
      </c>
      <c r="D473" s="6" t="s">
        <v>49</v>
      </c>
      <c r="E473" s="6" t="s">
        <v>50</v>
      </c>
      <c r="F473" s="6" t="s">
        <v>39</v>
      </c>
      <c r="G473" s="6" t="s">
        <v>20</v>
      </c>
      <c r="H473" s="6" t="s">
        <v>21</v>
      </c>
      <c r="I473" s="6" t="s">
        <v>115</v>
      </c>
      <c r="J473" s="6" t="s">
        <v>23</v>
      </c>
      <c r="K473" s="6" t="s">
        <v>24</v>
      </c>
      <c r="L473" s="6">
        <v>35</v>
      </c>
      <c r="M473" s="7">
        <v>6499</v>
      </c>
      <c r="N473" s="8">
        <v>0.15</v>
      </c>
      <c r="O473" s="9">
        <v>4210</v>
      </c>
    </row>
    <row r="474" spans="1:15" ht="18" x14ac:dyDescent="0.35">
      <c r="A474" s="4" t="s">
        <v>581</v>
      </c>
      <c r="B474" s="5">
        <v>45534</v>
      </c>
      <c r="C474" s="6" t="s">
        <v>16</v>
      </c>
      <c r="D474" s="6" t="s">
        <v>111</v>
      </c>
      <c r="E474" s="6" t="s">
        <v>18</v>
      </c>
      <c r="F474" s="6" t="s">
        <v>19</v>
      </c>
      <c r="G474" s="6" t="s">
        <v>70</v>
      </c>
      <c r="H474" s="6" t="s">
        <v>71</v>
      </c>
      <c r="I474" s="6" t="s">
        <v>72</v>
      </c>
      <c r="J474" s="6" t="s">
        <v>57</v>
      </c>
      <c r="K474" s="6" t="s">
        <v>34</v>
      </c>
      <c r="L474" s="6">
        <v>14</v>
      </c>
      <c r="M474" s="7">
        <v>3499</v>
      </c>
      <c r="N474" s="8">
        <v>0.15</v>
      </c>
      <c r="O474" s="9">
        <v>2190</v>
      </c>
    </row>
    <row r="475" spans="1:15" ht="18" x14ac:dyDescent="0.35">
      <c r="A475" s="4" t="s">
        <v>582</v>
      </c>
      <c r="B475" s="5">
        <v>45535</v>
      </c>
      <c r="C475" s="6" t="s">
        <v>16</v>
      </c>
      <c r="D475" s="6" t="s">
        <v>126</v>
      </c>
      <c r="E475" s="6" t="s">
        <v>50</v>
      </c>
      <c r="F475" s="6" t="s">
        <v>29</v>
      </c>
      <c r="G475" s="6" t="s">
        <v>70</v>
      </c>
      <c r="H475" s="6" t="s">
        <v>71</v>
      </c>
      <c r="I475" s="6" t="s">
        <v>72</v>
      </c>
      <c r="J475" s="6" t="s">
        <v>23</v>
      </c>
      <c r="K475" s="6" t="s">
        <v>34</v>
      </c>
      <c r="L475" s="6">
        <v>35</v>
      </c>
      <c r="M475" s="7">
        <v>3499</v>
      </c>
      <c r="N475" s="8">
        <v>0.18</v>
      </c>
      <c r="O475" s="9">
        <v>2190</v>
      </c>
    </row>
    <row r="476" spans="1:15" ht="18" x14ac:dyDescent="0.35">
      <c r="A476" s="4" t="s">
        <v>583</v>
      </c>
      <c r="B476" s="5">
        <v>45536</v>
      </c>
      <c r="C476" s="6" t="s">
        <v>26</v>
      </c>
      <c r="D476" s="6" t="s">
        <v>53</v>
      </c>
      <c r="E476" s="6" t="s">
        <v>60</v>
      </c>
      <c r="F476" s="6" t="s">
        <v>19</v>
      </c>
      <c r="G476" s="6" t="s">
        <v>70</v>
      </c>
      <c r="H476" s="6" t="s">
        <v>71</v>
      </c>
      <c r="I476" s="6" t="s">
        <v>72</v>
      </c>
      <c r="J476" s="6" t="s">
        <v>57</v>
      </c>
      <c r="K476" s="6" t="s">
        <v>34</v>
      </c>
      <c r="L476" s="6">
        <v>6</v>
      </c>
      <c r="M476" s="7">
        <v>3499</v>
      </c>
      <c r="N476" s="8">
        <v>0.2</v>
      </c>
      <c r="O476" s="9">
        <v>2190</v>
      </c>
    </row>
    <row r="477" spans="1:15" ht="18" x14ac:dyDescent="0.35">
      <c r="A477" s="4" t="s">
        <v>584</v>
      </c>
      <c r="B477" s="5">
        <v>45537</v>
      </c>
      <c r="C477" s="6" t="s">
        <v>36</v>
      </c>
      <c r="D477" s="6" t="s">
        <v>59</v>
      </c>
      <c r="E477" s="6" t="s">
        <v>28</v>
      </c>
      <c r="F477" s="6" t="s">
        <v>39</v>
      </c>
      <c r="G477" s="6" t="s">
        <v>54</v>
      </c>
      <c r="H477" s="6" t="s">
        <v>129</v>
      </c>
      <c r="I477" s="6" t="s">
        <v>192</v>
      </c>
      <c r="J477" s="6" t="s">
        <v>33</v>
      </c>
      <c r="K477" s="6" t="s">
        <v>24</v>
      </c>
      <c r="L477" s="6">
        <v>26</v>
      </c>
      <c r="M477" s="7">
        <v>29010</v>
      </c>
      <c r="N477" s="8">
        <v>0.18</v>
      </c>
      <c r="O477" s="9">
        <v>19100</v>
      </c>
    </row>
    <row r="478" spans="1:15" ht="18" x14ac:dyDescent="0.35">
      <c r="A478" s="4" t="s">
        <v>585</v>
      </c>
      <c r="B478" s="5">
        <v>45537</v>
      </c>
      <c r="C478" s="6" t="s">
        <v>16</v>
      </c>
      <c r="D478" s="6" t="s">
        <v>17</v>
      </c>
      <c r="E478" s="6" t="s">
        <v>101</v>
      </c>
      <c r="F478" s="6" t="s">
        <v>29</v>
      </c>
      <c r="G478" s="6" t="s">
        <v>30</v>
      </c>
      <c r="H478" s="6" t="s">
        <v>61</v>
      </c>
      <c r="I478" s="6" t="s">
        <v>186</v>
      </c>
      <c r="J478" s="6" t="s">
        <v>57</v>
      </c>
      <c r="K478" s="6" t="s">
        <v>66</v>
      </c>
      <c r="L478" s="6">
        <v>17</v>
      </c>
      <c r="M478" s="7">
        <v>6999</v>
      </c>
      <c r="N478" s="8">
        <v>0.18</v>
      </c>
      <c r="O478" s="9">
        <v>4320</v>
      </c>
    </row>
    <row r="479" spans="1:15" ht="18" x14ac:dyDescent="0.35">
      <c r="A479" s="4" t="s">
        <v>586</v>
      </c>
      <c r="B479" s="5">
        <v>45537</v>
      </c>
      <c r="C479" s="6" t="s">
        <v>82</v>
      </c>
      <c r="D479" s="6" t="s">
        <v>183</v>
      </c>
      <c r="E479" s="6" t="s">
        <v>101</v>
      </c>
      <c r="F479" s="6" t="s">
        <v>19</v>
      </c>
      <c r="G479" s="6" t="s">
        <v>70</v>
      </c>
      <c r="H479" s="6" t="s">
        <v>71</v>
      </c>
      <c r="I479" s="6" t="s">
        <v>80</v>
      </c>
      <c r="J479" s="6" t="s">
        <v>33</v>
      </c>
      <c r="K479" s="6" t="s">
        <v>78</v>
      </c>
      <c r="L479" s="6">
        <v>36</v>
      </c>
      <c r="M479" s="7">
        <v>1299</v>
      </c>
      <c r="N479" s="8">
        <v>0.08</v>
      </c>
      <c r="O479" s="9">
        <v>720</v>
      </c>
    </row>
    <row r="480" spans="1:15" ht="18" x14ac:dyDescent="0.35">
      <c r="A480" s="4" t="s">
        <v>587</v>
      </c>
      <c r="B480" s="5">
        <v>45537</v>
      </c>
      <c r="C480" s="6" t="s">
        <v>26</v>
      </c>
      <c r="D480" s="6" t="s">
        <v>74</v>
      </c>
      <c r="E480" s="6" t="s">
        <v>60</v>
      </c>
      <c r="F480" s="6" t="s">
        <v>19</v>
      </c>
      <c r="G480" s="6" t="s">
        <v>20</v>
      </c>
      <c r="H480" s="6" t="s">
        <v>45</v>
      </c>
      <c r="I480" s="6" t="s">
        <v>103</v>
      </c>
      <c r="J480" s="6" t="s">
        <v>23</v>
      </c>
      <c r="K480" s="6" t="s">
        <v>34</v>
      </c>
      <c r="L480" s="6">
        <v>7</v>
      </c>
      <c r="M480" s="7">
        <v>1599</v>
      </c>
      <c r="N480" s="8">
        <v>0.2</v>
      </c>
      <c r="O480" s="9">
        <v>920</v>
      </c>
    </row>
    <row r="481" spans="1:15" ht="18" x14ac:dyDescent="0.35">
      <c r="A481" s="4" t="s">
        <v>588</v>
      </c>
      <c r="B481" s="5">
        <v>45537</v>
      </c>
      <c r="C481" s="6" t="s">
        <v>16</v>
      </c>
      <c r="D481" s="6" t="s">
        <v>126</v>
      </c>
      <c r="E481" s="6" t="s">
        <v>101</v>
      </c>
      <c r="F481" s="6" t="s">
        <v>39</v>
      </c>
      <c r="G481" s="6" t="s">
        <v>54</v>
      </c>
      <c r="H481" s="6" t="s">
        <v>129</v>
      </c>
      <c r="I481" s="6" t="s">
        <v>130</v>
      </c>
      <c r="J481" s="6" t="s">
        <v>57</v>
      </c>
      <c r="K481" s="6" t="s">
        <v>24</v>
      </c>
      <c r="L481" s="6">
        <v>8</v>
      </c>
      <c r="M481" s="7">
        <v>27890</v>
      </c>
      <c r="N481" s="8">
        <v>0.18</v>
      </c>
      <c r="O481" s="9">
        <v>18800</v>
      </c>
    </row>
    <row r="482" spans="1:15" ht="18" x14ac:dyDescent="0.35">
      <c r="A482" s="4" t="s">
        <v>589</v>
      </c>
      <c r="B482" s="5">
        <v>45539</v>
      </c>
      <c r="C482" s="6" t="s">
        <v>26</v>
      </c>
      <c r="D482" s="6" t="s">
        <v>53</v>
      </c>
      <c r="E482" s="6" t="s">
        <v>69</v>
      </c>
      <c r="F482" s="6" t="s">
        <v>19</v>
      </c>
      <c r="G482" s="6" t="s">
        <v>20</v>
      </c>
      <c r="H482" s="6" t="s">
        <v>21</v>
      </c>
      <c r="I482" s="6" t="s">
        <v>22</v>
      </c>
      <c r="J482" s="6" t="s">
        <v>33</v>
      </c>
      <c r="K482" s="6" t="s">
        <v>24</v>
      </c>
      <c r="L482" s="6">
        <v>29</v>
      </c>
      <c r="M482" s="7">
        <v>4499</v>
      </c>
      <c r="N482" s="8">
        <v>0.12</v>
      </c>
      <c r="O482" s="9">
        <v>2910</v>
      </c>
    </row>
    <row r="483" spans="1:15" ht="18" x14ac:dyDescent="0.35">
      <c r="A483" s="4" t="s">
        <v>590</v>
      </c>
      <c r="B483" s="5">
        <v>45539</v>
      </c>
      <c r="C483" s="6" t="s">
        <v>16</v>
      </c>
      <c r="D483" s="6" t="s">
        <v>111</v>
      </c>
      <c r="E483" s="6" t="s">
        <v>84</v>
      </c>
      <c r="F483" s="6" t="s">
        <v>39</v>
      </c>
      <c r="G483" s="6" t="s">
        <v>20</v>
      </c>
      <c r="H483" s="6" t="s">
        <v>21</v>
      </c>
      <c r="I483" s="6" t="s">
        <v>22</v>
      </c>
      <c r="J483" s="6" t="s">
        <v>33</v>
      </c>
      <c r="K483" s="6" t="s">
        <v>66</v>
      </c>
      <c r="L483" s="6">
        <v>21</v>
      </c>
      <c r="M483" s="7">
        <v>4499</v>
      </c>
      <c r="N483" s="8">
        <v>0.2</v>
      </c>
      <c r="O483" s="9">
        <v>2910</v>
      </c>
    </row>
    <row r="484" spans="1:15" ht="18" x14ac:dyDescent="0.35">
      <c r="A484" s="4" t="s">
        <v>591</v>
      </c>
      <c r="B484" s="5">
        <v>45539</v>
      </c>
      <c r="C484" s="6" t="s">
        <v>26</v>
      </c>
      <c r="D484" s="6" t="s">
        <v>53</v>
      </c>
      <c r="E484" s="6" t="s">
        <v>18</v>
      </c>
      <c r="F484" s="6" t="s">
        <v>39</v>
      </c>
      <c r="G484" s="6" t="s">
        <v>40</v>
      </c>
      <c r="H484" s="6" t="s">
        <v>41</v>
      </c>
      <c r="I484" s="6" t="s">
        <v>119</v>
      </c>
      <c r="J484" s="6" t="s">
        <v>23</v>
      </c>
      <c r="K484" s="6" t="s">
        <v>66</v>
      </c>
      <c r="L484" s="6">
        <v>34</v>
      </c>
      <c r="M484" s="7">
        <v>48990</v>
      </c>
      <c r="N484" s="8">
        <v>0.05</v>
      </c>
      <c r="O484" s="9">
        <v>30100</v>
      </c>
    </row>
    <row r="485" spans="1:15" ht="18" x14ac:dyDescent="0.35">
      <c r="A485" s="4" t="s">
        <v>592</v>
      </c>
      <c r="B485" s="5">
        <v>45540</v>
      </c>
      <c r="C485" s="6" t="s">
        <v>36</v>
      </c>
      <c r="D485" s="6" t="s">
        <v>37</v>
      </c>
      <c r="E485" s="6" t="s">
        <v>69</v>
      </c>
      <c r="F485" s="6" t="s">
        <v>39</v>
      </c>
      <c r="G485" s="6" t="s">
        <v>30</v>
      </c>
      <c r="H485" s="6" t="s">
        <v>61</v>
      </c>
      <c r="I485" s="6" t="s">
        <v>186</v>
      </c>
      <c r="J485" s="6" t="s">
        <v>57</v>
      </c>
      <c r="K485" s="6" t="s">
        <v>24</v>
      </c>
      <c r="L485" s="6">
        <v>14</v>
      </c>
      <c r="M485" s="7">
        <v>6999</v>
      </c>
      <c r="N485" s="8">
        <v>0.1</v>
      </c>
      <c r="O485" s="9">
        <v>4320</v>
      </c>
    </row>
    <row r="486" spans="1:15" ht="18" x14ac:dyDescent="0.35">
      <c r="A486" s="4" t="s">
        <v>593</v>
      </c>
      <c r="B486" s="5">
        <v>45540</v>
      </c>
      <c r="C486" s="6" t="s">
        <v>16</v>
      </c>
      <c r="D486" s="6" t="s">
        <v>111</v>
      </c>
      <c r="E486" s="6" t="s">
        <v>101</v>
      </c>
      <c r="F486" s="6" t="s">
        <v>39</v>
      </c>
      <c r="G486" s="6" t="s">
        <v>20</v>
      </c>
      <c r="H486" s="6" t="s">
        <v>45</v>
      </c>
      <c r="I486" s="6" t="s">
        <v>46</v>
      </c>
      <c r="J486" s="6" t="s">
        <v>33</v>
      </c>
      <c r="K486" s="6" t="s">
        <v>24</v>
      </c>
      <c r="L486" s="6">
        <v>23</v>
      </c>
      <c r="M486" s="7">
        <v>1899</v>
      </c>
      <c r="N486" s="8">
        <v>0.12</v>
      </c>
      <c r="O486" s="9">
        <v>1080</v>
      </c>
    </row>
    <row r="487" spans="1:15" ht="18" x14ac:dyDescent="0.35">
      <c r="A487" s="4" t="s">
        <v>594</v>
      </c>
      <c r="B487" s="5">
        <v>45540</v>
      </c>
      <c r="C487" s="6" t="s">
        <v>16</v>
      </c>
      <c r="D487" s="6" t="s">
        <v>98</v>
      </c>
      <c r="E487" s="6" t="s">
        <v>38</v>
      </c>
      <c r="F487" s="6" t="s">
        <v>39</v>
      </c>
      <c r="G487" s="6" t="s">
        <v>30</v>
      </c>
      <c r="H487" s="6" t="s">
        <v>61</v>
      </c>
      <c r="I487" s="6" t="s">
        <v>96</v>
      </c>
      <c r="J487" s="6" t="s">
        <v>33</v>
      </c>
      <c r="K487" s="6" t="s">
        <v>78</v>
      </c>
      <c r="L487" s="6">
        <v>19</v>
      </c>
      <c r="M487" s="7">
        <v>25110</v>
      </c>
      <c r="N487" s="8">
        <v>0.1</v>
      </c>
      <c r="O487" s="9">
        <v>16730</v>
      </c>
    </row>
    <row r="488" spans="1:15" ht="18" x14ac:dyDescent="0.35">
      <c r="A488" s="4" t="s">
        <v>595</v>
      </c>
      <c r="B488" s="5">
        <v>45540</v>
      </c>
      <c r="C488" s="6" t="s">
        <v>26</v>
      </c>
      <c r="D488" s="6" t="s">
        <v>163</v>
      </c>
      <c r="E488" s="6" t="s">
        <v>50</v>
      </c>
      <c r="F488" s="6" t="s">
        <v>39</v>
      </c>
      <c r="G488" s="6" t="s">
        <v>30</v>
      </c>
      <c r="H488" s="6" t="s">
        <v>31</v>
      </c>
      <c r="I488" s="6" t="s">
        <v>32</v>
      </c>
      <c r="J488" s="6" t="s">
        <v>57</v>
      </c>
      <c r="K488" s="6" t="s">
        <v>66</v>
      </c>
      <c r="L488" s="6">
        <v>39</v>
      </c>
      <c r="M488" s="7">
        <v>38990</v>
      </c>
      <c r="N488" s="8">
        <v>0.12</v>
      </c>
      <c r="O488" s="9">
        <v>25400</v>
      </c>
    </row>
    <row r="489" spans="1:15" ht="18" x14ac:dyDescent="0.35">
      <c r="A489" s="4" t="s">
        <v>596</v>
      </c>
      <c r="B489" s="5">
        <v>45540</v>
      </c>
      <c r="C489" s="6" t="s">
        <v>16</v>
      </c>
      <c r="D489" s="6" t="s">
        <v>17</v>
      </c>
      <c r="E489" s="6" t="s">
        <v>69</v>
      </c>
      <c r="F489" s="6" t="s">
        <v>29</v>
      </c>
      <c r="G489" s="6" t="s">
        <v>40</v>
      </c>
      <c r="H489" s="6" t="s">
        <v>41</v>
      </c>
      <c r="I489" s="6" t="s">
        <v>156</v>
      </c>
      <c r="J489" s="6" t="s">
        <v>33</v>
      </c>
      <c r="K489" s="6" t="s">
        <v>24</v>
      </c>
      <c r="L489" s="6">
        <v>20</v>
      </c>
      <c r="M489" s="7">
        <v>48500</v>
      </c>
      <c r="N489" s="8">
        <v>0.12</v>
      </c>
      <c r="O489" s="9">
        <v>30200</v>
      </c>
    </row>
    <row r="490" spans="1:15" ht="18" x14ac:dyDescent="0.35">
      <c r="A490" s="4" t="s">
        <v>597</v>
      </c>
      <c r="B490" s="5">
        <v>45541</v>
      </c>
      <c r="C490" s="6" t="s">
        <v>26</v>
      </c>
      <c r="D490" s="6" t="s">
        <v>27</v>
      </c>
      <c r="E490" s="6" t="s">
        <v>60</v>
      </c>
      <c r="F490" s="6" t="s">
        <v>19</v>
      </c>
      <c r="G490" s="6" t="s">
        <v>20</v>
      </c>
      <c r="H490" s="6" t="s">
        <v>21</v>
      </c>
      <c r="I490" s="6" t="s">
        <v>22</v>
      </c>
      <c r="J490" s="6" t="s">
        <v>23</v>
      </c>
      <c r="K490" s="6" t="s">
        <v>78</v>
      </c>
      <c r="L490" s="6">
        <v>21</v>
      </c>
      <c r="M490" s="7">
        <v>4499</v>
      </c>
      <c r="N490" s="8">
        <v>0.2</v>
      </c>
      <c r="O490" s="9">
        <v>2910</v>
      </c>
    </row>
    <row r="491" spans="1:15" ht="18" x14ac:dyDescent="0.35">
      <c r="A491" s="4" t="s">
        <v>598</v>
      </c>
      <c r="B491" s="5">
        <v>45541</v>
      </c>
      <c r="C491" s="6" t="s">
        <v>26</v>
      </c>
      <c r="D491" s="6" t="s">
        <v>163</v>
      </c>
      <c r="E491" s="6" t="s">
        <v>69</v>
      </c>
      <c r="F491" s="6" t="s">
        <v>29</v>
      </c>
      <c r="G491" s="6" t="s">
        <v>30</v>
      </c>
      <c r="H491" s="6" t="s">
        <v>61</v>
      </c>
      <c r="I491" s="6" t="s">
        <v>96</v>
      </c>
      <c r="J491" s="6" t="s">
        <v>33</v>
      </c>
      <c r="K491" s="6" t="s">
        <v>24</v>
      </c>
      <c r="L491" s="6">
        <v>2</v>
      </c>
      <c r="M491" s="7">
        <v>25110</v>
      </c>
      <c r="N491" s="8">
        <v>0.08</v>
      </c>
      <c r="O491" s="9">
        <v>16730</v>
      </c>
    </row>
    <row r="492" spans="1:15" ht="18" x14ac:dyDescent="0.35">
      <c r="A492" s="4" t="s">
        <v>599</v>
      </c>
      <c r="B492" s="5">
        <v>45542</v>
      </c>
      <c r="C492" s="6" t="s">
        <v>48</v>
      </c>
      <c r="D492" s="6" t="s">
        <v>49</v>
      </c>
      <c r="E492" s="6" t="s">
        <v>18</v>
      </c>
      <c r="F492" s="6" t="s">
        <v>29</v>
      </c>
      <c r="G492" s="6" t="s">
        <v>30</v>
      </c>
      <c r="H492" s="6" t="s">
        <v>61</v>
      </c>
      <c r="I492" s="6" t="s">
        <v>186</v>
      </c>
      <c r="J492" s="6" t="s">
        <v>33</v>
      </c>
      <c r="K492" s="6" t="s">
        <v>24</v>
      </c>
      <c r="L492" s="6">
        <v>26</v>
      </c>
      <c r="M492" s="7">
        <v>6999</v>
      </c>
      <c r="N492" s="8">
        <v>0.12</v>
      </c>
      <c r="O492" s="9">
        <v>4320</v>
      </c>
    </row>
    <row r="493" spans="1:15" ht="18" x14ac:dyDescent="0.35">
      <c r="A493" s="4" t="s">
        <v>600</v>
      </c>
      <c r="B493" s="5">
        <v>45543</v>
      </c>
      <c r="C493" s="6" t="s">
        <v>36</v>
      </c>
      <c r="D493" s="6" t="s">
        <v>59</v>
      </c>
      <c r="E493" s="6" t="s">
        <v>101</v>
      </c>
      <c r="F493" s="6" t="s">
        <v>19</v>
      </c>
      <c r="G493" s="6" t="s">
        <v>54</v>
      </c>
      <c r="H493" s="6" t="s">
        <v>55</v>
      </c>
      <c r="I493" s="6" t="s">
        <v>148</v>
      </c>
      <c r="J493" s="6" t="s">
        <v>57</v>
      </c>
      <c r="K493" s="6" t="s">
        <v>78</v>
      </c>
      <c r="L493" s="6">
        <v>36</v>
      </c>
      <c r="M493" s="7">
        <v>4680</v>
      </c>
      <c r="N493" s="8">
        <v>0.2</v>
      </c>
      <c r="O493" s="9">
        <v>3250</v>
      </c>
    </row>
    <row r="494" spans="1:15" ht="18" x14ac:dyDescent="0.35">
      <c r="A494" s="4" t="s">
        <v>601</v>
      </c>
      <c r="B494" s="5">
        <v>45543</v>
      </c>
      <c r="C494" s="6" t="s">
        <v>36</v>
      </c>
      <c r="D494" s="6" t="s">
        <v>37</v>
      </c>
      <c r="E494" s="6" t="s">
        <v>75</v>
      </c>
      <c r="F494" s="6" t="s">
        <v>39</v>
      </c>
      <c r="G494" s="6" t="s">
        <v>54</v>
      </c>
      <c r="H494" s="6" t="s">
        <v>129</v>
      </c>
      <c r="I494" s="6" t="s">
        <v>145</v>
      </c>
      <c r="J494" s="6" t="s">
        <v>57</v>
      </c>
      <c r="K494" s="6" t="s">
        <v>24</v>
      </c>
      <c r="L494" s="6">
        <v>5</v>
      </c>
      <c r="M494" s="7">
        <v>31490</v>
      </c>
      <c r="N494" s="8">
        <v>0.2</v>
      </c>
      <c r="O494" s="9">
        <v>21300</v>
      </c>
    </row>
    <row r="495" spans="1:15" ht="18" x14ac:dyDescent="0.35">
      <c r="A495" s="4" t="s">
        <v>602</v>
      </c>
      <c r="B495" s="5">
        <v>45544</v>
      </c>
      <c r="C495" s="6" t="s">
        <v>48</v>
      </c>
      <c r="D495" s="6" t="s">
        <v>49</v>
      </c>
      <c r="E495" s="6" t="s">
        <v>28</v>
      </c>
      <c r="F495" s="6" t="s">
        <v>39</v>
      </c>
      <c r="G495" s="6" t="s">
        <v>40</v>
      </c>
      <c r="H495" s="6" t="s">
        <v>64</v>
      </c>
      <c r="I495" s="6" t="s">
        <v>65</v>
      </c>
      <c r="J495" s="6" t="s">
        <v>57</v>
      </c>
      <c r="K495" s="6" t="s">
        <v>24</v>
      </c>
      <c r="L495" s="6">
        <v>40</v>
      </c>
      <c r="M495" s="7">
        <v>1930</v>
      </c>
      <c r="N495" s="8">
        <v>0.1</v>
      </c>
      <c r="O495" s="9">
        <v>1120</v>
      </c>
    </row>
    <row r="496" spans="1:15" ht="18" x14ac:dyDescent="0.35">
      <c r="A496" s="4" t="s">
        <v>603</v>
      </c>
      <c r="B496" s="5">
        <v>45544</v>
      </c>
      <c r="C496" s="6" t="s">
        <v>26</v>
      </c>
      <c r="D496" s="6" t="s">
        <v>74</v>
      </c>
      <c r="E496" s="6" t="s">
        <v>84</v>
      </c>
      <c r="F496" s="6" t="s">
        <v>19</v>
      </c>
      <c r="G496" s="6" t="s">
        <v>40</v>
      </c>
      <c r="H496" s="6" t="s">
        <v>76</v>
      </c>
      <c r="I496" s="6" t="s">
        <v>113</v>
      </c>
      <c r="J496" s="6" t="s">
        <v>23</v>
      </c>
      <c r="K496" s="6" t="s">
        <v>78</v>
      </c>
      <c r="L496" s="6">
        <v>32</v>
      </c>
      <c r="M496" s="7">
        <v>22999</v>
      </c>
      <c r="N496" s="8">
        <v>0.12</v>
      </c>
      <c r="O496" s="9">
        <v>15100</v>
      </c>
    </row>
    <row r="497" spans="1:15" ht="18" x14ac:dyDescent="0.35">
      <c r="A497" s="4" t="s">
        <v>604</v>
      </c>
      <c r="B497" s="5">
        <v>45546</v>
      </c>
      <c r="C497" s="6" t="s">
        <v>36</v>
      </c>
      <c r="D497" s="6" t="s">
        <v>59</v>
      </c>
      <c r="E497" s="6" t="s">
        <v>101</v>
      </c>
      <c r="F497" s="6" t="s">
        <v>29</v>
      </c>
      <c r="G497" s="6" t="s">
        <v>20</v>
      </c>
      <c r="H497" s="6" t="s">
        <v>45</v>
      </c>
      <c r="I497" s="6" t="s">
        <v>46</v>
      </c>
      <c r="J497" s="6" t="s">
        <v>23</v>
      </c>
      <c r="K497" s="6" t="s">
        <v>66</v>
      </c>
      <c r="L497" s="6">
        <v>4</v>
      </c>
      <c r="M497" s="7">
        <v>1899</v>
      </c>
      <c r="N497" s="8">
        <v>0.15</v>
      </c>
      <c r="O497" s="9">
        <v>1080</v>
      </c>
    </row>
    <row r="498" spans="1:15" ht="18" x14ac:dyDescent="0.35">
      <c r="A498" s="4" t="s">
        <v>605</v>
      </c>
      <c r="B498" s="5">
        <v>45546</v>
      </c>
      <c r="C498" s="6" t="s">
        <v>36</v>
      </c>
      <c r="D498" s="6" t="s">
        <v>37</v>
      </c>
      <c r="E498" s="6" t="s">
        <v>101</v>
      </c>
      <c r="F498" s="6" t="s">
        <v>39</v>
      </c>
      <c r="G498" s="6" t="s">
        <v>54</v>
      </c>
      <c r="H498" s="6" t="s">
        <v>55</v>
      </c>
      <c r="I498" s="6" t="s">
        <v>148</v>
      </c>
      <c r="J498" s="6" t="s">
        <v>23</v>
      </c>
      <c r="K498" s="6" t="s">
        <v>24</v>
      </c>
      <c r="L498" s="6">
        <v>1</v>
      </c>
      <c r="M498" s="7">
        <v>4680</v>
      </c>
      <c r="N498" s="8">
        <v>0.08</v>
      </c>
      <c r="O498" s="9">
        <v>3250</v>
      </c>
    </row>
    <row r="499" spans="1:15" ht="18" x14ac:dyDescent="0.35">
      <c r="A499" s="4" t="s">
        <v>606</v>
      </c>
      <c r="B499" s="5">
        <v>45546</v>
      </c>
      <c r="C499" s="6" t="s">
        <v>48</v>
      </c>
      <c r="D499" s="6" t="s">
        <v>93</v>
      </c>
      <c r="E499" s="6" t="s">
        <v>50</v>
      </c>
      <c r="F499" s="6" t="s">
        <v>29</v>
      </c>
      <c r="G499" s="6" t="s">
        <v>54</v>
      </c>
      <c r="H499" s="6" t="s">
        <v>129</v>
      </c>
      <c r="I499" s="6" t="s">
        <v>145</v>
      </c>
      <c r="J499" s="6" t="s">
        <v>23</v>
      </c>
      <c r="K499" s="6" t="s">
        <v>24</v>
      </c>
      <c r="L499" s="6">
        <v>37</v>
      </c>
      <c r="M499" s="7">
        <v>31490</v>
      </c>
      <c r="N499" s="8">
        <v>0.05</v>
      </c>
      <c r="O499" s="9">
        <v>21300</v>
      </c>
    </row>
    <row r="500" spans="1:15" ht="18" x14ac:dyDescent="0.35">
      <c r="A500" s="4" t="s">
        <v>607</v>
      </c>
      <c r="B500" s="5">
        <v>45546</v>
      </c>
      <c r="C500" s="6" t="s">
        <v>36</v>
      </c>
      <c r="D500" s="6" t="s">
        <v>121</v>
      </c>
      <c r="E500" s="6" t="s">
        <v>105</v>
      </c>
      <c r="F500" s="6" t="s">
        <v>39</v>
      </c>
      <c r="G500" s="6" t="s">
        <v>40</v>
      </c>
      <c r="H500" s="6" t="s">
        <v>64</v>
      </c>
      <c r="I500" s="6" t="s">
        <v>153</v>
      </c>
      <c r="J500" s="6" t="s">
        <v>57</v>
      </c>
      <c r="K500" s="6" t="s">
        <v>24</v>
      </c>
      <c r="L500" s="6">
        <v>34</v>
      </c>
      <c r="M500" s="7">
        <v>4490</v>
      </c>
      <c r="N500" s="8">
        <v>0.18</v>
      </c>
      <c r="O500" s="9">
        <v>2950</v>
      </c>
    </row>
    <row r="501" spans="1:15" ht="18" x14ac:dyDescent="0.35">
      <c r="A501" s="4" t="s">
        <v>608</v>
      </c>
      <c r="B501" s="5">
        <v>45546</v>
      </c>
      <c r="C501" s="6" t="s">
        <v>16</v>
      </c>
      <c r="D501" s="6" t="s">
        <v>126</v>
      </c>
      <c r="E501" s="6" t="s">
        <v>50</v>
      </c>
      <c r="F501" s="6" t="s">
        <v>19</v>
      </c>
      <c r="G501" s="6" t="s">
        <v>30</v>
      </c>
      <c r="H501" s="6" t="s">
        <v>61</v>
      </c>
      <c r="I501" s="6" t="s">
        <v>186</v>
      </c>
      <c r="J501" s="6" t="s">
        <v>33</v>
      </c>
      <c r="K501" s="6" t="s">
        <v>66</v>
      </c>
      <c r="L501" s="6">
        <v>14</v>
      </c>
      <c r="M501" s="7">
        <v>6999</v>
      </c>
      <c r="N501" s="8">
        <v>0.1</v>
      </c>
      <c r="O501" s="9">
        <v>4320</v>
      </c>
    </row>
    <row r="502" spans="1:15" ht="18" x14ac:dyDescent="0.35">
      <c r="A502" s="4" t="s">
        <v>609</v>
      </c>
      <c r="B502" s="5">
        <v>45547</v>
      </c>
      <c r="C502" s="6" t="s">
        <v>16</v>
      </c>
      <c r="D502" s="6" t="s">
        <v>98</v>
      </c>
      <c r="E502" s="6" t="s">
        <v>101</v>
      </c>
      <c r="F502" s="6" t="s">
        <v>39</v>
      </c>
      <c r="G502" s="6" t="s">
        <v>70</v>
      </c>
      <c r="H502" s="6" t="s">
        <v>71</v>
      </c>
      <c r="I502" s="6" t="s">
        <v>72</v>
      </c>
      <c r="J502" s="6" t="s">
        <v>57</v>
      </c>
      <c r="K502" s="6" t="s">
        <v>78</v>
      </c>
      <c r="L502" s="6">
        <v>24</v>
      </c>
      <c r="M502" s="7">
        <v>3499</v>
      </c>
      <c r="N502" s="8">
        <v>0.05</v>
      </c>
      <c r="O502" s="9">
        <v>2190</v>
      </c>
    </row>
    <row r="503" spans="1:15" ht="18" x14ac:dyDescent="0.35">
      <c r="A503" s="4" t="s">
        <v>610</v>
      </c>
      <c r="B503" s="5">
        <v>45547</v>
      </c>
      <c r="C503" s="6" t="s">
        <v>36</v>
      </c>
      <c r="D503" s="6" t="s">
        <v>44</v>
      </c>
      <c r="E503" s="6" t="s">
        <v>69</v>
      </c>
      <c r="F503" s="6" t="s">
        <v>29</v>
      </c>
      <c r="G503" s="6" t="s">
        <v>54</v>
      </c>
      <c r="H503" s="6" t="s">
        <v>129</v>
      </c>
      <c r="I503" s="6" t="s">
        <v>130</v>
      </c>
      <c r="J503" s="6" t="s">
        <v>33</v>
      </c>
      <c r="K503" s="6" t="s">
        <v>78</v>
      </c>
      <c r="L503" s="6">
        <v>12</v>
      </c>
      <c r="M503" s="7">
        <v>27890</v>
      </c>
      <c r="N503" s="8">
        <v>0.18</v>
      </c>
      <c r="O503" s="9">
        <v>18800</v>
      </c>
    </row>
    <row r="504" spans="1:15" ht="18" x14ac:dyDescent="0.35">
      <c r="A504" s="4" t="s">
        <v>611</v>
      </c>
      <c r="B504" s="5">
        <v>45549</v>
      </c>
      <c r="C504" s="6" t="s">
        <v>82</v>
      </c>
      <c r="D504" s="6" t="s">
        <v>100</v>
      </c>
      <c r="E504" s="6" t="s">
        <v>38</v>
      </c>
      <c r="F504" s="6" t="s">
        <v>29</v>
      </c>
      <c r="G504" s="6" t="s">
        <v>20</v>
      </c>
      <c r="H504" s="6" t="s">
        <v>45</v>
      </c>
      <c r="I504" s="6" t="s">
        <v>103</v>
      </c>
      <c r="J504" s="6" t="s">
        <v>23</v>
      </c>
      <c r="K504" s="6" t="s">
        <v>34</v>
      </c>
      <c r="L504" s="6">
        <v>23</v>
      </c>
      <c r="M504" s="7">
        <v>1599</v>
      </c>
      <c r="N504" s="8">
        <v>0.15</v>
      </c>
      <c r="O504" s="9">
        <v>920</v>
      </c>
    </row>
    <row r="505" spans="1:15" ht="18" x14ac:dyDescent="0.35">
      <c r="A505" s="4" t="s">
        <v>612</v>
      </c>
      <c r="B505" s="5">
        <v>45550</v>
      </c>
      <c r="C505" s="6" t="s">
        <v>36</v>
      </c>
      <c r="D505" s="6" t="s">
        <v>121</v>
      </c>
      <c r="E505" s="6" t="s">
        <v>84</v>
      </c>
      <c r="F505" s="6" t="s">
        <v>29</v>
      </c>
      <c r="G505" s="6" t="s">
        <v>30</v>
      </c>
      <c r="H505" s="6" t="s">
        <v>31</v>
      </c>
      <c r="I505" s="6" t="s">
        <v>32</v>
      </c>
      <c r="J505" s="6" t="s">
        <v>23</v>
      </c>
      <c r="K505" s="6" t="s">
        <v>78</v>
      </c>
      <c r="L505" s="6">
        <v>19</v>
      </c>
      <c r="M505" s="7">
        <v>38990</v>
      </c>
      <c r="N505" s="8">
        <v>0.12</v>
      </c>
      <c r="O505" s="9">
        <v>25400</v>
      </c>
    </row>
    <row r="506" spans="1:15" ht="18" x14ac:dyDescent="0.35">
      <c r="A506" s="4" t="s">
        <v>613</v>
      </c>
      <c r="B506" s="5">
        <v>45550</v>
      </c>
      <c r="C506" s="6" t="s">
        <v>26</v>
      </c>
      <c r="D506" s="6" t="s">
        <v>27</v>
      </c>
      <c r="E506" s="6" t="s">
        <v>50</v>
      </c>
      <c r="F506" s="6" t="s">
        <v>19</v>
      </c>
      <c r="G506" s="6" t="s">
        <v>20</v>
      </c>
      <c r="H506" s="6" t="s">
        <v>45</v>
      </c>
      <c r="I506" s="6" t="s">
        <v>46</v>
      </c>
      <c r="J506" s="6" t="s">
        <v>33</v>
      </c>
      <c r="K506" s="6" t="s">
        <v>24</v>
      </c>
      <c r="L506" s="6">
        <v>36</v>
      </c>
      <c r="M506" s="7">
        <v>1899</v>
      </c>
      <c r="N506" s="8">
        <v>0.12</v>
      </c>
      <c r="O506" s="9">
        <v>1080</v>
      </c>
    </row>
    <row r="507" spans="1:15" ht="18" x14ac:dyDescent="0.35">
      <c r="A507" s="4" t="s">
        <v>614</v>
      </c>
      <c r="B507" s="5">
        <v>45550</v>
      </c>
      <c r="C507" s="6" t="s">
        <v>36</v>
      </c>
      <c r="D507" s="6" t="s">
        <v>121</v>
      </c>
      <c r="E507" s="6" t="s">
        <v>50</v>
      </c>
      <c r="F507" s="6" t="s">
        <v>29</v>
      </c>
      <c r="G507" s="6" t="s">
        <v>70</v>
      </c>
      <c r="H507" s="6" t="s">
        <v>71</v>
      </c>
      <c r="I507" s="6" t="s">
        <v>72</v>
      </c>
      <c r="J507" s="6" t="s">
        <v>33</v>
      </c>
      <c r="K507" s="6" t="s">
        <v>24</v>
      </c>
      <c r="L507" s="6">
        <v>31</v>
      </c>
      <c r="M507" s="7">
        <v>3499</v>
      </c>
      <c r="N507" s="8">
        <v>0.18</v>
      </c>
      <c r="O507" s="9">
        <v>2190</v>
      </c>
    </row>
    <row r="508" spans="1:15" ht="18" x14ac:dyDescent="0.35">
      <c r="A508" s="4" t="s">
        <v>615</v>
      </c>
      <c r="B508" s="5">
        <v>45550</v>
      </c>
      <c r="C508" s="6" t="s">
        <v>36</v>
      </c>
      <c r="D508" s="6" t="s">
        <v>37</v>
      </c>
      <c r="E508" s="6" t="s">
        <v>84</v>
      </c>
      <c r="F508" s="6" t="s">
        <v>39</v>
      </c>
      <c r="G508" s="6" t="s">
        <v>70</v>
      </c>
      <c r="H508" s="6" t="s">
        <v>71</v>
      </c>
      <c r="I508" s="6" t="s">
        <v>72</v>
      </c>
      <c r="J508" s="6" t="s">
        <v>33</v>
      </c>
      <c r="K508" s="6" t="s">
        <v>24</v>
      </c>
      <c r="L508" s="6">
        <v>32</v>
      </c>
      <c r="M508" s="7">
        <v>3499</v>
      </c>
      <c r="N508" s="8">
        <v>0.12</v>
      </c>
      <c r="O508" s="9">
        <v>2190</v>
      </c>
    </row>
    <row r="509" spans="1:15" ht="18" x14ac:dyDescent="0.35">
      <c r="A509" s="4" t="s">
        <v>616</v>
      </c>
      <c r="B509" s="5">
        <v>45551</v>
      </c>
      <c r="C509" s="6" t="s">
        <v>16</v>
      </c>
      <c r="D509" s="6" t="s">
        <v>17</v>
      </c>
      <c r="E509" s="6" t="s">
        <v>75</v>
      </c>
      <c r="F509" s="6" t="s">
        <v>39</v>
      </c>
      <c r="G509" s="6" t="s">
        <v>54</v>
      </c>
      <c r="H509" s="6" t="s">
        <v>129</v>
      </c>
      <c r="I509" s="6" t="s">
        <v>145</v>
      </c>
      <c r="J509" s="6" t="s">
        <v>57</v>
      </c>
      <c r="K509" s="6" t="s">
        <v>24</v>
      </c>
      <c r="L509" s="6">
        <v>20</v>
      </c>
      <c r="M509" s="7">
        <v>31490</v>
      </c>
      <c r="N509" s="8">
        <v>0.1</v>
      </c>
      <c r="O509" s="9">
        <v>21300</v>
      </c>
    </row>
    <row r="510" spans="1:15" ht="18" x14ac:dyDescent="0.35">
      <c r="A510" s="4" t="s">
        <v>617</v>
      </c>
      <c r="B510" s="5">
        <v>45552</v>
      </c>
      <c r="C510" s="6" t="s">
        <v>36</v>
      </c>
      <c r="D510" s="6" t="s">
        <v>37</v>
      </c>
      <c r="E510" s="6" t="s">
        <v>105</v>
      </c>
      <c r="F510" s="6" t="s">
        <v>29</v>
      </c>
      <c r="G510" s="6" t="s">
        <v>40</v>
      </c>
      <c r="H510" s="6" t="s">
        <v>64</v>
      </c>
      <c r="I510" s="6" t="s">
        <v>159</v>
      </c>
      <c r="J510" s="6" t="s">
        <v>23</v>
      </c>
      <c r="K510" s="6" t="s">
        <v>78</v>
      </c>
      <c r="L510" s="6">
        <v>11</v>
      </c>
      <c r="M510" s="7">
        <v>3299</v>
      </c>
      <c r="N510" s="8">
        <v>0.05</v>
      </c>
      <c r="O510" s="9">
        <v>2050</v>
      </c>
    </row>
    <row r="511" spans="1:15" ht="18" x14ac:dyDescent="0.35">
      <c r="A511" s="4" t="s">
        <v>618</v>
      </c>
      <c r="B511" s="5">
        <v>45552</v>
      </c>
      <c r="C511" s="6" t="s">
        <v>36</v>
      </c>
      <c r="D511" s="6" t="s">
        <v>121</v>
      </c>
      <c r="E511" s="6" t="s">
        <v>105</v>
      </c>
      <c r="F511" s="6" t="s">
        <v>29</v>
      </c>
      <c r="G511" s="6" t="s">
        <v>30</v>
      </c>
      <c r="H511" s="6" t="s">
        <v>61</v>
      </c>
      <c r="I511" s="6" t="s">
        <v>62</v>
      </c>
      <c r="J511" s="6" t="s">
        <v>23</v>
      </c>
      <c r="K511" s="6" t="s">
        <v>66</v>
      </c>
      <c r="L511" s="6">
        <v>8</v>
      </c>
      <c r="M511" s="7">
        <v>12490</v>
      </c>
      <c r="N511" s="8">
        <v>0.08</v>
      </c>
      <c r="O511" s="9">
        <v>7900</v>
      </c>
    </row>
    <row r="512" spans="1:15" ht="18" x14ac:dyDescent="0.35">
      <c r="A512" s="4" t="s">
        <v>619</v>
      </c>
      <c r="B512" s="5">
        <v>45553</v>
      </c>
      <c r="C512" s="6" t="s">
        <v>82</v>
      </c>
      <c r="D512" s="6" t="s">
        <v>183</v>
      </c>
      <c r="E512" s="6" t="s">
        <v>84</v>
      </c>
      <c r="F512" s="6" t="s">
        <v>29</v>
      </c>
      <c r="G512" s="6" t="s">
        <v>20</v>
      </c>
      <c r="H512" s="6" t="s">
        <v>45</v>
      </c>
      <c r="I512" s="6" t="s">
        <v>46</v>
      </c>
      <c r="J512" s="6" t="s">
        <v>23</v>
      </c>
      <c r="K512" s="6" t="s">
        <v>66</v>
      </c>
      <c r="L512" s="6">
        <v>25</v>
      </c>
      <c r="M512" s="7">
        <v>1899</v>
      </c>
      <c r="N512" s="8">
        <v>0.18</v>
      </c>
      <c r="O512" s="9">
        <v>1080</v>
      </c>
    </row>
    <row r="513" spans="1:15" ht="18" x14ac:dyDescent="0.35">
      <c r="A513" s="4" t="s">
        <v>620</v>
      </c>
      <c r="B513" s="5">
        <v>45554</v>
      </c>
      <c r="C513" s="6" t="s">
        <v>82</v>
      </c>
      <c r="D513" s="6" t="s">
        <v>87</v>
      </c>
      <c r="E513" s="6" t="s">
        <v>38</v>
      </c>
      <c r="F513" s="6" t="s">
        <v>29</v>
      </c>
      <c r="G513" s="6" t="s">
        <v>70</v>
      </c>
      <c r="H513" s="6" t="s">
        <v>71</v>
      </c>
      <c r="I513" s="6" t="s">
        <v>88</v>
      </c>
      <c r="J513" s="6" t="s">
        <v>57</v>
      </c>
      <c r="K513" s="6" t="s">
        <v>24</v>
      </c>
      <c r="L513" s="6">
        <v>8</v>
      </c>
      <c r="M513" s="7">
        <v>999</v>
      </c>
      <c r="N513" s="8">
        <v>0.2</v>
      </c>
      <c r="O513" s="9">
        <v>540</v>
      </c>
    </row>
    <row r="514" spans="1:15" ht="18" x14ac:dyDescent="0.35">
      <c r="A514" s="4" t="s">
        <v>621</v>
      </c>
      <c r="B514" s="5">
        <v>45555</v>
      </c>
      <c r="C514" s="6" t="s">
        <v>16</v>
      </c>
      <c r="D514" s="6" t="s">
        <v>17</v>
      </c>
      <c r="E514" s="6" t="s">
        <v>18</v>
      </c>
      <c r="F514" s="6" t="s">
        <v>19</v>
      </c>
      <c r="G514" s="6" t="s">
        <v>20</v>
      </c>
      <c r="H514" s="6" t="s">
        <v>21</v>
      </c>
      <c r="I514" s="6" t="s">
        <v>22</v>
      </c>
      <c r="J514" s="6" t="s">
        <v>33</v>
      </c>
      <c r="K514" s="6" t="s">
        <v>24</v>
      </c>
      <c r="L514" s="6">
        <v>12</v>
      </c>
      <c r="M514" s="7">
        <v>4499</v>
      </c>
      <c r="N514" s="8">
        <v>0.18</v>
      </c>
      <c r="O514" s="9">
        <v>2910</v>
      </c>
    </row>
    <row r="515" spans="1:15" ht="18" x14ac:dyDescent="0.35">
      <c r="A515" s="4" t="s">
        <v>622</v>
      </c>
      <c r="B515" s="5">
        <v>45555</v>
      </c>
      <c r="C515" s="6" t="s">
        <v>48</v>
      </c>
      <c r="D515" s="6" t="s">
        <v>68</v>
      </c>
      <c r="E515" s="6" t="s">
        <v>38</v>
      </c>
      <c r="F515" s="6" t="s">
        <v>39</v>
      </c>
      <c r="G515" s="6" t="s">
        <v>20</v>
      </c>
      <c r="H515" s="6" t="s">
        <v>45</v>
      </c>
      <c r="I515" s="6" t="s">
        <v>46</v>
      </c>
      <c r="J515" s="6" t="s">
        <v>57</v>
      </c>
      <c r="K515" s="6" t="s">
        <v>66</v>
      </c>
      <c r="L515" s="6">
        <v>13</v>
      </c>
      <c r="M515" s="7">
        <v>1899</v>
      </c>
      <c r="N515" s="8">
        <v>0.1</v>
      </c>
      <c r="O515" s="9">
        <v>1080</v>
      </c>
    </row>
    <row r="516" spans="1:15" ht="18" x14ac:dyDescent="0.35">
      <c r="A516" s="4" t="s">
        <v>623</v>
      </c>
      <c r="B516" s="5">
        <v>45555</v>
      </c>
      <c r="C516" s="6" t="s">
        <v>26</v>
      </c>
      <c r="D516" s="6" t="s">
        <v>163</v>
      </c>
      <c r="E516" s="6" t="s">
        <v>50</v>
      </c>
      <c r="F516" s="6" t="s">
        <v>29</v>
      </c>
      <c r="G516" s="6" t="s">
        <v>20</v>
      </c>
      <c r="H516" s="6" t="s">
        <v>21</v>
      </c>
      <c r="I516" s="6" t="s">
        <v>115</v>
      </c>
      <c r="J516" s="6" t="s">
        <v>57</v>
      </c>
      <c r="K516" s="6" t="s">
        <v>34</v>
      </c>
      <c r="L516" s="6">
        <v>28</v>
      </c>
      <c r="M516" s="7">
        <v>6499</v>
      </c>
      <c r="N516" s="8">
        <v>0.08</v>
      </c>
      <c r="O516" s="9">
        <v>4210</v>
      </c>
    </row>
    <row r="517" spans="1:15" ht="18" x14ac:dyDescent="0.35">
      <c r="A517" s="4" t="s">
        <v>624</v>
      </c>
      <c r="B517" s="5">
        <v>45555</v>
      </c>
      <c r="C517" s="6" t="s">
        <v>36</v>
      </c>
      <c r="D517" s="6" t="s">
        <v>59</v>
      </c>
      <c r="E517" s="6" t="s">
        <v>69</v>
      </c>
      <c r="F517" s="6" t="s">
        <v>39</v>
      </c>
      <c r="G517" s="6" t="s">
        <v>70</v>
      </c>
      <c r="H517" s="6" t="s">
        <v>71</v>
      </c>
      <c r="I517" s="6" t="s">
        <v>80</v>
      </c>
      <c r="J517" s="6" t="s">
        <v>57</v>
      </c>
      <c r="K517" s="6" t="s">
        <v>34</v>
      </c>
      <c r="L517" s="6">
        <v>17</v>
      </c>
      <c r="M517" s="7">
        <v>1299</v>
      </c>
      <c r="N517" s="8">
        <v>0.15</v>
      </c>
      <c r="O517" s="9">
        <v>720</v>
      </c>
    </row>
    <row r="518" spans="1:15" ht="18" x14ac:dyDescent="0.35">
      <c r="A518" s="4" t="s">
        <v>625</v>
      </c>
      <c r="B518" s="5">
        <v>45556</v>
      </c>
      <c r="C518" s="6" t="s">
        <v>36</v>
      </c>
      <c r="D518" s="6" t="s">
        <v>44</v>
      </c>
      <c r="E518" s="6" t="s">
        <v>18</v>
      </c>
      <c r="F518" s="6" t="s">
        <v>39</v>
      </c>
      <c r="G518" s="6" t="s">
        <v>54</v>
      </c>
      <c r="H518" s="6" t="s">
        <v>129</v>
      </c>
      <c r="I518" s="6" t="s">
        <v>145</v>
      </c>
      <c r="J518" s="6" t="s">
        <v>57</v>
      </c>
      <c r="K518" s="6" t="s">
        <v>66</v>
      </c>
      <c r="L518" s="6">
        <v>24</v>
      </c>
      <c r="M518" s="7">
        <v>31490</v>
      </c>
      <c r="N518" s="8">
        <v>0.12</v>
      </c>
      <c r="O518" s="9">
        <v>21300</v>
      </c>
    </row>
    <row r="519" spans="1:15" ht="18" x14ac:dyDescent="0.35">
      <c r="A519" s="4" t="s">
        <v>626</v>
      </c>
      <c r="B519" s="5">
        <v>45556</v>
      </c>
      <c r="C519" s="6" t="s">
        <v>16</v>
      </c>
      <c r="D519" s="6" t="s">
        <v>126</v>
      </c>
      <c r="E519" s="6" t="s">
        <v>50</v>
      </c>
      <c r="F519" s="6" t="s">
        <v>39</v>
      </c>
      <c r="G519" s="6" t="s">
        <v>40</v>
      </c>
      <c r="H519" s="6" t="s">
        <v>41</v>
      </c>
      <c r="I519" s="6" t="s">
        <v>42</v>
      </c>
      <c r="J519" s="6" t="s">
        <v>33</v>
      </c>
      <c r="K519" s="6" t="s">
        <v>34</v>
      </c>
      <c r="L519" s="6">
        <v>32</v>
      </c>
      <c r="M519" s="7">
        <v>55230</v>
      </c>
      <c r="N519" s="8">
        <v>0.2</v>
      </c>
      <c r="O519" s="9">
        <v>33800</v>
      </c>
    </row>
    <row r="520" spans="1:15" ht="18" x14ac:dyDescent="0.35">
      <c r="A520" s="4" t="s">
        <v>627</v>
      </c>
      <c r="B520" s="5">
        <v>45558</v>
      </c>
      <c r="C520" s="6" t="s">
        <v>36</v>
      </c>
      <c r="D520" s="6" t="s">
        <v>121</v>
      </c>
      <c r="E520" s="6" t="s">
        <v>69</v>
      </c>
      <c r="F520" s="6" t="s">
        <v>19</v>
      </c>
      <c r="G520" s="6" t="s">
        <v>40</v>
      </c>
      <c r="H520" s="6" t="s">
        <v>41</v>
      </c>
      <c r="I520" s="6" t="s">
        <v>119</v>
      </c>
      <c r="J520" s="6" t="s">
        <v>57</v>
      </c>
      <c r="K520" s="6" t="s">
        <v>24</v>
      </c>
      <c r="L520" s="6">
        <v>3</v>
      </c>
      <c r="M520" s="7">
        <v>48990</v>
      </c>
      <c r="N520" s="8">
        <v>0.08</v>
      </c>
      <c r="O520" s="9">
        <v>30100</v>
      </c>
    </row>
    <row r="521" spans="1:15" ht="18" x14ac:dyDescent="0.35">
      <c r="A521" s="4" t="s">
        <v>628</v>
      </c>
      <c r="B521" s="5">
        <v>45558</v>
      </c>
      <c r="C521" s="6" t="s">
        <v>16</v>
      </c>
      <c r="D521" s="6" t="s">
        <v>111</v>
      </c>
      <c r="E521" s="6" t="s">
        <v>69</v>
      </c>
      <c r="F521" s="6" t="s">
        <v>19</v>
      </c>
      <c r="G521" s="6" t="s">
        <v>30</v>
      </c>
      <c r="H521" s="6" t="s">
        <v>31</v>
      </c>
      <c r="I521" s="6" t="s">
        <v>32</v>
      </c>
      <c r="J521" s="6" t="s">
        <v>33</v>
      </c>
      <c r="K521" s="6" t="s">
        <v>34</v>
      </c>
      <c r="L521" s="6">
        <v>20</v>
      </c>
      <c r="M521" s="7">
        <v>38990</v>
      </c>
      <c r="N521" s="8">
        <v>0.18</v>
      </c>
      <c r="O521" s="9">
        <v>25400</v>
      </c>
    </row>
    <row r="522" spans="1:15" ht="18" x14ac:dyDescent="0.35">
      <c r="A522" s="4" t="s">
        <v>629</v>
      </c>
      <c r="B522" s="5">
        <v>45558</v>
      </c>
      <c r="C522" s="6" t="s">
        <v>82</v>
      </c>
      <c r="D522" s="6" t="s">
        <v>83</v>
      </c>
      <c r="E522" s="6" t="s">
        <v>69</v>
      </c>
      <c r="F522" s="6" t="s">
        <v>19</v>
      </c>
      <c r="G522" s="6" t="s">
        <v>20</v>
      </c>
      <c r="H522" s="6" t="s">
        <v>21</v>
      </c>
      <c r="I522" s="6" t="s">
        <v>115</v>
      </c>
      <c r="J522" s="6" t="s">
        <v>23</v>
      </c>
      <c r="K522" s="6" t="s">
        <v>24</v>
      </c>
      <c r="L522" s="6">
        <v>7</v>
      </c>
      <c r="M522" s="7">
        <v>6499</v>
      </c>
      <c r="N522" s="8">
        <v>0.18</v>
      </c>
      <c r="O522" s="9">
        <v>4210</v>
      </c>
    </row>
    <row r="523" spans="1:15" ht="18" x14ac:dyDescent="0.35">
      <c r="A523" s="4" t="s">
        <v>630</v>
      </c>
      <c r="B523" s="5">
        <v>45558</v>
      </c>
      <c r="C523" s="6" t="s">
        <v>16</v>
      </c>
      <c r="D523" s="6" t="s">
        <v>17</v>
      </c>
      <c r="E523" s="6" t="s">
        <v>105</v>
      </c>
      <c r="F523" s="6" t="s">
        <v>29</v>
      </c>
      <c r="G523" s="6" t="s">
        <v>70</v>
      </c>
      <c r="H523" s="6" t="s">
        <v>71</v>
      </c>
      <c r="I523" s="6" t="s">
        <v>88</v>
      </c>
      <c r="J523" s="6" t="s">
        <v>57</v>
      </c>
      <c r="K523" s="6" t="s">
        <v>34</v>
      </c>
      <c r="L523" s="6">
        <v>40</v>
      </c>
      <c r="M523" s="7">
        <v>999</v>
      </c>
      <c r="N523" s="8">
        <v>0.18</v>
      </c>
      <c r="O523" s="9">
        <v>540</v>
      </c>
    </row>
    <row r="524" spans="1:15" ht="18" x14ac:dyDescent="0.35">
      <c r="A524" s="4" t="s">
        <v>631</v>
      </c>
      <c r="B524" s="5">
        <v>45559</v>
      </c>
      <c r="C524" s="6" t="s">
        <v>26</v>
      </c>
      <c r="D524" s="6" t="s">
        <v>163</v>
      </c>
      <c r="E524" s="6" t="s">
        <v>84</v>
      </c>
      <c r="F524" s="6" t="s">
        <v>19</v>
      </c>
      <c r="G524" s="6" t="s">
        <v>54</v>
      </c>
      <c r="H524" s="6" t="s">
        <v>55</v>
      </c>
      <c r="I524" s="6" t="s">
        <v>148</v>
      </c>
      <c r="J524" s="6" t="s">
        <v>23</v>
      </c>
      <c r="K524" s="6" t="s">
        <v>66</v>
      </c>
      <c r="L524" s="6">
        <v>33</v>
      </c>
      <c r="M524" s="7">
        <v>4680</v>
      </c>
      <c r="N524" s="8">
        <v>0.05</v>
      </c>
      <c r="O524" s="9">
        <v>3250</v>
      </c>
    </row>
    <row r="525" spans="1:15" ht="18" x14ac:dyDescent="0.35">
      <c r="A525" s="4" t="s">
        <v>632</v>
      </c>
      <c r="B525" s="5">
        <v>45560</v>
      </c>
      <c r="C525" s="6" t="s">
        <v>16</v>
      </c>
      <c r="D525" s="6" t="s">
        <v>98</v>
      </c>
      <c r="E525" s="6" t="s">
        <v>50</v>
      </c>
      <c r="F525" s="6" t="s">
        <v>19</v>
      </c>
      <c r="G525" s="6" t="s">
        <v>30</v>
      </c>
      <c r="H525" s="6" t="s">
        <v>61</v>
      </c>
      <c r="I525" s="6" t="s">
        <v>62</v>
      </c>
      <c r="J525" s="6" t="s">
        <v>33</v>
      </c>
      <c r="K525" s="6" t="s">
        <v>78</v>
      </c>
      <c r="L525" s="6">
        <v>31</v>
      </c>
      <c r="M525" s="7">
        <v>12490</v>
      </c>
      <c r="N525" s="8">
        <v>0.08</v>
      </c>
      <c r="O525" s="9">
        <v>7900</v>
      </c>
    </row>
    <row r="526" spans="1:15" ht="18" x14ac:dyDescent="0.35">
      <c r="A526" s="4" t="s">
        <v>633</v>
      </c>
      <c r="B526" s="5">
        <v>45560</v>
      </c>
      <c r="C526" s="6" t="s">
        <v>16</v>
      </c>
      <c r="D526" s="6" t="s">
        <v>98</v>
      </c>
      <c r="E526" s="6" t="s">
        <v>38</v>
      </c>
      <c r="F526" s="6" t="s">
        <v>29</v>
      </c>
      <c r="G526" s="6" t="s">
        <v>40</v>
      </c>
      <c r="H526" s="6" t="s">
        <v>76</v>
      </c>
      <c r="I526" s="6" t="s">
        <v>77</v>
      </c>
      <c r="J526" s="6" t="s">
        <v>23</v>
      </c>
      <c r="K526" s="6" t="s">
        <v>34</v>
      </c>
      <c r="L526" s="6">
        <v>9</v>
      </c>
      <c r="M526" s="7">
        <v>52990</v>
      </c>
      <c r="N526" s="8">
        <v>0.2</v>
      </c>
      <c r="O526" s="9">
        <v>39500</v>
      </c>
    </row>
    <row r="527" spans="1:15" ht="18" x14ac:dyDescent="0.35">
      <c r="A527" s="4" t="s">
        <v>634</v>
      </c>
      <c r="B527" s="5">
        <v>45560</v>
      </c>
      <c r="C527" s="6" t="s">
        <v>16</v>
      </c>
      <c r="D527" s="6" t="s">
        <v>126</v>
      </c>
      <c r="E527" s="6" t="s">
        <v>60</v>
      </c>
      <c r="F527" s="6" t="s">
        <v>39</v>
      </c>
      <c r="G527" s="6" t="s">
        <v>70</v>
      </c>
      <c r="H527" s="6" t="s">
        <v>71</v>
      </c>
      <c r="I527" s="6" t="s">
        <v>88</v>
      </c>
      <c r="J527" s="6" t="s">
        <v>23</v>
      </c>
      <c r="K527" s="6" t="s">
        <v>34</v>
      </c>
      <c r="L527" s="6">
        <v>37</v>
      </c>
      <c r="M527" s="7">
        <v>999</v>
      </c>
      <c r="N527" s="8">
        <v>0.12</v>
      </c>
      <c r="O527" s="9">
        <v>540</v>
      </c>
    </row>
    <row r="528" spans="1:15" ht="18" x14ac:dyDescent="0.35">
      <c r="A528" s="4" t="s">
        <v>635</v>
      </c>
      <c r="B528" s="5">
        <v>45560</v>
      </c>
      <c r="C528" s="6" t="s">
        <v>26</v>
      </c>
      <c r="D528" s="6" t="s">
        <v>74</v>
      </c>
      <c r="E528" s="6" t="s">
        <v>60</v>
      </c>
      <c r="F528" s="6" t="s">
        <v>39</v>
      </c>
      <c r="G528" s="6" t="s">
        <v>70</v>
      </c>
      <c r="H528" s="6" t="s">
        <v>71</v>
      </c>
      <c r="I528" s="6" t="s">
        <v>80</v>
      </c>
      <c r="J528" s="6" t="s">
        <v>33</v>
      </c>
      <c r="K528" s="6" t="s">
        <v>24</v>
      </c>
      <c r="L528" s="6">
        <v>31</v>
      </c>
      <c r="M528" s="7">
        <v>1299</v>
      </c>
      <c r="N528" s="8">
        <v>0.2</v>
      </c>
      <c r="O528" s="9">
        <v>720</v>
      </c>
    </row>
    <row r="529" spans="1:15" ht="18" x14ac:dyDescent="0.35">
      <c r="A529" s="4" t="s">
        <v>636</v>
      </c>
      <c r="B529" s="5">
        <v>45561</v>
      </c>
      <c r="C529" s="6" t="s">
        <v>36</v>
      </c>
      <c r="D529" s="6" t="s">
        <v>59</v>
      </c>
      <c r="E529" s="6" t="s">
        <v>28</v>
      </c>
      <c r="F529" s="6" t="s">
        <v>29</v>
      </c>
      <c r="G529" s="6" t="s">
        <v>70</v>
      </c>
      <c r="H529" s="6" t="s">
        <v>71</v>
      </c>
      <c r="I529" s="6" t="s">
        <v>72</v>
      </c>
      <c r="J529" s="6" t="s">
        <v>33</v>
      </c>
      <c r="K529" s="6" t="s">
        <v>78</v>
      </c>
      <c r="L529" s="6">
        <v>9</v>
      </c>
      <c r="M529" s="7">
        <v>3499</v>
      </c>
      <c r="N529" s="8">
        <v>0.05</v>
      </c>
      <c r="O529" s="9">
        <v>2190</v>
      </c>
    </row>
    <row r="530" spans="1:15" ht="18" x14ac:dyDescent="0.35">
      <c r="A530" s="4" t="s">
        <v>637</v>
      </c>
      <c r="B530" s="5">
        <v>45561</v>
      </c>
      <c r="C530" s="6" t="s">
        <v>48</v>
      </c>
      <c r="D530" s="6" t="s">
        <v>93</v>
      </c>
      <c r="E530" s="6" t="s">
        <v>38</v>
      </c>
      <c r="F530" s="6" t="s">
        <v>29</v>
      </c>
      <c r="G530" s="6" t="s">
        <v>30</v>
      </c>
      <c r="H530" s="6" t="s">
        <v>31</v>
      </c>
      <c r="I530" s="6" t="s">
        <v>85</v>
      </c>
      <c r="J530" s="6" t="s">
        <v>33</v>
      </c>
      <c r="K530" s="6" t="s">
        <v>66</v>
      </c>
      <c r="L530" s="6">
        <v>18</v>
      </c>
      <c r="M530" s="7">
        <v>43500</v>
      </c>
      <c r="N530" s="8">
        <v>0.1</v>
      </c>
      <c r="O530" s="9">
        <v>29520</v>
      </c>
    </row>
    <row r="531" spans="1:15" ht="18" x14ac:dyDescent="0.35">
      <c r="A531" s="4" t="s">
        <v>638</v>
      </c>
      <c r="B531" s="5">
        <v>45562</v>
      </c>
      <c r="C531" s="6" t="s">
        <v>48</v>
      </c>
      <c r="D531" s="6" t="s">
        <v>93</v>
      </c>
      <c r="E531" s="6" t="s">
        <v>84</v>
      </c>
      <c r="F531" s="6" t="s">
        <v>39</v>
      </c>
      <c r="G531" s="6" t="s">
        <v>54</v>
      </c>
      <c r="H531" s="6" t="s">
        <v>55</v>
      </c>
      <c r="I531" s="6" t="s">
        <v>108</v>
      </c>
      <c r="J531" s="6" t="s">
        <v>57</v>
      </c>
      <c r="K531" s="6" t="s">
        <v>78</v>
      </c>
      <c r="L531" s="6">
        <v>11</v>
      </c>
      <c r="M531" s="7">
        <v>5890</v>
      </c>
      <c r="N531" s="8">
        <v>0.1</v>
      </c>
      <c r="O531" s="9">
        <v>3980</v>
      </c>
    </row>
    <row r="532" spans="1:15" ht="18" x14ac:dyDescent="0.35">
      <c r="A532" s="4" t="s">
        <v>639</v>
      </c>
      <c r="B532" s="5">
        <v>45562</v>
      </c>
      <c r="C532" s="6" t="s">
        <v>16</v>
      </c>
      <c r="D532" s="6" t="s">
        <v>98</v>
      </c>
      <c r="E532" s="6" t="s">
        <v>18</v>
      </c>
      <c r="F532" s="6" t="s">
        <v>19</v>
      </c>
      <c r="G532" s="6" t="s">
        <v>20</v>
      </c>
      <c r="H532" s="6" t="s">
        <v>21</v>
      </c>
      <c r="I532" s="6" t="s">
        <v>115</v>
      </c>
      <c r="J532" s="6" t="s">
        <v>57</v>
      </c>
      <c r="K532" s="6" t="s">
        <v>66</v>
      </c>
      <c r="L532" s="6">
        <v>39</v>
      </c>
      <c r="M532" s="7">
        <v>6499</v>
      </c>
      <c r="N532" s="8">
        <v>0.05</v>
      </c>
      <c r="O532" s="9">
        <v>4210</v>
      </c>
    </row>
    <row r="533" spans="1:15" ht="18" x14ac:dyDescent="0.35">
      <c r="A533" s="4" t="s">
        <v>640</v>
      </c>
      <c r="B533" s="5">
        <v>45563</v>
      </c>
      <c r="C533" s="6" t="s">
        <v>36</v>
      </c>
      <c r="D533" s="6" t="s">
        <v>37</v>
      </c>
      <c r="E533" s="6" t="s">
        <v>101</v>
      </c>
      <c r="F533" s="6" t="s">
        <v>39</v>
      </c>
      <c r="G533" s="6" t="s">
        <v>70</v>
      </c>
      <c r="H533" s="6" t="s">
        <v>71</v>
      </c>
      <c r="I533" s="6" t="s">
        <v>80</v>
      </c>
      <c r="J533" s="6" t="s">
        <v>57</v>
      </c>
      <c r="K533" s="6" t="s">
        <v>24</v>
      </c>
      <c r="L533" s="6">
        <v>35</v>
      </c>
      <c r="M533" s="7">
        <v>1299</v>
      </c>
      <c r="N533" s="8">
        <v>0.2</v>
      </c>
      <c r="O533" s="9">
        <v>720</v>
      </c>
    </row>
    <row r="534" spans="1:15" ht="18" x14ac:dyDescent="0.35">
      <c r="A534" s="4" t="s">
        <v>641</v>
      </c>
      <c r="B534" s="5">
        <v>45563</v>
      </c>
      <c r="C534" s="6" t="s">
        <v>48</v>
      </c>
      <c r="D534" s="6" t="s">
        <v>136</v>
      </c>
      <c r="E534" s="6" t="s">
        <v>60</v>
      </c>
      <c r="F534" s="6" t="s">
        <v>39</v>
      </c>
      <c r="G534" s="6" t="s">
        <v>20</v>
      </c>
      <c r="H534" s="6" t="s">
        <v>21</v>
      </c>
      <c r="I534" s="6" t="s">
        <v>115</v>
      </c>
      <c r="J534" s="6" t="s">
        <v>23</v>
      </c>
      <c r="K534" s="6" t="s">
        <v>66</v>
      </c>
      <c r="L534" s="6">
        <v>2</v>
      </c>
      <c r="M534" s="7">
        <v>6499</v>
      </c>
      <c r="N534" s="8">
        <v>0.05</v>
      </c>
      <c r="O534" s="9">
        <v>4210</v>
      </c>
    </row>
    <row r="535" spans="1:15" ht="18" x14ac:dyDescent="0.35">
      <c r="A535" s="4" t="s">
        <v>642</v>
      </c>
      <c r="B535" s="5">
        <v>45563</v>
      </c>
      <c r="C535" s="6" t="s">
        <v>26</v>
      </c>
      <c r="D535" s="6" t="s">
        <v>53</v>
      </c>
      <c r="E535" s="6" t="s">
        <v>18</v>
      </c>
      <c r="F535" s="6" t="s">
        <v>19</v>
      </c>
      <c r="G535" s="6" t="s">
        <v>54</v>
      </c>
      <c r="H535" s="6" t="s">
        <v>90</v>
      </c>
      <c r="I535" s="6" t="s">
        <v>134</v>
      </c>
      <c r="J535" s="6" t="s">
        <v>23</v>
      </c>
      <c r="K535" s="6" t="s">
        <v>34</v>
      </c>
      <c r="L535" s="6">
        <v>27</v>
      </c>
      <c r="M535" s="7">
        <v>32800</v>
      </c>
      <c r="N535" s="8">
        <v>0.15</v>
      </c>
      <c r="O535" s="9">
        <v>23100</v>
      </c>
    </row>
    <row r="536" spans="1:15" ht="18" x14ac:dyDescent="0.35">
      <c r="A536" s="4" t="s">
        <v>643</v>
      </c>
      <c r="B536" s="5">
        <v>45564</v>
      </c>
      <c r="C536" s="6" t="s">
        <v>36</v>
      </c>
      <c r="D536" s="6" t="s">
        <v>121</v>
      </c>
      <c r="E536" s="6" t="s">
        <v>18</v>
      </c>
      <c r="F536" s="6" t="s">
        <v>29</v>
      </c>
      <c r="G536" s="6" t="s">
        <v>40</v>
      </c>
      <c r="H536" s="6" t="s">
        <v>76</v>
      </c>
      <c r="I536" s="6" t="s">
        <v>113</v>
      </c>
      <c r="J536" s="6" t="s">
        <v>23</v>
      </c>
      <c r="K536" s="6" t="s">
        <v>66</v>
      </c>
      <c r="L536" s="6">
        <v>35</v>
      </c>
      <c r="M536" s="7">
        <v>22999</v>
      </c>
      <c r="N536" s="8">
        <v>0.12</v>
      </c>
      <c r="O536" s="9">
        <v>15100</v>
      </c>
    </row>
    <row r="537" spans="1:15" ht="18" x14ac:dyDescent="0.35">
      <c r="A537" s="4" t="s">
        <v>644</v>
      </c>
      <c r="B537" s="5">
        <v>45564</v>
      </c>
      <c r="C537" s="6" t="s">
        <v>16</v>
      </c>
      <c r="D537" s="6" t="s">
        <v>98</v>
      </c>
      <c r="E537" s="6" t="s">
        <v>101</v>
      </c>
      <c r="F537" s="6" t="s">
        <v>29</v>
      </c>
      <c r="G537" s="6" t="s">
        <v>40</v>
      </c>
      <c r="H537" s="6" t="s">
        <v>41</v>
      </c>
      <c r="I537" s="6" t="s">
        <v>42</v>
      </c>
      <c r="J537" s="6" t="s">
        <v>57</v>
      </c>
      <c r="K537" s="6" t="s">
        <v>34</v>
      </c>
      <c r="L537" s="6">
        <v>20</v>
      </c>
      <c r="M537" s="7">
        <v>55230</v>
      </c>
      <c r="N537" s="8">
        <v>0.12</v>
      </c>
      <c r="O537" s="9">
        <v>33800</v>
      </c>
    </row>
    <row r="538" spans="1:15" ht="18" x14ac:dyDescent="0.35">
      <c r="A538" s="4" t="s">
        <v>645</v>
      </c>
      <c r="B538" s="5">
        <v>45565</v>
      </c>
      <c r="C538" s="6" t="s">
        <v>48</v>
      </c>
      <c r="D538" s="6" t="s">
        <v>93</v>
      </c>
      <c r="E538" s="6" t="s">
        <v>105</v>
      </c>
      <c r="F538" s="6" t="s">
        <v>39</v>
      </c>
      <c r="G538" s="6" t="s">
        <v>54</v>
      </c>
      <c r="H538" s="6" t="s">
        <v>90</v>
      </c>
      <c r="I538" s="6" t="s">
        <v>91</v>
      </c>
      <c r="J538" s="6" t="s">
        <v>57</v>
      </c>
      <c r="K538" s="6" t="s">
        <v>66</v>
      </c>
      <c r="L538" s="6">
        <v>29</v>
      </c>
      <c r="M538" s="7">
        <v>31990</v>
      </c>
      <c r="N538" s="8">
        <v>0.08</v>
      </c>
      <c r="O538" s="9">
        <v>21800</v>
      </c>
    </row>
    <row r="539" spans="1:15" ht="18" x14ac:dyDescent="0.35">
      <c r="A539" s="4" t="s">
        <v>646</v>
      </c>
      <c r="B539" s="5">
        <v>45565</v>
      </c>
      <c r="C539" s="6" t="s">
        <v>36</v>
      </c>
      <c r="D539" s="6" t="s">
        <v>59</v>
      </c>
      <c r="E539" s="6" t="s">
        <v>105</v>
      </c>
      <c r="F539" s="6" t="s">
        <v>39</v>
      </c>
      <c r="G539" s="6" t="s">
        <v>30</v>
      </c>
      <c r="H539" s="6" t="s">
        <v>31</v>
      </c>
      <c r="I539" s="6" t="s">
        <v>85</v>
      </c>
      <c r="J539" s="6" t="s">
        <v>23</v>
      </c>
      <c r="K539" s="6" t="s">
        <v>66</v>
      </c>
      <c r="L539" s="6">
        <v>6</v>
      </c>
      <c r="M539" s="7">
        <v>43500</v>
      </c>
      <c r="N539" s="8">
        <v>0.1</v>
      </c>
      <c r="O539" s="9">
        <v>29520</v>
      </c>
    </row>
    <row r="540" spans="1:15" ht="18" x14ac:dyDescent="0.35">
      <c r="A540" s="4" t="s">
        <v>647</v>
      </c>
      <c r="B540" s="5">
        <v>45566</v>
      </c>
      <c r="C540" s="6" t="s">
        <v>26</v>
      </c>
      <c r="D540" s="6" t="s">
        <v>163</v>
      </c>
      <c r="E540" s="6" t="s">
        <v>101</v>
      </c>
      <c r="F540" s="6" t="s">
        <v>19</v>
      </c>
      <c r="G540" s="6" t="s">
        <v>54</v>
      </c>
      <c r="H540" s="6" t="s">
        <v>55</v>
      </c>
      <c r="I540" s="6" t="s">
        <v>108</v>
      </c>
      <c r="J540" s="6" t="s">
        <v>33</v>
      </c>
      <c r="K540" s="6" t="s">
        <v>24</v>
      </c>
      <c r="L540" s="6">
        <v>8</v>
      </c>
      <c r="M540" s="7">
        <v>5890</v>
      </c>
      <c r="N540" s="8">
        <v>0.18</v>
      </c>
      <c r="O540" s="9">
        <v>3980</v>
      </c>
    </row>
    <row r="541" spans="1:15" ht="18" x14ac:dyDescent="0.35">
      <c r="A541" s="4" t="s">
        <v>648</v>
      </c>
      <c r="B541" s="5">
        <v>45566</v>
      </c>
      <c r="C541" s="6" t="s">
        <v>36</v>
      </c>
      <c r="D541" s="6" t="s">
        <v>59</v>
      </c>
      <c r="E541" s="6" t="s">
        <v>75</v>
      </c>
      <c r="F541" s="6" t="s">
        <v>29</v>
      </c>
      <c r="G541" s="6" t="s">
        <v>30</v>
      </c>
      <c r="H541" s="6" t="s">
        <v>31</v>
      </c>
      <c r="I541" s="6" t="s">
        <v>106</v>
      </c>
      <c r="J541" s="6" t="s">
        <v>23</v>
      </c>
      <c r="K541" s="6" t="s">
        <v>66</v>
      </c>
      <c r="L541" s="6">
        <v>31</v>
      </c>
      <c r="M541" s="7">
        <v>52990</v>
      </c>
      <c r="N541" s="8">
        <v>0.1</v>
      </c>
      <c r="O541" s="9">
        <v>35100</v>
      </c>
    </row>
    <row r="542" spans="1:15" ht="18" x14ac:dyDescent="0.35">
      <c r="A542" s="4" t="s">
        <v>649</v>
      </c>
      <c r="B542" s="5">
        <v>45566</v>
      </c>
      <c r="C542" s="6" t="s">
        <v>82</v>
      </c>
      <c r="D542" s="6" t="s">
        <v>87</v>
      </c>
      <c r="E542" s="6" t="s">
        <v>18</v>
      </c>
      <c r="F542" s="6" t="s">
        <v>19</v>
      </c>
      <c r="G542" s="6" t="s">
        <v>54</v>
      </c>
      <c r="H542" s="6" t="s">
        <v>90</v>
      </c>
      <c r="I542" s="6" t="s">
        <v>91</v>
      </c>
      <c r="J542" s="6" t="s">
        <v>33</v>
      </c>
      <c r="K542" s="6" t="s">
        <v>34</v>
      </c>
      <c r="L542" s="6">
        <v>24</v>
      </c>
      <c r="M542" s="7">
        <v>31990</v>
      </c>
      <c r="N542" s="8">
        <v>0.05</v>
      </c>
      <c r="O542" s="9">
        <v>21800</v>
      </c>
    </row>
    <row r="543" spans="1:15" ht="18" x14ac:dyDescent="0.35">
      <c r="A543" s="4" t="s">
        <v>650</v>
      </c>
      <c r="B543" s="5">
        <v>45566</v>
      </c>
      <c r="C543" s="6" t="s">
        <v>48</v>
      </c>
      <c r="D543" s="6" t="s">
        <v>93</v>
      </c>
      <c r="E543" s="6" t="s">
        <v>60</v>
      </c>
      <c r="F543" s="6" t="s">
        <v>29</v>
      </c>
      <c r="G543" s="6" t="s">
        <v>70</v>
      </c>
      <c r="H543" s="6" t="s">
        <v>71</v>
      </c>
      <c r="I543" s="6" t="s">
        <v>80</v>
      </c>
      <c r="J543" s="6" t="s">
        <v>23</v>
      </c>
      <c r="K543" s="6" t="s">
        <v>24</v>
      </c>
      <c r="L543" s="6">
        <v>19</v>
      </c>
      <c r="M543" s="7">
        <v>1299</v>
      </c>
      <c r="N543" s="8">
        <v>0.2</v>
      </c>
      <c r="O543" s="9">
        <v>720</v>
      </c>
    </row>
    <row r="544" spans="1:15" ht="18" x14ac:dyDescent="0.35">
      <c r="A544" s="4" t="s">
        <v>651</v>
      </c>
      <c r="B544" s="5">
        <v>45566</v>
      </c>
      <c r="C544" s="6" t="s">
        <v>82</v>
      </c>
      <c r="D544" s="6" t="s">
        <v>83</v>
      </c>
      <c r="E544" s="6" t="s">
        <v>69</v>
      </c>
      <c r="F544" s="6" t="s">
        <v>19</v>
      </c>
      <c r="G544" s="6" t="s">
        <v>40</v>
      </c>
      <c r="H544" s="6" t="s">
        <v>41</v>
      </c>
      <c r="I544" s="6" t="s">
        <v>42</v>
      </c>
      <c r="J544" s="6" t="s">
        <v>23</v>
      </c>
      <c r="K544" s="6" t="s">
        <v>78</v>
      </c>
      <c r="L544" s="6">
        <v>17</v>
      </c>
      <c r="M544" s="7">
        <v>55230</v>
      </c>
      <c r="N544" s="8">
        <v>0.1</v>
      </c>
      <c r="O544" s="9">
        <v>33800</v>
      </c>
    </row>
    <row r="545" spans="1:15" ht="18" x14ac:dyDescent="0.35">
      <c r="A545" s="4" t="s">
        <v>652</v>
      </c>
      <c r="B545" s="5">
        <v>45566</v>
      </c>
      <c r="C545" s="6" t="s">
        <v>26</v>
      </c>
      <c r="D545" s="6" t="s">
        <v>163</v>
      </c>
      <c r="E545" s="6" t="s">
        <v>28</v>
      </c>
      <c r="F545" s="6" t="s">
        <v>19</v>
      </c>
      <c r="G545" s="6" t="s">
        <v>40</v>
      </c>
      <c r="H545" s="6" t="s">
        <v>64</v>
      </c>
      <c r="I545" s="6" t="s">
        <v>159</v>
      </c>
      <c r="J545" s="6" t="s">
        <v>23</v>
      </c>
      <c r="K545" s="6" t="s">
        <v>66</v>
      </c>
      <c r="L545" s="6">
        <v>21</v>
      </c>
      <c r="M545" s="7">
        <v>3299</v>
      </c>
      <c r="N545" s="8">
        <v>0.15</v>
      </c>
      <c r="O545" s="9">
        <v>2050</v>
      </c>
    </row>
    <row r="546" spans="1:15" ht="18" x14ac:dyDescent="0.35">
      <c r="A546" s="4" t="s">
        <v>653</v>
      </c>
      <c r="B546" s="5">
        <v>45566</v>
      </c>
      <c r="C546" s="6" t="s">
        <v>36</v>
      </c>
      <c r="D546" s="6" t="s">
        <v>59</v>
      </c>
      <c r="E546" s="6" t="s">
        <v>60</v>
      </c>
      <c r="F546" s="6" t="s">
        <v>39</v>
      </c>
      <c r="G546" s="6" t="s">
        <v>30</v>
      </c>
      <c r="H546" s="6" t="s">
        <v>31</v>
      </c>
      <c r="I546" s="6" t="s">
        <v>32</v>
      </c>
      <c r="J546" s="6" t="s">
        <v>33</v>
      </c>
      <c r="K546" s="6" t="s">
        <v>34</v>
      </c>
      <c r="L546" s="6">
        <v>5</v>
      </c>
      <c r="M546" s="7">
        <v>38990</v>
      </c>
      <c r="N546" s="8">
        <v>0.2</v>
      </c>
      <c r="O546" s="9">
        <v>25400</v>
      </c>
    </row>
    <row r="547" spans="1:15" ht="18" x14ac:dyDescent="0.35">
      <c r="A547" s="4" t="s">
        <v>654</v>
      </c>
      <c r="B547" s="5">
        <v>45567</v>
      </c>
      <c r="C547" s="6" t="s">
        <v>16</v>
      </c>
      <c r="D547" s="6" t="s">
        <v>126</v>
      </c>
      <c r="E547" s="6" t="s">
        <v>38</v>
      </c>
      <c r="F547" s="6" t="s">
        <v>19</v>
      </c>
      <c r="G547" s="6" t="s">
        <v>20</v>
      </c>
      <c r="H547" s="6" t="s">
        <v>45</v>
      </c>
      <c r="I547" s="6" t="s">
        <v>46</v>
      </c>
      <c r="J547" s="6" t="s">
        <v>57</v>
      </c>
      <c r="K547" s="6" t="s">
        <v>34</v>
      </c>
      <c r="L547" s="6">
        <v>12</v>
      </c>
      <c r="M547" s="7">
        <v>1899</v>
      </c>
      <c r="N547" s="8">
        <v>0.2</v>
      </c>
      <c r="O547" s="9">
        <v>1080</v>
      </c>
    </row>
    <row r="548" spans="1:15" ht="18" x14ac:dyDescent="0.35">
      <c r="A548" s="4" t="s">
        <v>655</v>
      </c>
      <c r="B548" s="5">
        <v>45568</v>
      </c>
      <c r="C548" s="6" t="s">
        <v>82</v>
      </c>
      <c r="D548" s="6" t="s">
        <v>100</v>
      </c>
      <c r="E548" s="6" t="s">
        <v>38</v>
      </c>
      <c r="F548" s="6" t="s">
        <v>29</v>
      </c>
      <c r="G548" s="6" t="s">
        <v>40</v>
      </c>
      <c r="H548" s="6" t="s">
        <v>41</v>
      </c>
      <c r="I548" s="6" t="s">
        <v>119</v>
      </c>
      <c r="J548" s="6" t="s">
        <v>57</v>
      </c>
      <c r="K548" s="6" t="s">
        <v>24</v>
      </c>
      <c r="L548" s="6">
        <v>31</v>
      </c>
      <c r="M548" s="7">
        <v>48990</v>
      </c>
      <c r="N548" s="8">
        <v>0.12</v>
      </c>
      <c r="O548" s="9">
        <v>30100</v>
      </c>
    </row>
    <row r="549" spans="1:15" ht="18" x14ac:dyDescent="0.35">
      <c r="A549" s="4" t="s">
        <v>656</v>
      </c>
      <c r="B549" s="5">
        <v>45568</v>
      </c>
      <c r="C549" s="6" t="s">
        <v>82</v>
      </c>
      <c r="D549" s="6" t="s">
        <v>83</v>
      </c>
      <c r="E549" s="6" t="s">
        <v>69</v>
      </c>
      <c r="F549" s="6" t="s">
        <v>19</v>
      </c>
      <c r="G549" s="6" t="s">
        <v>40</v>
      </c>
      <c r="H549" s="6" t="s">
        <v>64</v>
      </c>
      <c r="I549" s="6" t="s">
        <v>153</v>
      </c>
      <c r="J549" s="6" t="s">
        <v>57</v>
      </c>
      <c r="K549" s="6" t="s">
        <v>66</v>
      </c>
      <c r="L549" s="6">
        <v>36</v>
      </c>
      <c r="M549" s="7">
        <v>4490</v>
      </c>
      <c r="N549" s="8">
        <v>0.18</v>
      </c>
      <c r="O549" s="9">
        <v>2950</v>
      </c>
    </row>
    <row r="550" spans="1:15" ht="18" x14ac:dyDescent="0.35">
      <c r="A550" s="4" t="s">
        <v>657</v>
      </c>
      <c r="B550" s="5">
        <v>45569</v>
      </c>
      <c r="C550" s="6" t="s">
        <v>82</v>
      </c>
      <c r="D550" s="6" t="s">
        <v>100</v>
      </c>
      <c r="E550" s="6" t="s">
        <v>50</v>
      </c>
      <c r="F550" s="6" t="s">
        <v>39</v>
      </c>
      <c r="G550" s="6" t="s">
        <v>30</v>
      </c>
      <c r="H550" s="6" t="s">
        <v>31</v>
      </c>
      <c r="I550" s="6" t="s">
        <v>106</v>
      </c>
      <c r="J550" s="6" t="s">
        <v>33</v>
      </c>
      <c r="K550" s="6" t="s">
        <v>66</v>
      </c>
      <c r="L550" s="6">
        <v>12</v>
      </c>
      <c r="M550" s="7">
        <v>52990</v>
      </c>
      <c r="N550" s="8">
        <v>0.15</v>
      </c>
      <c r="O550" s="9">
        <v>35100</v>
      </c>
    </row>
    <row r="551" spans="1:15" ht="18" x14ac:dyDescent="0.35">
      <c r="A551" s="4" t="s">
        <v>658</v>
      </c>
      <c r="B551" s="5">
        <v>45569</v>
      </c>
      <c r="C551" s="6" t="s">
        <v>36</v>
      </c>
      <c r="D551" s="6" t="s">
        <v>121</v>
      </c>
      <c r="E551" s="6" t="s">
        <v>69</v>
      </c>
      <c r="F551" s="6" t="s">
        <v>29</v>
      </c>
      <c r="G551" s="6" t="s">
        <v>70</v>
      </c>
      <c r="H551" s="6" t="s">
        <v>71</v>
      </c>
      <c r="I551" s="6" t="s">
        <v>72</v>
      </c>
      <c r="J551" s="6" t="s">
        <v>57</v>
      </c>
      <c r="K551" s="6" t="s">
        <v>78</v>
      </c>
      <c r="L551" s="6">
        <v>22</v>
      </c>
      <c r="M551" s="7">
        <v>3499</v>
      </c>
      <c r="N551" s="8">
        <v>0.12</v>
      </c>
      <c r="O551" s="9">
        <v>2190</v>
      </c>
    </row>
    <row r="552" spans="1:15" ht="18" x14ac:dyDescent="0.35">
      <c r="A552" s="4" t="s">
        <v>659</v>
      </c>
      <c r="B552" s="5">
        <v>45571</v>
      </c>
      <c r="C552" s="6" t="s">
        <v>36</v>
      </c>
      <c r="D552" s="6" t="s">
        <v>121</v>
      </c>
      <c r="E552" s="6" t="s">
        <v>38</v>
      </c>
      <c r="F552" s="6" t="s">
        <v>19</v>
      </c>
      <c r="G552" s="6" t="s">
        <v>20</v>
      </c>
      <c r="H552" s="6" t="s">
        <v>45</v>
      </c>
      <c r="I552" s="6" t="s">
        <v>103</v>
      </c>
      <c r="J552" s="6" t="s">
        <v>33</v>
      </c>
      <c r="K552" s="6" t="s">
        <v>34</v>
      </c>
      <c r="L552" s="6">
        <v>35</v>
      </c>
      <c r="M552" s="7">
        <v>1599</v>
      </c>
      <c r="N552" s="8">
        <v>0.1</v>
      </c>
      <c r="O552" s="9">
        <v>920</v>
      </c>
    </row>
    <row r="553" spans="1:15" ht="18" x14ac:dyDescent="0.35">
      <c r="A553" s="4" t="s">
        <v>660</v>
      </c>
      <c r="B553" s="5">
        <v>45571</v>
      </c>
      <c r="C553" s="6" t="s">
        <v>16</v>
      </c>
      <c r="D553" s="6" t="s">
        <v>111</v>
      </c>
      <c r="E553" s="6" t="s">
        <v>28</v>
      </c>
      <c r="F553" s="6" t="s">
        <v>39</v>
      </c>
      <c r="G553" s="6" t="s">
        <v>20</v>
      </c>
      <c r="H553" s="6" t="s">
        <v>45</v>
      </c>
      <c r="I553" s="6" t="s">
        <v>46</v>
      </c>
      <c r="J553" s="6" t="s">
        <v>23</v>
      </c>
      <c r="K553" s="6" t="s">
        <v>24</v>
      </c>
      <c r="L553" s="6">
        <v>11</v>
      </c>
      <c r="M553" s="7">
        <v>1899</v>
      </c>
      <c r="N553" s="8">
        <v>0.08</v>
      </c>
      <c r="O553" s="9">
        <v>1080</v>
      </c>
    </row>
    <row r="554" spans="1:15" ht="18" x14ac:dyDescent="0.35">
      <c r="A554" s="4" t="s">
        <v>661</v>
      </c>
      <c r="B554" s="5">
        <v>45573</v>
      </c>
      <c r="C554" s="6" t="s">
        <v>16</v>
      </c>
      <c r="D554" s="6" t="s">
        <v>126</v>
      </c>
      <c r="E554" s="6" t="s">
        <v>38</v>
      </c>
      <c r="F554" s="6" t="s">
        <v>29</v>
      </c>
      <c r="G554" s="6" t="s">
        <v>30</v>
      </c>
      <c r="H554" s="6" t="s">
        <v>31</v>
      </c>
      <c r="I554" s="6" t="s">
        <v>85</v>
      </c>
      <c r="J554" s="6" t="s">
        <v>33</v>
      </c>
      <c r="K554" s="6" t="s">
        <v>34</v>
      </c>
      <c r="L554" s="6">
        <v>29</v>
      </c>
      <c r="M554" s="7">
        <v>43500</v>
      </c>
      <c r="N554" s="8">
        <v>0.15</v>
      </c>
      <c r="O554" s="9">
        <v>29520</v>
      </c>
    </row>
    <row r="555" spans="1:15" ht="18" x14ac:dyDescent="0.35">
      <c r="A555" s="4" t="s">
        <v>662</v>
      </c>
      <c r="B555" s="5">
        <v>45573</v>
      </c>
      <c r="C555" s="6" t="s">
        <v>48</v>
      </c>
      <c r="D555" s="6" t="s">
        <v>136</v>
      </c>
      <c r="E555" s="6" t="s">
        <v>28</v>
      </c>
      <c r="F555" s="6" t="s">
        <v>39</v>
      </c>
      <c r="G555" s="6" t="s">
        <v>54</v>
      </c>
      <c r="H555" s="6" t="s">
        <v>55</v>
      </c>
      <c r="I555" s="6" t="s">
        <v>148</v>
      </c>
      <c r="J555" s="6" t="s">
        <v>23</v>
      </c>
      <c r="K555" s="6" t="s">
        <v>34</v>
      </c>
      <c r="L555" s="6">
        <v>22</v>
      </c>
      <c r="M555" s="7">
        <v>4680</v>
      </c>
      <c r="N555" s="8">
        <v>0.2</v>
      </c>
      <c r="O555" s="9">
        <v>3250</v>
      </c>
    </row>
    <row r="556" spans="1:15" ht="18" x14ac:dyDescent="0.35">
      <c r="A556" s="4" t="s">
        <v>663</v>
      </c>
      <c r="B556" s="5">
        <v>45573</v>
      </c>
      <c r="C556" s="6" t="s">
        <v>26</v>
      </c>
      <c r="D556" s="6" t="s">
        <v>163</v>
      </c>
      <c r="E556" s="6" t="s">
        <v>69</v>
      </c>
      <c r="F556" s="6" t="s">
        <v>19</v>
      </c>
      <c r="G556" s="6" t="s">
        <v>70</v>
      </c>
      <c r="H556" s="6" t="s">
        <v>71</v>
      </c>
      <c r="I556" s="6" t="s">
        <v>88</v>
      </c>
      <c r="J556" s="6" t="s">
        <v>33</v>
      </c>
      <c r="K556" s="6" t="s">
        <v>66</v>
      </c>
      <c r="L556" s="6">
        <v>5</v>
      </c>
      <c r="M556" s="7">
        <v>999</v>
      </c>
      <c r="N556" s="8">
        <v>0.05</v>
      </c>
      <c r="O556" s="9">
        <v>540</v>
      </c>
    </row>
    <row r="557" spans="1:15" ht="18" x14ac:dyDescent="0.35">
      <c r="A557" s="4" t="s">
        <v>664</v>
      </c>
      <c r="B557" s="5">
        <v>45574</v>
      </c>
      <c r="C557" s="6" t="s">
        <v>48</v>
      </c>
      <c r="D557" s="6" t="s">
        <v>49</v>
      </c>
      <c r="E557" s="6" t="s">
        <v>18</v>
      </c>
      <c r="F557" s="6" t="s">
        <v>39</v>
      </c>
      <c r="G557" s="6" t="s">
        <v>54</v>
      </c>
      <c r="H557" s="6" t="s">
        <v>90</v>
      </c>
      <c r="I557" s="6" t="s">
        <v>91</v>
      </c>
      <c r="J557" s="6" t="s">
        <v>33</v>
      </c>
      <c r="K557" s="6" t="s">
        <v>24</v>
      </c>
      <c r="L557" s="6">
        <v>16</v>
      </c>
      <c r="M557" s="7">
        <v>31990</v>
      </c>
      <c r="N557" s="8">
        <v>0.08</v>
      </c>
      <c r="O557" s="9">
        <v>21800</v>
      </c>
    </row>
    <row r="558" spans="1:15" ht="18" x14ac:dyDescent="0.35">
      <c r="A558" s="4" t="s">
        <v>665</v>
      </c>
      <c r="B558" s="5">
        <v>45574</v>
      </c>
      <c r="C558" s="6" t="s">
        <v>16</v>
      </c>
      <c r="D558" s="6" t="s">
        <v>111</v>
      </c>
      <c r="E558" s="6" t="s">
        <v>50</v>
      </c>
      <c r="F558" s="6" t="s">
        <v>39</v>
      </c>
      <c r="G558" s="6" t="s">
        <v>20</v>
      </c>
      <c r="H558" s="6" t="s">
        <v>21</v>
      </c>
      <c r="I558" s="6" t="s">
        <v>51</v>
      </c>
      <c r="J558" s="6" t="s">
        <v>23</v>
      </c>
      <c r="K558" s="6" t="s">
        <v>34</v>
      </c>
      <c r="L558" s="6">
        <v>23</v>
      </c>
      <c r="M558" s="7">
        <v>5999</v>
      </c>
      <c r="N558" s="8">
        <v>0.1</v>
      </c>
      <c r="O558" s="9">
        <v>3890</v>
      </c>
    </row>
    <row r="559" spans="1:15" ht="18" x14ac:dyDescent="0.35">
      <c r="A559" s="4" t="s">
        <v>666</v>
      </c>
      <c r="B559" s="5">
        <v>45574</v>
      </c>
      <c r="C559" s="6" t="s">
        <v>26</v>
      </c>
      <c r="D559" s="6" t="s">
        <v>163</v>
      </c>
      <c r="E559" s="6" t="s">
        <v>105</v>
      </c>
      <c r="F559" s="6" t="s">
        <v>29</v>
      </c>
      <c r="G559" s="6" t="s">
        <v>30</v>
      </c>
      <c r="H559" s="6" t="s">
        <v>31</v>
      </c>
      <c r="I559" s="6" t="s">
        <v>32</v>
      </c>
      <c r="J559" s="6" t="s">
        <v>57</v>
      </c>
      <c r="K559" s="6" t="s">
        <v>24</v>
      </c>
      <c r="L559" s="6">
        <v>20</v>
      </c>
      <c r="M559" s="7">
        <v>38990</v>
      </c>
      <c r="N559" s="8">
        <v>0.12</v>
      </c>
      <c r="O559" s="9">
        <v>25400</v>
      </c>
    </row>
    <row r="560" spans="1:15" ht="18" x14ac:dyDescent="0.35">
      <c r="A560" s="4" t="s">
        <v>667</v>
      </c>
      <c r="B560" s="5">
        <v>45574</v>
      </c>
      <c r="C560" s="6" t="s">
        <v>16</v>
      </c>
      <c r="D560" s="6" t="s">
        <v>17</v>
      </c>
      <c r="E560" s="6" t="s">
        <v>60</v>
      </c>
      <c r="F560" s="6" t="s">
        <v>39</v>
      </c>
      <c r="G560" s="6" t="s">
        <v>30</v>
      </c>
      <c r="H560" s="6" t="s">
        <v>61</v>
      </c>
      <c r="I560" s="6" t="s">
        <v>62</v>
      </c>
      <c r="J560" s="6" t="s">
        <v>57</v>
      </c>
      <c r="K560" s="6" t="s">
        <v>24</v>
      </c>
      <c r="L560" s="6">
        <v>37</v>
      </c>
      <c r="M560" s="7">
        <v>12490</v>
      </c>
      <c r="N560" s="8">
        <v>0.05</v>
      </c>
      <c r="O560" s="9">
        <v>7900</v>
      </c>
    </row>
    <row r="561" spans="1:15" ht="18" x14ac:dyDescent="0.35">
      <c r="A561" s="4" t="s">
        <v>668</v>
      </c>
      <c r="B561" s="5">
        <v>45575</v>
      </c>
      <c r="C561" s="6" t="s">
        <v>48</v>
      </c>
      <c r="D561" s="6" t="s">
        <v>136</v>
      </c>
      <c r="E561" s="6" t="s">
        <v>50</v>
      </c>
      <c r="F561" s="6" t="s">
        <v>29</v>
      </c>
      <c r="G561" s="6" t="s">
        <v>40</v>
      </c>
      <c r="H561" s="6" t="s">
        <v>76</v>
      </c>
      <c r="I561" s="6" t="s">
        <v>139</v>
      </c>
      <c r="J561" s="6" t="s">
        <v>33</v>
      </c>
      <c r="K561" s="6" t="s">
        <v>78</v>
      </c>
      <c r="L561" s="6">
        <v>14</v>
      </c>
      <c r="M561" s="7">
        <v>25999</v>
      </c>
      <c r="N561" s="8">
        <v>0.05</v>
      </c>
      <c r="O561" s="9">
        <v>17800</v>
      </c>
    </row>
    <row r="562" spans="1:15" ht="18" x14ac:dyDescent="0.35">
      <c r="A562" s="4" t="s">
        <v>669</v>
      </c>
      <c r="B562" s="5">
        <v>45575</v>
      </c>
      <c r="C562" s="6" t="s">
        <v>36</v>
      </c>
      <c r="D562" s="6" t="s">
        <v>37</v>
      </c>
      <c r="E562" s="6" t="s">
        <v>101</v>
      </c>
      <c r="F562" s="6" t="s">
        <v>29</v>
      </c>
      <c r="G562" s="6" t="s">
        <v>30</v>
      </c>
      <c r="H562" s="6" t="s">
        <v>61</v>
      </c>
      <c r="I562" s="6" t="s">
        <v>186</v>
      </c>
      <c r="J562" s="6" t="s">
        <v>23</v>
      </c>
      <c r="K562" s="6" t="s">
        <v>66</v>
      </c>
      <c r="L562" s="6">
        <v>22</v>
      </c>
      <c r="M562" s="7">
        <v>6999</v>
      </c>
      <c r="N562" s="8">
        <v>0.05</v>
      </c>
      <c r="O562" s="9">
        <v>4320</v>
      </c>
    </row>
    <row r="563" spans="1:15" ht="18" x14ac:dyDescent="0.35">
      <c r="A563" s="4" t="s">
        <v>670</v>
      </c>
      <c r="B563" s="5">
        <v>45576</v>
      </c>
      <c r="C563" s="6" t="s">
        <v>26</v>
      </c>
      <c r="D563" s="6" t="s">
        <v>74</v>
      </c>
      <c r="E563" s="6" t="s">
        <v>69</v>
      </c>
      <c r="F563" s="6" t="s">
        <v>19</v>
      </c>
      <c r="G563" s="6" t="s">
        <v>70</v>
      </c>
      <c r="H563" s="6" t="s">
        <v>71</v>
      </c>
      <c r="I563" s="6" t="s">
        <v>88</v>
      </c>
      <c r="J563" s="6" t="s">
        <v>33</v>
      </c>
      <c r="K563" s="6" t="s">
        <v>34</v>
      </c>
      <c r="L563" s="6">
        <v>9</v>
      </c>
      <c r="M563" s="7">
        <v>999</v>
      </c>
      <c r="N563" s="8">
        <v>0.08</v>
      </c>
      <c r="O563" s="9">
        <v>540</v>
      </c>
    </row>
    <row r="564" spans="1:15" ht="18" x14ac:dyDescent="0.35">
      <c r="A564" s="4" t="s">
        <v>671</v>
      </c>
      <c r="B564" s="5">
        <v>45576</v>
      </c>
      <c r="C564" s="6" t="s">
        <v>16</v>
      </c>
      <c r="D564" s="6" t="s">
        <v>98</v>
      </c>
      <c r="E564" s="6" t="s">
        <v>50</v>
      </c>
      <c r="F564" s="6" t="s">
        <v>19</v>
      </c>
      <c r="G564" s="6" t="s">
        <v>40</v>
      </c>
      <c r="H564" s="6" t="s">
        <v>41</v>
      </c>
      <c r="I564" s="6" t="s">
        <v>42</v>
      </c>
      <c r="J564" s="6" t="s">
        <v>23</v>
      </c>
      <c r="K564" s="6" t="s">
        <v>24</v>
      </c>
      <c r="L564" s="6">
        <v>27</v>
      </c>
      <c r="M564" s="7">
        <v>55230</v>
      </c>
      <c r="N564" s="8">
        <v>0.08</v>
      </c>
      <c r="O564" s="9">
        <v>33800</v>
      </c>
    </row>
    <row r="565" spans="1:15" ht="18" x14ac:dyDescent="0.35">
      <c r="A565" s="4" t="s">
        <v>672</v>
      </c>
      <c r="B565" s="5">
        <v>45577</v>
      </c>
      <c r="C565" s="6" t="s">
        <v>36</v>
      </c>
      <c r="D565" s="6" t="s">
        <v>37</v>
      </c>
      <c r="E565" s="6" t="s">
        <v>69</v>
      </c>
      <c r="F565" s="6" t="s">
        <v>39</v>
      </c>
      <c r="G565" s="6" t="s">
        <v>54</v>
      </c>
      <c r="H565" s="6" t="s">
        <v>90</v>
      </c>
      <c r="I565" s="6" t="s">
        <v>258</v>
      </c>
      <c r="J565" s="6" t="s">
        <v>23</v>
      </c>
      <c r="K565" s="6" t="s">
        <v>66</v>
      </c>
      <c r="L565" s="6">
        <v>25</v>
      </c>
      <c r="M565" s="7">
        <v>29010</v>
      </c>
      <c r="N565" s="8">
        <v>0.08</v>
      </c>
      <c r="O565" s="9">
        <v>19150</v>
      </c>
    </row>
    <row r="566" spans="1:15" ht="18" x14ac:dyDescent="0.35">
      <c r="A566" s="4" t="s">
        <v>673</v>
      </c>
      <c r="B566" s="5">
        <v>45577</v>
      </c>
      <c r="C566" s="6" t="s">
        <v>36</v>
      </c>
      <c r="D566" s="6" t="s">
        <v>44</v>
      </c>
      <c r="E566" s="6" t="s">
        <v>18</v>
      </c>
      <c r="F566" s="6" t="s">
        <v>29</v>
      </c>
      <c r="G566" s="6" t="s">
        <v>70</v>
      </c>
      <c r="H566" s="6" t="s">
        <v>71</v>
      </c>
      <c r="I566" s="6" t="s">
        <v>88</v>
      </c>
      <c r="J566" s="6" t="s">
        <v>23</v>
      </c>
      <c r="K566" s="6" t="s">
        <v>24</v>
      </c>
      <c r="L566" s="6">
        <v>36</v>
      </c>
      <c r="M566" s="7">
        <v>999</v>
      </c>
      <c r="N566" s="8">
        <v>0.18</v>
      </c>
      <c r="O566" s="9">
        <v>540</v>
      </c>
    </row>
    <row r="567" spans="1:15" ht="18" x14ac:dyDescent="0.35">
      <c r="A567" s="4" t="s">
        <v>674</v>
      </c>
      <c r="B567" s="5">
        <v>45577</v>
      </c>
      <c r="C567" s="6" t="s">
        <v>82</v>
      </c>
      <c r="D567" s="6" t="s">
        <v>183</v>
      </c>
      <c r="E567" s="6" t="s">
        <v>69</v>
      </c>
      <c r="F567" s="6" t="s">
        <v>19</v>
      </c>
      <c r="G567" s="6" t="s">
        <v>54</v>
      </c>
      <c r="H567" s="6" t="s">
        <v>90</v>
      </c>
      <c r="I567" s="6" t="s">
        <v>258</v>
      </c>
      <c r="J567" s="6" t="s">
        <v>23</v>
      </c>
      <c r="K567" s="6" t="s">
        <v>24</v>
      </c>
      <c r="L567" s="6">
        <v>2</v>
      </c>
      <c r="M567" s="7">
        <v>29010</v>
      </c>
      <c r="N567" s="8">
        <v>0.05</v>
      </c>
      <c r="O567" s="9">
        <v>19150</v>
      </c>
    </row>
    <row r="568" spans="1:15" ht="18" x14ac:dyDescent="0.35">
      <c r="A568" s="4" t="s">
        <v>675</v>
      </c>
      <c r="B568" s="5">
        <v>45578</v>
      </c>
      <c r="C568" s="6" t="s">
        <v>36</v>
      </c>
      <c r="D568" s="6" t="s">
        <v>37</v>
      </c>
      <c r="E568" s="6" t="s">
        <v>75</v>
      </c>
      <c r="F568" s="6" t="s">
        <v>19</v>
      </c>
      <c r="G568" s="6" t="s">
        <v>70</v>
      </c>
      <c r="H568" s="6" t="s">
        <v>71</v>
      </c>
      <c r="I568" s="6" t="s">
        <v>72</v>
      </c>
      <c r="J568" s="6" t="s">
        <v>57</v>
      </c>
      <c r="K568" s="6" t="s">
        <v>66</v>
      </c>
      <c r="L568" s="6">
        <v>24</v>
      </c>
      <c r="M568" s="7">
        <v>3499</v>
      </c>
      <c r="N568" s="8">
        <v>0.08</v>
      </c>
      <c r="O568" s="9">
        <v>2190</v>
      </c>
    </row>
    <row r="569" spans="1:15" ht="18" x14ac:dyDescent="0.35">
      <c r="A569" s="4" t="s">
        <v>676</v>
      </c>
      <c r="B569" s="5">
        <v>45581</v>
      </c>
      <c r="C569" s="6" t="s">
        <v>16</v>
      </c>
      <c r="D569" s="6" t="s">
        <v>98</v>
      </c>
      <c r="E569" s="6" t="s">
        <v>18</v>
      </c>
      <c r="F569" s="6" t="s">
        <v>39</v>
      </c>
      <c r="G569" s="6" t="s">
        <v>54</v>
      </c>
      <c r="H569" s="6" t="s">
        <v>129</v>
      </c>
      <c r="I569" s="6" t="s">
        <v>192</v>
      </c>
      <c r="J569" s="6" t="s">
        <v>57</v>
      </c>
      <c r="K569" s="6" t="s">
        <v>24</v>
      </c>
      <c r="L569" s="6">
        <v>12</v>
      </c>
      <c r="M569" s="7">
        <v>29010</v>
      </c>
      <c r="N569" s="8">
        <v>0.15</v>
      </c>
      <c r="O569" s="9">
        <v>19100</v>
      </c>
    </row>
    <row r="570" spans="1:15" ht="18" x14ac:dyDescent="0.35">
      <c r="A570" s="4" t="s">
        <v>677</v>
      </c>
      <c r="B570" s="5">
        <v>45582</v>
      </c>
      <c r="C570" s="6" t="s">
        <v>82</v>
      </c>
      <c r="D570" s="6" t="s">
        <v>87</v>
      </c>
      <c r="E570" s="6" t="s">
        <v>69</v>
      </c>
      <c r="F570" s="6" t="s">
        <v>19</v>
      </c>
      <c r="G570" s="6" t="s">
        <v>30</v>
      </c>
      <c r="H570" s="6" t="s">
        <v>61</v>
      </c>
      <c r="I570" s="6" t="s">
        <v>186</v>
      </c>
      <c r="J570" s="6" t="s">
        <v>57</v>
      </c>
      <c r="K570" s="6" t="s">
        <v>66</v>
      </c>
      <c r="L570" s="6">
        <v>21</v>
      </c>
      <c r="M570" s="7">
        <v>6999</v>
      </c>
      <c r="N570" s="8">
        <v>0.2</v>
      </c>
      <c r="O570" s="9">
        <v>4320</v>
      </c>
    </row>
    <row r="571" spans="1:15" ht="18" x14ac:dyDescent="0.35">
      <c r="A571" s="4" t="s">
        <v>678</v>
      </c>
      <c r="B571" s="5">
        <v>45582</v>
      </c>
      <c r="C571" s="6" t="s">
        <v>36</v>
      </c>
      <c r="D571" s="6" t="s">
        <v>121</v>
      </c>
      <c r="E571" s="6" t="s">
        <v>60</v>
      </c>
      <c r="F571" s="6" t="s">
        <v>29</v>
      </c>
      <c r="G571" s="6" t="s">
        <v>54</v>
      </c>
      <c r="H571" s="6" t="s">
        <v>129</v>
      </c>
      <c r="I571" s="6" t="s">
        <v>145</v>
      </c>
      <c r="J571" s="6" t="s">
        <v>33</v>
      </c>
      <c r="K571" s="6" t="s">
        <v>24</v>
      </c>
      <c r="L571" s="6">
        <v>12</v>
      </c>
      <c r="M571" s="7">
        <v>31490</v>
      </c>
      <c r="N571" s="8">
        <v>0.18</v>
      </c>
      <c r="O571" s="9">
        <v>21300</v>
      </c>
    </row>
    <row r="572" spans="1:15" ht="18" x14ac:dyDescent="0.35">
      <c r="A572" s="4" t="s">
        <v>679</v>
      </c>
      <c r="B572" s="5">
        <v>45582</v>
      </c>
      <c r="C572" s="6" t="s">
        <v>26</v>
      </c>
      <c r="D572" s="6" t="s">
        <v>74</v>
      </c>
      <c r="E572" s="6" t="s">
        <v>69</v>
      </c>
      <c r="F572" s="6" t="s">
        <v>19</v>
      </c>
      <c r="G572" s="6" t="s">
        <v>40</v>
      </c>
      <c r="H572" s="6" t="s">
        <v>64</v>
      </c>
      <c r="I572" s="6" t="s">
        <v>65</v>
      </c>
      <c r="J572" s="6" t="s">
        <v>33</v>
      </c>
      <c r="K572" s="6" t="s">
        <v>34</v>
      </c>
      <c r="L572" s="6">
        <v>31</v>
      </c>
      <c r="M572" s="7">
        <v>1930</v>
      </c>
      <c r="N572" s="8">
        <v>0.05</v>
      </c>
      <c r="O572" s="9">
        <v>1120</v>
      </c>
    </row>
    <row r="573" spans="1:15" ht="18" x14ac:dyDescent="0.35">
      <c r="A573" s="4" t="s">
        <v>680</v>
      </c>
      <c r="B573" s="5">
        <v>45583</v>
      </c>
      <c r="C573" s="6" t="s">
        <v>48</v>
      </c>
      <c r="D573" s="6" t="s">
        <v>49</v>
      </c>
      <c r="E573" s="6" t="s">
        <v>69</v>
      </c>
      <c r="F573" s="6" t="s">
        <v>29</v>
      </c>
      <c r="G573" s="6" t="s">
        <v>30</v>
      </c>
      <c r="H573" s="6" t="s">
        <v>31</v>
      </c>
      <c r="I573" s="6" t="s">
        <v>32</v>
      </c>
      <c r="J573" s="6" t="s">
        <v>57</v>
      </c>
      <c r="K573" s="6" t="s">
        <v>24</v>
      </c>
      <c r="L573" s="6">
        <v>26</v>
      </c>
      <c r="M573" s="7">
        <v>38990</v>
      </c>
      <c r="N573" s="8">
        <v>0.05</v>
      </c>
      <c r="O573" s="9">
        <v>25400</v>
      </c>
    </row>
    <row r="574" spans="1:15" ht="18" x14ac:dyDescent="0.35">
      <c r="A574" s="4" t="s">
        <v>681</v>
      </c>
      <c r="B574" s="5">
        <v>45584</v>
      </c>
      <c r="C574" s="6" t="s">
        <v>48</v>
      </c>
      <c r="D574" s="6" t="s">
        <v>49</v>
      </c>
      <c r="E574" s="6" t="s">
        <v>50</v>
      </c>
      <c r="F574" s="6" t="s">
        <v>39</v>
      </c>
      <c r="G574" s="6" t="s">
        <v>70</v>
      </c>
      <c r="H574" s="6" t="s">
        <v>71</v>
      </c>
      <c r="I574" s="6" t="s">
        <v>72</v>
      </c>
      <c r="J574" s="6" t="s">
        <v>23</v>
      </c>
      <c r="K574" s="6" t="s">
        <v>78</v>
      </c>
      <c r="L574" s="6">
        <v>3</v>
      </c>
      <c r="M574" s="7">
        <v>3499</v>
      </c>
      <c r="N574" s="8">
        <v>0.12</v>
      </c>
      <c r="O574" s="9">
        <v>2190</v>
      </c>
    </row>
    <row r="575" spans="1:15" ht="18" x14ac:dyDescent="0.35">
      <c r="A575" s="4" t="s">
        <v>682</v>
      </c>
      <c r="B575" s="5">
        <v>45584</v>
      </c>
      <c r="C575" s="6" t="s">
        <v>36</v>
      </c>
      <c r="D575" s="6" t="s">
        <v>59</v>
      </c>
      <c r="E575" s="6" t="s">
        <v>69</v>
      </c>
      <c r="F575" s="6" t="s">
        <v>29</v>
      </c>
      <c r="G575" s="6" t="s">
        <v>30</v>
      </c>
      <c r="H575" s="6" t="s">
        <v>31</v>
      </c>
      <c r="I575" s="6" t="s">
        <v>32</v>
      </c>
      <c r="J575" s="6" t="s">
        <v>33</v>
      </c>
      <c r="K575" s="6" t="s">
        <v>66</v>
      </c>
      <c r="L575" s="6">
        <v>36</v>
      </c>
      <c r="M575" s="7">
        <v>38990</v>
      </c>
      <c r="N575" s="8">
        <v>0.08</v>
      </c>
      <c r="O575" s="9">
        <v>25400</v>
      </c>
    </row>
    <row r="576" spans="1:15" ht="18" x14ac:dyDescent="0.35">
      <c r="A576" s="4" t="s">
        <v>683</v>
      </c>
      <c r="B576" s="5">
        <v>45584</v>
      </c>
      <c r="C576" s="6" t="s">
        <v>36</v>
      </c>
      <c r="D576" s="6" t="s">
        <v>121</v>
      </c>
      <c r="E576" s="6" t="s">
        <v>28</v>
      </c>
      <c r="F576" s="6" t="s">
        <v>19</v>
      </c>
      <c r="G576" s="6" t="s">
        <v>40</v>
      </c>
      <c r="H576" s="6" t="s">
        <v>76</v>
      </c>
      <c r="I576" s="6" t="s">
        <v>77</v>
      </c>
      <c r="J576" s="6" t="s">
        <v>33</v>
      </c>
      <c r="K576" s="6" t="s">
        <v>78</v>
      </c>
      <c r="L576" s="6">
        <v>37</v>
      </c>
      <c r="M576" s="7">
        <v>52990</v>
      </c>
      <c r="N576" s="8">
        <v>0.15</v>
      </c>
      <c r="O576" s="9">
        <v>39500</v>
      </c>
    </row>
    <row r="577" spans="1:15" ht="18" x14ac:dyDescent="0.35">
      <c r="A577" s="4" t="s">
        <v>684</v>
      </c>
      <c r="B577" s="5">
        <v>45584</v>
      </c>
      <c r="C577" s="6" t="s">
        <v>48</v>
      </c>
      <c r="D577" s="6" t="s">
        <v>93</v>
      </c>
      <c r="E577" s="6" t="s">
        <v>101</v>
      </c>
      <c r="F577" s="6" t="s">
        <v>19</v>
      </c>
      <c r="G577" s="6" t="s">
        <v>20</v>
      </c>
      <c r="H577" s="6" t="s">
        <v>45</v>
      </c>
      <c r="I577" s="6" t="s">
        <v>103</v>
      </c>
      <c r="J577" s="6" t="s">
        <v>23</v>
      </c>
      <c r="K577" s="6" t="s">
        <v>24</v>
      </c>
      <c r="L577" s="6">
        <v>38</v>
      </c>
      <c r="M577" s="7">
        <v>1599</v>
      </c>
      <c r="N577" s="8">
        <v>0.18</v>
      </c>
      <c r="O577" s="9">
        <v>920</v>
      </c>
    </row>
    <row r="578" spans="1:15" ht="18" x14ac:dyDescent="0.35">
      <c r="A578" s="4" t="s">
        <v>685</v>
      </c>
      <c r="B578" s="5">
        <v>45584</v>
      </c>
      <c r="C578" s="6" t="s">
        <v>48</v>
      </c>
      <c r="D578" s="6" t="s">
        <v>49</v>
      </c>
      <c r="E578" s="6" t="s">
        <v>60</v>
      </c>
      <c r="F578" s="6" t="s">
        <v>29</v>
      </c>
      <c r="G578" s="6" t="s">
        <v>40</v>
      </c>
      <c r="H578" s="6" t="s">
        <v>41</v>
      </c>
      <c r="I578" s="6" t="s">
        <v>156</v>
      </c>
      <c r="J578" s="6" t="s">
        <v>57</v>
      </c>
      <c r="K578" s="6" t="s">
        <v>24</v>
      </c>
      <c r="L578" s="6">
        <v>7</v>
      </c>
      <c r="M578" s="7">
        <v>48500</v>
      </c>
      <c r="N578" s="8">
        <v>0.05</v>
      </c>
      <c r="O578" s="9">
        <v>30200</v>
      </c>
    </row>
    <row r="579" spans="1:15" ht="18" x14ac:dyDescent="0.35">
      <c r="A579" s="4" t="s">
        <v>686</v>
      </c>
      <c r="B579" s="5">
        <v>45584</v>
      </c>
      <c r="C579" s="6" t="s">
        <v>16</v>
      </c>
      <c r="D579" s="6" t="s">
        <v>17</v>
      </c>
      <c r="E579" s="6" t="s">
        <v>18</v>
      </c>
      <c r="F579" s="6" t="s">
        <v>19</v>
      </c>
      <c r="G579" s="6" t="s">
        <v>40</v>
      </c>
      <c r="H579" s="6" t="s">
        <v>64</v>
      </c>
      <c r="I579" s="6" t="s">
        <v>159</v>
      </c>
      <c r="J579" s="6" t="s">
        <v>23</v>
      </c>
      <c r="K579" s="6" t="s">
        <v>78</v>
      </c>
      <c r="L579" s="6">
        <v>36</v>
      </c>
      <c r="M579" s="7">
        <v>3299</v>
      </c>
      <c r="N579" s="8">
        <v>0.15</v>
      </c>
      <c r="O579" s="9">
        <v>2050</v>
      </c>
    </row>
    <row r="580" spans="1:15" ht="18" x14ac:dyDescent="0.35">
      <c r="A580" s="4" t="s">
        <v>687</v>
      </c>
      <c r="B580" s="5">
        <v>45585</v>
      </c>
      <c r="C580" s="6" t="s">
        <v>82</v>
      </c>
      <c r="D580" s="6" t="s">
        <v>183</v>
      </c>
      <c r="E580" s="6" t="s">
        <v>101</v>
      </c>
      <c r="F580" s="6" t="s">
        <v>19</v>
      </c>
      <c r="G580" s="6" t="s">
        <v>54</v>
      </c>
      <c r="H580" s="6" t="s">
        <v>90</v>
      </c>
      <c r="I580" s="6" t="s">
        <v>258</v>
      </c>
      <c r="J580" s="6" t="s">
        <v>57</v>
      </c>
      <c r="K580" s="6" t="s">
        <v>24</v>
      </c>
      <c r="L580" s="6">
        <v>38</v>
      </c>
      <c r="M580" s="7">
        <v>29010</v>
      </c>
      <c r="N580" s="8">
        <v>0.18</v>
      </c>
      <c r="O580" s="9">
        <v>19150</v>
      </c>
    </row>
    <row r="581" spans="1:15" ht="18" x14ac:dyDescent="0.35">
      <c r="A581" s="4" t="s">
        <v>688</v>
      </c>
      <c r="B581" s="5">
        <v>45585</v>
      </c>
      <c r="C581" s="6" t="s">
        <v>26</v>
      </c>
      <c r="D581" s="6" t="s">
        <v>53</v>
      </c>
      <c r="E581" s="6" t="s">
        <v>75</v>
      </c>
      <c r="F581" s="6" t="s">
        <v>29</v>
      </c>
      <c r="G581" s="6" t="s">
        <v>30</v>
      </c>
      <c r="H581" s="6" t="s">
        <v>61</v>
      </c>
      <c r="I581" s="6" t="s">
        <v>62</v>
      </c>
      <c r="J581" s="6" t="s">
        <v>23</v>
      </c>
      <c r="K581" s="6" t="s">
        <v>66</v>
      </c>
      <c r="L581" s="6">
        <v>20</v>
      </c>
      <c r="M581" s="7">
        <v>12490</v>
      </c>
      <c r="N581" s="8">
        <v>0.12</v>
      </c>
      <c r="O581" s="9">
        <v>7900</v>
      </c>
    </row>
    <row r="582" spans="1:15" ht="18" x14ac:dyDescent="0.35">
      <c r="A582" s="4" t="s">
        <v>689</v>
      </c>
      <c r="B582" s="5">
        <v>45585</v>
      </c>
      <c r="C582" s="6" t="s">
        <v>26</v>
      </c>
      <c r="D582" s="6" t="s">
        <v>74</v>
      </c>
      <c r="E582" s="6" t="s">
        <v>18</v>
      </c>
      <c r="F582" s="6" t="s">
        <v>39</v>
      </c>
      <c r="G582" s="6" t="s">
        <v>54</v>
      </c>
      <c r="H582" s="6" t="s">
        <v>129</v>
      </c>
      <c r="I582" s="6" t="s">
        <v>145</v>
      </c>
      <c r="J582" s="6" t="s">
        <v>33</v>
      </c>
      <c r="K582" s="6" t="s">
        <v>24</v>
      </c>
      <c r="L582" s="6">
        <v>3</v>
      </c>
      <c r="M582" s="7">
        <v>31490</v>
      </c>
      <c r="N582" s="8">
        <v>0.08</v>
      </c>
      <c r="O582" s="9">
        <v>21300</v>
      </c>
    </row>
    <row r="583" spans="1:15" ht="18" x14ac:dyDescent="0.35">
      <c r="A583" s="4" t="s">
        <v>690</v>
      </c>
      <c r="B583" s="5">
        <v>45586</v>
      </c>
      <c r="C583" s="6" t="s">
        <v>26</v>
      </c>
      <c r="D583" s="6" t="s">
        <v>27</v>
      </c>
      <c r="E583" s="6" t="s">
        <v>84</v>
      </c>
      <c r="F583" s="6" t="s">
        <v>19</v>
      </c>
      <c r="G583" s="6" t="s">
        <v>30</v>
      </c>
      <c r="H583" s="6" t="s">
        <v>61</v>
      </c>
      <c r="I583" s="6" t="s">
        <v>186</v>
      </c>
      <c r="J583" s="6" t="s">
        <v>57</v>
      </c>
      <c r="K583" s="6" t="s">
        <v>24</v>
      </c>
      <c r="L583" s="6">
        <v>40</v>
      </c>
      <c r="M583" s="7">
        <v>6999</v>
      </c>
      <c r="N583" s="8">
        <v>0.15</v>
      </c>
      <c r="O583" s="9">
        <v>4320</v>
      </c>
    </row>
    <row r="584" spans="1:15" ht="18" x14ac:dyDescent="0.35">
      <c r="A584" s="4" t="s">
        <v>691</v>
      </c>
      <c r="B584" s="5">
        <v>45587</v>
      </c>
      <c r="C584" s="6" t="s">
        <v>48</v>
      </c>
      <c r="D584" s="6" t="s">
        <v>49</v>
      </c>
      <c r="E584" s="6" t="s">
        <v>50</v>
      </c>
      <c r="F584" s="6" t="s">
        <v>19</v>
      </c>
      <c r="G584" s="6" t="s">
        <v>30</v>
      </c>
      <c r="H584" s="6" t="s">
        <v>31</v>
      </c>
      <c r="I584" s="6" t="s">
        <v>32</v>
      </c>
      <c r="J584" s="6" t="s">
        <v>23</v>
      </c>
      <c r="K584" s="6" t="s">
        <v>78</v>
      </c>
      <c r="L584" s="6">
        <v>8</v>
      </c>
      <c r="M584" s="7">
        <v>38990</v>
      </c>
      <c r="N584" s="8">
        <v>0.12</v>
      </c>
      <c r="O584" s="9">
        <v>25400</v>
      </c>
    </row>
    <row r="585" spans="1:15" ht="18" x14ac:dyDescent="0.35">
      <c r="A585" s="4" t="s">
        <v>692</v>
      </c>
      <c r="B585" s="5">
        <v>45587</v>
      </c>
      <c r="C585" s="6" t="s">
        <v>36</v>
      </c>
      <c r="D585" s="6" t="s">
        <v>44</v>
      </c>
      <c r="E585" s="6" t="s">
        <v>18</v>
      </c>
      <c r="F585" s="6" t="s">
        <v>19</v>
      </c>
      <c r="G585" s="6" t="s">
        <v>54</v>
      </c>
      <c r="H585" s="6" t="s">
        <v>90</v>
      </c>
      <c r="I585" s="6" t="s">
        <v>258</v>
      </c>
      <c r="J585" s="6" t="s">
        <v>57</v>
      </c>
      <c r="K585" s="6" t="s">
        <v>24</v>
      </c>
      <c r="L585" s="6">
        <v>22</v>
      </c>
      <c r="M585" s="7">
        <v>29010</v>
      </c>
      <c r="N585" s="8">
        <v>0.15</v>
      </c>
      <c r="O585" s="9">
        <v>19150</v>
      </c>
    </row>
    <row r="586" spans="1:15" ht="18" x14ac:dyDescent="0.35">
      <c r="A586" s="4" t="s">
        <v>693</v>
      </c>
      <c r="B586" s="5">
        <v>45587</v>
      </c>
      <c r="C586" s="6" t="s">
        <v>36</v>
      </c>
      <c r="D586" s="6" t="s">
        <v>44</v>
      </c>
      <c r="E586" s="6" t="s">
        <v>38</v>
      </c>
      <c r="F586" s="6" t="s">
        <v>19</v>
      </c>
      <c r="G586" s="6" t="s">
        <v>20</v>
      </c>
      <c r="H586" s="6" t="s">
        <v>45</v>
      </c>
      <c r="I586" s="6" t="s">
        <v>46</v>
      </c>
      <c r="J586" s="6" t="s">
        <v>33</v>
      </c>
      <c r="K586" s="6" t="s">
        <v>34</v>
      </c>
      <c r="L586" s="6">
        <v>39</v>
      </c>
      <c r="M586" s="7">
        <v>1899</v>
      </c>
      <c r="N586" s="8">
        <v>0.05</v>
      </c>
      <c r="O586" s="9">
        <v>1080</v>
      </c>
    </row>
    <row r="587" spans="1:15" ht="18" x14ac:dyDescent="0.35">
      <c r="A587" s="4" t="s">
        <v>694</v>
      </c>
      <c r="B587" s="5">
        <v>45587</v>
      </c>
      <c r="C587" s="6" t="s">
        <v>36</v>
      </c>
      <c r="D587" s="6" t="s">
        <v>121</v>
      </c>
      <c r="E587" s="6" t="s">
        <v>28</v>
      </c>
      <c r="F587" s="6" t="s">
        <v>19</v>
      </c>
      <c r="G587" s="6" t="s">
        <v>20</v>
      </c>
      <c r="H587" s="6" t="s">
        <v>21</v>
      </c>
      <c r="I587" s="6" t="s">
        <v>22</v>
      </c>
      <c r="J587" s="6" t="s">
        <v>57</v>
      </c>
      <c r="K587" s="6" t="s">
        <v>66</v>
      </c>
      <c r="L587" s="6">
        <v>11</v>
      </c>
      <c r="M587" s="7">
        <v>4499</v>
      </c>
      <c r="N587" s="8">
        <v>0.08</v>
      </c>
      <c r="O587" s="9">
        <v>2910</v>
      </c>
    </row>
    <row r="588" spans="1:15" ht="18" x14ac:dyDescent="0.35">
      <c r="A588" s="4" t="s">
        <v>695</v>
      </c>
      <c r="B588" s="5">
        <v>45588</v>
      </c>
      <c r="C588" s="6" t="s">
        <v>26</v>
      </c>
      <c r="D588" s="6" t="s">
        <v>163</v>
      </c>
      <c r="E588" s="6" t="s">
        <v>69</v>
      </c>
      <c r="F588" s="6" t="s">
        <v>39</v>
      </c>
      <c r="G588" s="6" t="s">
        <v>70</v>
      </c>
      <c r="H588" s="6" t="s">
        <v>71</v>
      </c>
      <c r="I588" s="6" t="s">
        <v>80</v>
      </c>
      <c r="J588" s="6" t="s">
        <v>33</v>
      </c>
      <c r="K588" s="6" t="s">
        <v>24</v>
      </c>
      <c r="L588" s="6">
        <v>14</v>
      </c>
      <c r="M588" s="7">
        <v>1299</v>
      </c>
      <c r="N588" s="8">
        <v>0.05</v>
      </c>
      <c r="O588" s="9">
        <v>720</v>
      </c>
    </row>
    <row r="589" spans="1:15" ht="18" x14ac:dyDescent="0.35">
      <c r="A589" s="4" t="s">
        <v>696</v>
      </c>
      <c r="B589" s="5">
        <v>45588</v>
      </c>
      <c r="C589" s="6" t="s">
        <v>48</v>
      </c>
      <c r="D589" s="6" t="s">
        <v>136</v>
      </c>
      <c r="E589" s="6" t="s">
        <v>84</v>
      </c>
      <c r="F589" s="6" t="s">
        <v>39</v>
      </c>
      <c r="G589" s="6" t="s">
        <v>40</v>
      </c>
      <c r="H589" s="6" t="s">
        <v>64</v>
      </c>
      <c r="I589" s="6" t="s">
        <v>65</v>
      </c>
      <c r="J589" s="6" t="s">
        <v>57</v>
      </c>
      <c r="K589" s="6" t="s">
        <v>24</v>
      </c>
      <c r="L589" s="6">
        <v>37</v>
      </c>
      <c r="M589" s="7">
        <v>1930</v>
      </c>
      <c r="N589" s="8">
        <v>0.08</v>
      </c>
      <c r="O589" s="9">
        <v>1120</v>
      </c>
    </row>
    <row r="590" spans="1:15" ht="18" x14ac:dyDescent="0.35">
      <c r="A590" s="4" t="s">
        <v>697</v>
      </c>
      <c r="B590" s="5">
        <v>45588</v>
      </c>
      <c r="C590" s="6" t="s">
        <v>16</v>
      </c>
      <c r="D590" s="6" t="s">
        <v>126</v>
      </c>
      <c r="E590" s="6" t="s">
        <v>75</v>
      </c>
      <c r="F590" s="6" t="s">
        <v>39</v>
      </c>
      <c r="G590" s="6" t="s">
        <v>54</v>
      </c>
      <c r="H590" s="6" t="s">
        <v>129</v>
      </c>
      <c r="I590" s="6" t="s">
        <v>192</v>
      </c>
      <c r="J590" s="6" t="s">
        <v>33</v>
      </c>
      <c r="K590" s="6" t="s">
        <v>24</v>
      </c>
      <c r="L590" s="6">
        <v>36</v>
      </c>
      <c r="M590" s="7">
        <v>29010</v>
      </c>
      <c r="N590" s="8">
        <v>0.15</v>
      </c>
      <c r="O590" s="9">
        <v>19100</v>
      </c>
    </row>
    <row r="591" spans="1:15" ht="18" x14ac:dyDescent="0.35">
      <c r="A591" s="4" t="s">
        <v>698</v>
      </c>
      <c r="B591" s="5">
        <v>45588</v>
      </c>
      <c r="C591" s="6" t="s">
        <v>26</v>
      </c>
      <c r="D591" s="6" t="s">
        <v>74</v>
      </c>
      <c r="E591" s="6" t="s">
        <v>75</v>
      </c>
      <c r="F591" s="6" t="s">
        <v>19</v>
      </c>
      <c r="G591" s="6" t="s">
        <v>54</v>
      </c>
      <c r="H591" s="6" t="s">
        <v>55</v>
      </c>
      <c r="I591" s="6" t="s">
        <v>148</v>
      </c>
      <c r="J591" s="6" t="s">
        <v>33</v>
      </c>
      <c r="K591" s="6" t="s">
        <v>78</v>
      </c>
      <c r="L591" s="6">
        <v>22</v>
      </c>
      <c r="M591" s="7">
        <v>4680</v>
      </c>
      <c r="N591" s="8">
        <v>0.12</v>
      </c>
      <c r="O591" s="9">
        <v>3250</v>
      </c>
    </row>
    <row r="592" spans="1:15" ht="18" x14ac:dyDescent="0.35">
      <c r="A592" s="4" t="s">
        <v>699</v>
      </c>
      <c r="B592" s="5">
        <v>45588</v>
      </c>
      <c r="C592" s="6" t="s">
        <v>16</v>
      </c>
      <c r="D592" s="6" t="s">
        <v>17</v>
      </c>
      <c r="E592" s="6" t="s">
        <v>38</v>
      </c>
      <c r="F592" s="6" t="s">
        <v>39</v>
      </c>
      <c r="G592" s="6" t="s">
        <v>70</v>
      </c>
      <c r="H592" s="6" t="s">
        <v>71</v>
      </c>
      <c r="I592" s="6" t="s">
        <v>88</v>
      </c>
      <c r="J592" s="6" t="s">
        <v>23</v>
      </c>
      <c r="K592" s="6" t="s">
        <v>24</v>
      </c>
      <c r="L592" s="6">
        <v>7</v>
      </c>
      <c r="M592" s="7">
        <v>999</v>
      </c>
      <c r="N592" s="8">
        <v>0.2</v>
      </c>
      <c r="O592" s="9">
        <v>540</v>
      </c>
    </row>
    <row r="593" spans="1:15" ht="18" x14ac:dyDescent="0.35">
      <c r="A593" s="4" t="s">
        <v>700</v>
      </c>
      <c r="B593" s="5">
        <v>45588</v>
      </c>
      <c r="C593" s="6" t="s">
        <v>82</v>
      </c>
      <c r="D593" s="6" t="s">
        <v>83</v>
      </c>
      <c r="E593" s="6" t="s">
        <v>101</v>
      </c>
      <c r="F593" s="6" t="s">
        <v>29</v>
      </c>
      <c r="G593" s="6" t="s">
        <v>30</v>
      </c>
      <c r="H593" s="6" t="s">
        <v>31</v>
      </c>
      <c r="I593" s="6" t="s">
        <v>85</v>
      </c>
      <c r="J593" s="6" t="s">
        <v>23</v>
      </c>
      <c r="K593" s="6" t="s">
        <v>66</v>
      </c>
      <c r="L593" s="6">
        <v>6</v>
      </c>
      <c r="M593" s="7">
        <v>43500</v>
      </c>
      <c r="N593" s="8">
        <v>0.18</v>
      </c>
      <c r="O593" s="9">
        <v>29520</v>
      </c>
    </row>
    <row r="594" spans="1:15" ht="18" x14ac:dyDescent="0.35">
      <c r="A594" s="4" t="s">
        <v>701</v>
      </c>
      <c r="B594" s="5">
        <v>45590</v>
      </c>
      <c r="C594" s="6" t="s">
        <v>26</v>
      </c>
      <c r="D594" s="6" t="s">
        <v>53</v>
      </c>
      <c r="E594" s="6" t="s">
        <v>101</v>
      </c>
      <c r="F594" s="6" t="s">
        <v>29</v>
      </c>
      <c r="G594" s="6" t="s">
        <v>54</v>
      </c>
      <c r="H594" s="6" t="s">
        <v>129</v>
      </c>
      <c r="I594" s="6" t="s">
        <v>130</v>
      </c>
      <c r="J594" s="6" t="s">
        <v>23</v>
      </c>
      <c r="K594" s="6" t="s">
        <v>24</v>
      </c>
      <c r="L594" s="6">
        <v>38</v>
      </c>
      <c r="M594" s="7">
        <v>27890</v>
      </c>
      <c r="N594" s="8">
        <v>0.12</v>
      </c>
      <c r="O594" s="9">
        <v>18800</v>
      </c>
    </row>
    <row r="595" spans="1:15" ht="18" x14ac:dyDescent="0.35">
      <c r="A595" s="4" t="s">
        <v>702</v>
      </c>
      <c r="B595" s="5">
        <v>45590</v>
      </c>
      <c r="C595" s="6" t="s">
        <v>36</v>
      </c>
      <c r="D595" s="6" t="s">
        <v>44</v>
      </c>
      <c r="E595" s="6" t="s">
        <v>50</v>
      </c>
      <c r="F595" s="6" t="s">
        <v>19</v>
      </c>
      <c r="G595" s="6" t="s">
        <v>20</v>
      </c>
      <c r="H595" s="6" t="s">
        <v>21</v>
      </c>
      <c r="I595" s="6" t="s">
        <v>51</v>
      </c>
      <c r="J595" s="6" t="s">
        <v>57</v>
      </c>
      <c r="K595" s="6" t="s">
        <v>66</v>
      </c>
      <c r="L595" s="6">
        <v>8</v>
      </c>
      <c r="M595" s="7">
        <v>5999</v>
      </c>
      <c r="N595" s="8">
        <v>0.12</v>
      </c>
      <c r="O595" s="9">
        <v>3890</v>
      </c>
    </row>
    <row r="596" spans="1:15" ht="18" x14ac:dyDescent="0.35">
      <c r="A596" s="4" t="s">
        <v>703</v>
      </c>
      <c r="B596" s="5">
        <v>45590</v>
      </c>
      <c r="C596" s="6" t="s">
        <v>36</v>
      </c>
      <c r="D596" s="6" t="s">
        <v>59</v>
      </c>
      <c r="E596" s="6" t="s">
        <v>38</v>
      </c>
      <c r="F596" s="6" t="s">
        <v>19</v>
      </c>
      <c r="G596" s="6" t="s">
        <v>70</v>
      </c>
      <c r="H596" s="6" t="s">
        <v>71</v>
      </c>
      <c r="I596" s="6" t="s">
        <v>88</v>
      </c>
      <c r="J596" s="6" t="s">
        <v>23</v>
      </c>
      <c r="K596" s="6" t="s">
        <v>66</v>
      </c>
      <c r="L596" s="6">
        <v>2</v>
      </c>
      <c r="M596" s="7">
        <v>999</v>
      </c>
      <c r="N596" s="8">
        <v>0.12</v>
      </c>
      <c r="O596" s="9">
        <v>540</v>
      </c>
    </row>
    <row r="597" spans="1:15" ht="18" x14ac:dyDescent="0.35">
      <c r="A597" s="4" t="s">
        <v>704</v>
      </c>
      <c r="B597" s="5">
        <v>45590</v>
      </c>
      <c r="C597" s="6" t="s">
        <v>36</v>
      </c>
      <c r="D597" s="6" t="s">
        <v>59</v>
      </c>
      <c r="E597" s="6" t="s">
        <v>101</v>
      </c>
      <c r="F597" s="6" t="s">
        <v>19</v>
      </c>
      <c r="G597" s="6" t="s">
        <v>40</v>
      </c>
      <c r="H597" s="6" t="s">
        <v>41</v>
      </c>
      <c r="I597" s="6" t="s">
        <v>119</v>
      </c>
      <c r="J597" s="6" t="s">
        <v>33</v>
      </c>
      <c r="K597" s="6" t="s">
        <v>24</v>
      </c>
      <c r="L597" s="6">
        <v>24</v>
      </c>
      <c r="M597" s="7">
        <v>48990</v>
      </c>
      <c r="N597" s="8">
        <v>0.1</v>
      </c>
      <c r="O597" s="9">
        <v>30100</v>
      </c>
    </row>
    <row r="598" spans="1:15" ht="18" x14ac:dyDescent="0.35">
      <c r="A598" s="4" t="s">
        <v>705</v>
      </c>
      <c r="B598" s="5">
        <v>45591</v>
      </c>
      <c r="C598" s="6" t="s">
        <v>48</v>
      </c>
      <c r="D598" s="6" t="s">
        <v>93</v>
      </c>
      <c r="E598" s="6" t="s">
        <v>69</v>
      </c>
      <c r="F598" s="6" t="s">
        <v>19</v>
      </c>
      <c r="G598" s="6" t="s">
        <v>70</v>
      </c>
      <c r="H598" s="6" t="s">
        <v>71</v>
      </c>
      <c r="I598" s="6" t="s">
        <v>72</v>
      </c>
      <c r="J598" s="6" t="s">
        <v>33</v>
      </c>
      <c r="K598" s="6" t="s">
        <v>24</v>
      </c>
      <c r="L598" s="6">
        <v>27</v>
      </c>
      <c r="M598" s="7">
        <v>3499</v>
      </c>
      <c r="N598" s="8">
        <v>0.12</v>
      </c>
      <c r="O598" s="9">
        <v>2190</v>
      </c>
    </row>
    <row r="599" spans="1:15" ht="18" x14ac:dyDescent="0.35">
      <c r="A599" s="4" t="s">
        <v>706</v>
      </c>
      <c r="B599" s="5">
        <v>45591</v>
      </c>
      <c r="C599" s="6" t="s">
        <v>16</v>
      </c>
      <c r="D599" s="6" t="s">
        <v>98</v>
      </c>
      <c r="E599" s="6" t="s">
        <v>18</v>
      </c>
      <c r="F599" s="6" t="s">
        <v>19</v>
      </c>
      <c r="G599" s="6" t="s">
        <v>54</v>
      </c>
      <c r="H599" s="6" t="s">
        <v>129</v>
      </c>
      <c r="I599" s="6" t="s">
        <v>145</v>
      </c>
      <c r="J599" s="6" t="s">
        <v>57</v>
      </c>
      <c r="K599" s="6" t="s">
        <v>24</v>
      </c>
      <c r="L599" s="6">
        <v>24</v>
      </c>
      <c r="M599" s="7">
        <v>31490</v>
      </c>
      <c r="N599" s="8">
        <v>0.1</v>
      </c>
      <c r="O599" s="9">
        <v>21300</v>
      </c>
    </row>
    <row r="600" spans="1:15" ht="18" x14ac:dyDescent="0.35">
      <c r="A600" s="4" t="s">
        <v>707</v>
      </c>
      <c r="B600" s="5">
        <v>45591</v>
      </c>
      <c r="C600" s="6" t="s">
        <v>26</v>
      </c>
      <c r="D600" s="6" t="s">
        <v>53</v>
      </c>
      <c r="E600" s="6" t="s">
        <v>18</v>
      </c>
      <c r="F600" s="6" t="s">
        <v>29</v>
      </c>
      <c r="G600" s="6" t="s">
        <v>20</v>
      </c>
      <c r="H600" s="6" t="s">
        <v>45</v>
      </c>
      <c r="I600" s="6" t="s">
        <v>196</v>
      </c>
      <c r="J600" s="6" t="s">
        <v>57</v>
      </c>
      <c r="K600" s="6" t="s">
        <v>24</v>
      </c>
      <c r="L600" s="6">
        <v>20</v>
      </c>
      <c r="M600" s="7">
        <v>2499</v>
      </c>
      <c r="N600" s="8">
        <v>0.2</v>
      </c>
      <c r="O600" s="9">
        <v>1510</v>
      </c>
    </row>
    <row r="601" spans="1:15" ht="18" x14ac:dyDescent="0.35">
      <c r="A601" s="4" t="s">
        <v>708</v>
      </c>
      <c r="B601" s="5">
        <v>45593</v>
      </c>
      <c r="C601" s="6" t="s">
        <v>48</v>
      </c>
      <c r="D601" s="6" t="s">
        <v>68</v>
      </c>
      <c r="E601" s="6" t="s">
        <v>60</v>
      </c>
      <c r="F601" s="6" t="s">
        <v>39</v>
      </c>
      <c r="G601" s="6" t="s">
        <v>20</v>
      </c>
      <c r="H601" s="6" t="s">
        <v>45</v>
      </c>
      <c r="I601" s="6" t="s">
        <v>46</v>
      </c>
      <c r="J601" s="6" t="s">
        <v>57</v>
      </c>
      <c r="K601" s="6" t="s">
        <v>24</v>
      </c>
      <c r="L601" s="6">
        <v>16</v>
      </c>
      <c r="M601" s="7">
        <v>1899</v>
      </c>
      <c r="N601" s="8">
        <v>0.12</v>
      </c>
      <c r="O601" s="9">
        <v>1080</v>
      </c>
    </row>
    <row r="602" spans="1:15" ht="18" x14ac:dyDescent="0.35">
      <c r="A602" s="4" t="s">
        <v>709</v>
      </c>
      <c r="B602" s="5">
        <v>45593</v>
      </c>
      <c r="C602" s="6" t="s">
        <v>82</v>
      </c>
      <c r="D602" s="6" t="s">
        <v>87</v>
      </c>
      <c r="E602" s="6" t="s">
        <v>18</v>
      </c>
      <c r="F602" s="6" t="s">
        <v>29</v>
      </c>
      <c r="G602" s="6" t="s">
        <v>40</v>
      </c>
      <c r="H602" s="6" t="s">
        <v>41</v>
      </c>
      <c r="I602" s="6" t="s">
        <v>156</v>
      </c>
      <c r="J602" s="6" t="s">
        <v>57</v>
      </c>
      <c r="K602" s="6" t="s">
        <v>34</v>
      </c>
      <c r="L602" s="6">
        <v>27</v>
      </c>
      <c r="M602" s="7">
        <v>48500</v>
      </c>
      <c r="N602" s="8">
        <v>0.1</v>
      </c>
      <c r="O602" s="9">
        <v>30200</v>
      </c>
    </row>
    <row r="603" spans="1:15" ht="18" x14ac:dyDescent="0.35">
      <c r="A603" s="4" t="s">
        <v>710</v>
      </c>
      <c r="B603" s="5">
        <v>45594</v>
      </c>
      <c r="C603" s="6" t="s">
        <v>48</v>
      </c>
      <c r="D603" s="6" t="s">
        <v>49</v>
      </c>
      <c r="E603" s="6" t="s">
        <v>101</v>
      </c>
      <c r="F603" s="6" t="s">
        <v>29</v>
      </c>
      <c r="G603" s="6" t="s">
        <v>54</v>
      </c>
      <c r="H603" s="6" t="s">
        <v>55</v>
      </c>
      <c r="I603" s="6" t="s">
        <v>108</v>
      </c>
      <c r="J603" s="6" t="s">
        <v>33</v>
      </c>
      <c r="K603" s="6" t="s">
        <v>66</v>
      </c>
      <c r="L603" s="6">
        <v>35</v>
      </c>
      <c r="M603" s="7">
        <v>5890</v>
      </c>
      <c r="N603" s="8">
        <v>0.05</v>
      </c>
      <c r="O603" s="9">
        <v>3980</v>
      </c>
    </row>
    <row r="604" spans="1:15" ht="18" x14ac:dyDescent="0.35">
      <c r="A604" s="4" t="s">
        <v>711</v>
      </c>
      <c r="B604" s="5">
        <v>45594</v>
      </c>
      <c r="C604" s="6" t="s">
        <v>26</v>
      </c>
      <c r="D604" s="6" t="s">
        <v>27</v>
      </c>
      <c r="E604" s="6" t="s">
        <v>69</v>
      </c>
      <c r="F604" s="6" t="s">
        <v>19</v>
      </c>
      <c r="G604" s="6" t="s">
        <v>70</v>
      </c>
      <c r="H604" s="6" t="s">
        <v>71</v>
      </c>
      <c r="I604" s="6" t="s">
        <v>80</v>
      </c>
      <c r="J604" s="6" t="s">
        <v>33</v>
      </c>
      <c r="K604" s="6" t="s">
        <v>34</v>
      </c>
      <c r="L604" s="6">
        <v>26</v>
      </c>
      <c r="M604" s="7">
        <v>1299</v>
      </c>
      <c r="N604" s="8">
        <v>0.18</v>
      </c>
      <c r="O604" s="9">
        <v>720</v>
      </c>
    </row>
    <row r="605" spans="1:15" ht="18" x14ac:dyDescent="0.35">
      <c r="A605" s="4" t="s">
        <v>712</v>
      </c>
      <c r="B605" s="5">
        <v>45595</v>
      </c>
      <c r="C605" s="6" t="s">
        <v>26</v>
      </c>
      <c r="D605" s="6" t="s">
        <v>53</v>
      </c>
      <c r="E605" s="6" t="s">
        <v>69</v>
      </c>
      <c r="F605" s="6" t="s">
        <v>29</v>
      </c>
      <c r="G605" s="6" t="s">
        <v>70</v>
      </c>
      <c r="H605" s="6" t="s">
        <v>71</v>
      </c>
      <c r="I605" s="6" t="s">
        <v>88</v>
      </c>
      <c r="J605" s="6" t="s">
        <v>23</v>
      </c>
      <c r="K605" s="6" t="s">
        <v>34</v>
      </c>
      <c r="L605" s="6">
        <v>30</v>
      </c>
      <c r="M605" s="7">
        <v>999</v>
      </c>
      <c r="N605" s="8">
        <v>0.12</v>
      </c>
      <c r="O605" s="9">
        <v>540</v>
      </c>
    </row>
    <row r="606" spans="1:15" ht="18" x14ac:dyDescent="0.35">
      <c r="A606" s="4" t="s">
        <v>713</v>
      </c>
      <c r="B606" s="5">
        <v>45595</v>
      </c>
      <c r="C606" s="6" t="s">
        <v>48</v>
      </c>
      <c r="D606" s="6" t="s">
        <v>136</v>
      </c>
      <c r="E606" s="6" t="s">
        <v>69</v>
      </c>
      <c r="F606" s="6" t="s">
        <v>39</v>
      </c>
      <c r="G606" s="6" t="s">
        <v>40</v>
      </c>
      <c r="H606" s="6" t="s">
        <v>64</v>
      </c>
      <c r="I606" s="6" t="s">
        <v>65</v>
      </c>
      <c r="J606" s="6" t="s">
        <v>57</v>
      </c>
      <c r="K606" s="6" t="s">
        <v>34</v>
      </c>
      <c r="L606" s="6">
        <v>24</v>
      </c>
      <c r="M606" s="7">
        <v>1930</v>
      </c>
      <c r="N606" s="8">
        <v>0.15</v>
      </c>
      <c r="O606" s="9">
        <v>1120</v>
      </c>
    </row>
    <row r="607" spans="1:15" ht="18" x14ac:dyDescent="0.35">
      <c r="A607" s="4" t="s">
        <v>714</v>
      </c>
      <c r="B607" s="5">
        <v>45595</v>
      </c>
      <c r="C607" s="6" t="s">
        <v>26</v>
      </c>
      <c r="D607" s="6" t="s">
        <v>163</v>
      </c>
      <c r="E607" s="6" t="s">
        <v>28</v>
      </c>
      <c r="F607" s="6" t="s">
        <v>39</v>
      </c>
      <c r="G607" s="6" t="s">
        <v>40</v>
      </c>
      <c r="H607" s="6" t="s">
        <v>64</v>
      </c>
      <c r="I607" s="6" t="s">
        <v>65</v>
      </c>
      <c r="J607" s="6" t="s">
        <v>23</v>
      </c>
      <c r="K607" s="6" t="s">
        <v>24</v>
      </c>
      <c r="L607" s="6">
        <v>26</v>
      </c>
      <c r="M607" s="7">
        <v>1930</v>
      </c>
      <c r="N607" s="8">
        <v>0.05</v>
      </c>
      <c r="O607" s="9">
        <v>1120</v>
      </c>
    </row>
    <row r="608" spans="1:15" ht="18" x14ac:dyDescent="0.35">
      <c r="A608" s="4" t="s">
        <v>715</v>
      </c>
      <c r="B608" s="5">
        <v>45596</v>
      </c>
      <c r="C608" s="6" t="s">
        <v>36</v>
      </c>
      <c r="D608" s="6" t="s">
        <v>44</v>
      </c>
      <c r="E608" s="6" t="s">
        <v>75</v>
      </c>
      <c r="F608" s="6" t="s">
        <v>39</v>
      </c>
      <c r="G608" s="6" t="s">
        <v>54</v>
      </c>
      <c r="H608" s="6" t="s">
        <v>55</v>
      </c>
      <c r="I608" s="6" t="s">
        <v>56</v>
      </c>
      <c r="J608" s="6" t="s">
        <v>33</v>
      </c>
      <c r="K608" s="6" t="s">
        <v>34</v>
      </c>
      <c r="L608" s="6">
        <v>34</v>
      </c>
      <c r="M608" s="7">
        <v>7299</v>
      </c>
      <c r="N608" s="8">
        <v>0.15</v>
      </c>
      <c r="O608" s="9">
        <v>5010</v>
      </c>
    </row>
    <row r="609" spans="1:15" ht="18" x14ac:dyDescent="0.35">
      <c r="A609" s="4" t="s">
        <v>716</v>
      </c>
      <c r="B609" s="5">
        <v>45596</v>
      </c>
      <c r="C609" s="6" t="s">
        <v>36</v>
      </c>
      <c r="D609" s="6" t="s">
        <v>37</v>
      </c>
      <c r="E609" s="6" t="s">
        <v>84</v>
      </c>
      <c r="F609" s="6" t="s">
        <v>39</v>
      </c>
      <c r="G609" s="6" t="s">
        <v>20</v>
      </c>
      <c r="H609" s="6" t="s">
        <v>45</v>
      </c>
      <c r="I609" s="6" t="s">
        <v>103</v>
      </c>
      <c r="J609" s="6" t="s">
        <v>57</v>
      </c>
      <c r="K609" s="6" t="s">
        <v>24</v>
      </c>
      <c r="L609" s="6">
        <v>21</v>
      </c>
      <c r="M609" s="7">
        <v>1599</v>
      </c>
      <c r="N609" s="8">
        <v>0.1</v>
      </c>
      <c r="O609" s="9">
        <v>920</v>
      </c>
    </row>
    <row r="610" spans="1:15" ht="18" x14ac:dyDescent="0.35">
      <c r="A610" s="4" t="s">
        <v>717</v>
      </c>
      <c r="B610" s="5">
        <v>45596</v>
      </c>
      <c r="C610" s="6" t="s">
        <v>16</v>
      </c>
      <c r="D610" s="6" t="s">
        <v>111</v>
      </c>
      <c r="E610" s="6" t="s">
        <v>50</v>
      </c>
      <c r="F610" s="6" t="s">
        <v>29</v>
      </c>
      <c r="G610" s="6" t="s">
        <v>40</v>
      </c>
      <c r="H610" s="6" t="s">
        <v>41</v>
      </c>
      <c r="I610" s="6" t="s">
        <v>156</v>
      </c>
      <c r="J610" s="6" t="s">
        <v>23</v>
      </c>
      <c r="K610" s="6" t="s">
        <v>66</v>
      </c>
      <c r="L610" s="6">
        <v>9</v>
      </c>
      <c r="M610" s="7">
        <v>48500</v>
      </c>
      <c r="N610" s="8">
        <v>0.2</v>
      </c>
      <c r="O610" s="9">
        <v>30200</v>
      </c>
    </row>
    <row r="611" spans="1:15" ht="18" x14ac:dyDescent="0.35">
      <c r="A611" s="4" t="s">
        <v>718</v>
      </c>
      <c r="B611" s="5">
        <v>45597</v>
      </c>
      <c r="C611" s="6" t="s">
        <v>16</v>
      </c>
      <c r="D611" s="6" t="s">
        <v>98</v>
      </c>
      <c r="E611" s="6" t="s">
        <v>28</v>
      </c>
      <c r="F611" s="6" t="s">
        <v>19</v>
      </c>
      <c r="G611" s="6" t="s">
        <v>54</v>
      </c>
      <c r="H611" s="6" t="s">
        <v>90</v>
      </c>
      <c r="I611" s="6" t="s">
        <v>134</v>
      </c>
      <c r="J611" s="6" t="s">
        <v>57</v>
      </c>
      <c r="K611" s="6" t="s">
        <v>24</v>
      </c>
      <c r="L611" s="6">
        <v>22</v>
      </c>
      <c r="M611" s="7">
        <v>32800</v>
      </c>
      <c r="N611" s="8">
        <v>0.1</v>
      </c>
      <c r="O611" s="9">
        <v>23100</v>
      </c>
    </row>
    <row r="612" spans="1:15" ht="18" x14ac:dyDescent="0.35">
      <c r="A612" s="4" t="s">
        <v>719</v>
      </c>
      <c r="B612" s="5">
        <v>45597</v>
      </c>
      <c r="C612" s="6" t="s">
        <v>48</v>
      </c>
      <c r="D612" s="6" t="s">
        <v>136</v>
      </c>
      <c r="E612" s="6" t="s">
        <v>60</v>
      </c>
      <c r="F612" s="6" t="s">
        <v>39</v>
      </c>
      <c r="G612" s="6" t="s">
        <v>30</v>
      </c>
      <c r="H612" s="6" t="s">
        <v>61</v>
      </c>
      <c r="I612" s="6" t="s">
        <v>96</v>
      </c>
      <c r="J612" s="6" t="s">
        <v>33</v>
      </c>
      <c r="K612" s="6" t="s">
        <v>78</v>
      </c>
      <c r="L612" s="6">
        <v>27</v>
      </c>
      <c r="M612" s="7">
        <v>25110</v>
      </c>
      <c r="N612" s="8">
        <v>0.15</v>
      </c>
      <c r="O612" s="9">
        <v>16730</v>
      </c>
    </row>
    <row r="613" spans="1:15" ht="18" x14ac:dyDescent="0.35">
      <c r="A613" s="4" t="s">
        <v>720</v>
      </c>
      <c r="B613" s="5">
        <v>45597</v>
      </c>
      <c r="C613" s="6" t="s">
        <v>26</v>
      </c>
      <c r="D613" s="6" t="s">
        <v>163</v>
      </c>
      <c r="E613" s="6" t="s">
        <v>69</v>
      </c>
      <c r="F613" s="6" t="s">
        <v>39</v>
      </c>
      <c r="G613" s="6" t="s">
        <v>70</v>
      </c>
      <c r="H613" s="6" t="s">
        <v>71</v>
      </c>
      <c r="I613" s="6" t="s">
        <v>88</v>
      </c>
      <c r="J613" s="6" t="s">
        <v>23</v>
      </c>
      <c r="K613" s="6" t="s">
        <v>24</v>
      </c>
      <c r="L613" s="6">
        <v>16</v>
      </c>
      <c r="M613" s="7">
        <v>999</v>
      </c>
      <c r="N613" s="8">
        <v>0.18</v>
      </c>
      <c r="O613" s="9">
        <v>540</v>
      </c>
    </row>
    <row r="614" spans="1:15" ht="18" x14ac:dyDescent="0.35">
      <c r="A614" s="4" t="s">
        <v>721</v>
      </c>
      <c r="B614" s="5">
        <v>45597</v>
      </c>
      <c r="C614" s="6" t="s">
        <v>26</v>
      </c>
      <c r="D614" s="6" t="s">
        <v>53</v>
      </c>
      <c r="E614" s="6" t="s">
        <v>105</v>
      </c>
      <c r="F614" s="6" t="s">
        <v>39</v>
      </c>
      <c r="G614" s="6" t="s">
        <v>20</v>
      </c>
      <c r="H614" s="6" t="s">
        <v>21</v>
      </c>
      <c r="I614" s="6" t="s">
        <v>22</v>
      </c>
      <c r="J614" s="6" t="s">
        <v>57</v>
      </c>
      <c r="K614" s="6" t="s">
        <v>66</v>
      </c>
      <c r="L614" s="6">
        <v>28</v>
      </c>
      <c r="M614" s="7">
        <v>4499</v>
      </c>
      <c r="N614" s="8">
        <v>0.18</v>
      </c>
      <c r="O614" s="9">
        <v>2910</v>
      </c>
    </row>
    <row r="615" spans="1:15" ht="18" x14ac:dyDescent="0.35">
      <c r="A615" s="4" t="s">
        <v>722</v>
      </c>
      <c r="B615" s="5">
        <v>45599</v>
      </c>
      <c r="C615" s="6" t="s">
        <v>16</v>
      </c>
      <c r="D615" s="6" t="s">
        <v>126</v>
      </c>
      <c r="E615" s="6" t="s">
        <v>105</v>
      </c>
      <c r="F615" s="6" t="s">
        <v>29</v>
      </c>
      <c r="G615" s="6" t="s">
        <v>54</v>
      </c>
      <c r="H615" s="6" t="s">
        <v>90</v>
      </c>
      <c r="I615" s="6" t="s">
        <v>91</v>
      </c>
      <c r="J615" s="6" t="s">
        <v>33</v>
      </c>
      <c r="K615" s="6" t="s">
        <v>24</v>
      </c>
      <c r="L615" s="6">
        <v>36</v>
      </c>
      <c r="M615" s="7">
        <v>31990</v>
      </c>
      <c r="N615" s="8">
        <v>0.15</v>
      </c>
      <c r="O615" s="9">
        <v>21800</v>
      </c>
    </row>
    <row r="616" spans="1:15" ht="18" x14ac:dyDescent="0.35">
      <c r="A616" s="4" t="s">
        <v>723</v>
      </c>
      <c r="B616" s="5">
        <v>45599</v>
      </c>
      <c r="C616" s="6" t="s">
        <v>36</v>
      </c>
      <c r="D616" s="6" t="s">
        <v>44</v>
      </c>
      <c r="E616" s="6" t="s">
        <v>38</v>
      </c>
      <c r="F616" s="6" t="s">
        <v>29</v>
      </c>
      <c r="G616" s="6" t="s">
        <v>70</v>
      </c>
      <c r="H616" s="6" t="s">
        <v>71</v>
      </c>
      <c r="I616" s="6" t="s">
        <v>88</v>
      </c>
      <c r="J616" s="6" t="s">
        <v>33</v>
      </c>
      <c r="K616" s="6" t="s">
        <v>24</v>
      </c>
      <c r="L616" s="6">
        <v>25</v>
      </c>
      <c r="M616" s="7">
        <v>999</v>
      </c>
      <c r="N616" s="8">
        <v>0.18</v>
      </c>
      <c r="O616" s="9">
        <v>540</v>
      </c>
    </row>
    <row r="617" spans="1:15" ht="18" x14ac:dyDescent="0.35">
      <c r="A617" s="4" t="s">
        <v>724</v>
      </c>
      <c r="B617" s="5">
        <v>45600</v>
      </c>
      <c r="C617" s="6" t="s">
        <v>48</v>
      </c>
      <c r="D617" s="6" t="s">
        <v>93</v>
      </c>
      <c r="E617" s="6" t="s">
        <v>28</v>
      </c>
      <c r="F617" s="6" t="s">
        <v>29</v>
      </c>
      <c r="G617" s="6" t="s">
        <v>30</v>
      </c>
      <c r="H617" s="6" t="s">
        <v>31</v>
      </c>
      <c r="I617" s="6" t="s">
        <v>32</v>
      </c>
      <c r="J617" s="6" t="s">
        <v>57</v>
      </c>
      <c r="K617" s="6" t="s">
        <v>78</v>
      </c>
      <c r="L617" s="6">
        <v>35</v>
      </c>
      <c r="M617" s="7">
        <v>38990</v>
      </c>
      <c r="N617" s="8">
        <v>0.2</v>
      </c>
      <c r="O617" s="9">
        <v>25400</v>
      </c>
    </row>
    <row r="618" spans="1:15" ht="18" x14ac:dyDescent="0.35">
      <c r="A618" s="4" t="s">
        <v>725</v>
      </c>
      <c r="B618" s="5">
        <v>45600</v>
      </c>
      <c r="C618" s="6" t="s">
        <v>36</v>
      </c>
      <c r="D618" s="6" t="s">
        <v>121</v>
      </c>
      <c r="E618" s="6" t="s">
        <v>105</v>
      </c>
      <c r="F618" s="6" t="s">
        <v>19</v>
      </c>
      <c r="G618" s="6" t="s">
        <v>54</v>
      </c>
      <c r="H618" s="6" t="s">
        <v>55</v>
      </c>
      <c r="I618" s="6" t="s">
        <v>148</v>
      </c>
      <c r="J618" s="6" t="s">
        <v>33</v>
      </c>
      <c r="K618" s="6" t="s">
        <v>24</v>
      </c>
      <c r="L618" s="6">
        <v>13</v>
      </c>
      <c r="M618" s="7">
        <v>4680</v>
      </c>
      <c r="N618" s="8">
        <v>0.08</v>
      </c>
      <c r="O618" s="9">
        <v>3250</v>
      </c>
    </row>
    <row r="619" spans="1:15" ht="18" x14ac:dyDescent="0.35">
      <c r="A619" s="4" t="s">
        <v>726</v>
      </c>
      <c r="B619" s="5">
        <v>45600</v>
      </c>
      <c r="C619" s="6" t="s">
        <v>36</v>
      </c>
      <c r="D619" s="6" t="s">
        <v>37</v>
      </c>
      <c r="E619" s="6" t="s">
        <v>60</v>
      </c>
      <c r="F619" s="6" t="s">
        <v>29</v>
      </c>
      <c r="G619" s="6" t="s">
        <v>20</v>
      </c>
      <c r="H619" s="6" t="s">
        <v>45</v>
      </c>
      <c r="I619" s="6" t="s">
        <v>103</v>
      </c>
      <c r="J619" s="6" t="s">
        <v>23</v>
      </c>
      <c r="K619" s="6" t="s">
        <v>24</v>
      </c>
      <c r="L619" s="6">
        <v>10</v>
      </c>
      <c r="M619" s="7">
        <v>1599</v>
      </c>
      <c r="N619" s="8">
        <v>0.08</v>
      </c>
      <c r="O619" s="9">
        <v>920</v>
      </c>
    </row>
    <row r="620" spans="1:15" ht="18" x14ac:dyDescent="0.35">
      <c r="A620" s="4" t="s">
        <v>727</v>
      </c>
      <c r="B620" s="5">
        <v>45603</v>
      </c>
      <c r="C620" s="6" t="s">
        <v>82</v>
      </c>
      <c r="D620" s="6" t="s">
        <v>83</v>
      </c>
      <c r="E620" s="6" t="s">
        <v>38</v>
      </c>
      <c r="F620" s="6" t="s">
        <v>29</v>
      </c>
      <c r="G620" s="6" t="s">
        <v>30</v>
      </c>
      <c r="H620" s="6" t="s">
        <v>31</v>
      </c>
      <c r="I620" s="6" t="s">
        <v>106</v>
      </c>
      <c r="J620" s="6" t="s">
        <v>57</v>
      </c>
      <c r="K620" s="6" t="s">
        <v>24</v>
      </c>
      <c r="L620" s="6">
        <v>2</v>
      </c>
      <c r="M620" s="7">
        <v>52990</v>
      </c>
      <c r="N620" s="8">
        <v>0.18</v>
      </c>
      <c r="O620" s="9">
        <v>35100</v>
      </c>
    </row>
    <row r="621" spans="1:15" ht="18" x14ac:dyDescent="0.35">
      <c r="A621" s="4" t="s">
        <v>728</v>
      </c>
      <c r="B621" s="5">
        <v>45603</v>
      </c>
      <c r="C621" s="6" t="s">
        <v>26</v>
      </c>
      <c r="D621" s="6" t="s">
        <v>74</v>
      </c>
      <c r="E621" s="6" t="s">
        <v>50</v>
      </c>
      <c r="F621" s="6" t="s">
        <v>29</v>
      </c>
      <c r="G621" s="6" t="s">
        <v>40</v>
      </c>
      <c r="H621" s="6" t="s">
        <v>41</v>
      </c>
      <c r="I621" s="6" t="s">
        <v>42</v>
      </c>
      <c r="J621" s="6" t="s">
        <v>33</v>
      </c>
      <c r="K621" s="6" t="s">
        <v>24</v>
      </c>
      <c r="L621" s="6">
        <v>36</v>
      </c>
      <c r="M621" s="7">
        <v>55230</v>
      </c>
      <c r="N621" s="8">
        <v>0.18</v>
      </c>
      <c r="O621" s="9">
        <v>33800</v>
      </c>
    </row>
    <row r="622" spans="1:15" ht="18" x14ac:dyDescent="0.35">
      <c r="A622" s="4" t="s">
        <v>729</v>
      </c>
      <c r="B622" s="5">
        <v>45603</v>
      </c>
      <c r="C622" s="6" t="s">
        <v>26</v>
      </c>
      <c r="D622" s="6" t="s">
        <v>27</v>
      </c>
      <c r="E622" s="6" t="s">
        <v>75</v>
      </c>
      <c r="F622" s="6" t="s">
        <v>19</v>
      </c>
      <c r="G622" s="6" t="s">
        <v>54</v>
      </c>
      <c r="H622" s="6" t="s">
        <v>129</v>
      </c>
      <c r="I622" s="6" t="s">
        <v>192</v>
      </c>
      <c r="J622" s="6" t="s">
        <v>23</v>
      </c>
      <c r="K622" s="6" t="s">
        <v>24</v>
      </c>
      <c r="L622" s="6">
        <v>15</v>
      </c>
      <c r="M622" s="7">
        <v>29010</v>
      </c>
      <c r="N622" s="8">
        <v>0.1</v>
      </c>
      <c r="O622" s="9">
        <v>19100</v>
      </c>
    </row>
    <row r="623" spans="1:15" ht="18" x14ac:dyDescent="0.35">
      <c r="A623" s="4" t="s">
        <v>730</v>
      </c>
      <c r="B623" s="5">
        <v>45603</v>
      </c>
      <c r="C623" s="6" t="s">
        <v>26</v>
      </c>
      <c r="D623" s="6" t="s">
        <v>27</v>
      </c>
      <c r="E623" s="6" t="s">
        <v>38</v>
      </c>
      <c r="F623" s="6" t="s">
        <v>39</v>
      </c>
      <c r="G623" s="6" t="s">
        <v>70</v>
      </c>
      <c r="H623" s="6" t="s">
        <v>71</v>
      </c>
      <c r="I623" s="6" t="s">
        <v>72</v>
      </c>
      <c r="J623" s="6" t="s">
        <v>33</v>
      </c>
      <c r="K623" s="6" t="s">
        <v>24</v>
      </c>
      <c r="L623" s="6">
        <v>32</v>
      </c>
      <c r="M623" s="7">
        <v>3499</v>
      </c>
      <c r="N623" s="8">
        <v>0.08</v>
      </c>
      <c r="O623" s="9">
        <v>2190</v>
      </c>
    </row>
    <row r="624" spans="1:15" ht="18" x14ac:dyDescent="0.35">
      <c r="A624" s="4" t="s">
        <v>731</v>
      </c>
      <c r="B624" s="5">
        <v>45605</v>
      </c>
      <c r="C624" s="6" t="s">
        <v>48</v>
      </c>
      <c r="D624" s="6" t="s">
        <v>68</v>
      </c>
      <c r="E624" s="6" t="s">
        <v>69</v>
      </c>
      <c r="F624" s="6" t="s">
        <v>39</v>
      </c>
      <c r="G624" s="6" t="s">
        <v>54</v>
      </c>
      <c r="H624" s="6" t="s">
        <v>55</v>
      </c>
      <c r="I624" s="6" t="s">
        <v>148</v>
      </c>
      <c r="J624" s="6" t="s">
        <v>33</v>
      </c>
      <c r="K624" s="6" t="s">
        <v>34</v>
      </c>
      <c r="L624" s="6">
        <v>8</v>
      </c>
      <c r="M624" s="7">
        <v>4680</v>
      </c>
      <c r="N624" s="8">
        <v>0.12</v>
      </c>
      <c r="O624" s="9">
        <v>3250</v>
      </c>
    </row>
    <row r="625" spans="1:15" ht="18" x14ac:dyDescent="0.35">
      <c r="A625" s="4" t="s">
        <v>732</v>
      </c>
      <c r="B625" s="5">
        <v>45605</v>
      </c>
      <c r="C625" s="6" t="s">
        <v>26</v>
      </c>
      <c r="D625" s="6" t="s">
        <v>74</v>
      </c>
      <c r="E625" s="6" t="s">
        <v>101</v>
      </c>
      <c r="F625" s="6" t="s">
        <v>19</v>
      </c>
      <c r="G625" s="6" t="s">
        <v>30</v>
      </c>
      <c r="H625" s="6" t="s">
        <v>61</v>
      </c>
      <c r="I625" s="6" t="s">
        <v>96</v>
      </c>
      <c r="J625" s="6" t="s">
        <v>33</v>
      </c>
      <c r="K625" s="6" t="s">
        <v>24</v>
      </c>
      <c r="L625" s="6">
        <v>12</v>
      </c>
      <c r="M625" s="7">
        <v>25110</v>
      </c>
      <c r="N625" s="8">
        <v>0.05</v>
      </c>
      <c r="O625" s="9">
        <v>16730</v>
      </c>
    </row>
    <row r="626" spans="1:15" ht="18" x14ac:dyDescent="0.35">
      <c r="A626" s="4" t="s">
        <v>733</v>
      </c>
      <c r="B626" s="5">
        <v>45606</v>
      </c>
      <c r="C626" s="6" t="s">
        <v>26</v>
      </c>
      <c r="D626" s="6" t="s">
        <v>74</v>
      </c>
      <c r="E626" s="6" t="s">
        <v>60</v>
      </c>
      <c r="F626" s="6" t="s">
        <v>19</v>
      </c>
      <c r="G626" s="6" t="s">
        <v>54</v>
      </c>
      <c r="H626" s="6" t="s">
        <v>55</v>
      </c>
      <c r="I626" s="6" t="s">
        <v>56</v>
      </c>
      <c r="J626" s="6" t="s">
        <v>57</v>
      </c>
      <c r="K626" s="6" t="s">
        <v>34</v>
      </c>
      <c r="L626" s="6">
        <v>10</v>
      </c>
      <c r="M626" s="7">
        <v>7299</v>
      </c>
      <c r="N626" s="8">
        <v>0.05</v>
      </c>
      <c r="O626" s="9">
        <v>5010</v>
      </c>
    </row>
    <row r="627" spans="1:15" ht="18" x14ac:dyDescent="0.35">
      <c r="A627" s="4" t="s">
        <v>734</v>
      </c>
      <c r="B627" s="5">
        <v>45606</v>
      </c>
      <c r="C627" s="6" t="s">
        <v>48</v>
      </c>
      <c r="D627" s="6" t="s">
        <v>49</v>
      </c>
      <c r="E627" s="6" t="s">
        <v>28</v>
      </c>
      <c r="F627" s="6" t="s">
        <v>19</v>
      </c>
      <c r="G627" s="6" t="s">
        <v>54</v>
      </c>
      <c r="H627" s="6" t="s">
        <v>55</v>
      </c>
      <c r="I627" s="6" t="s">
        <v>108</v>
      </c>
      <c r="J627" s="6" t="s">
        <v>33</v>
      </c>
      <c r="K627" s="6" t="s">
        <v>34</v>
      </c>
      <c r="L627" s="6">
        <v>6</v>
      </c>
      <c r="M627" s="7">
        <v>5890</v>
      </c>
      <c r="N627" s="8">
        <v>0.08</v>
      </c>
      <c r="O627" s="9">
        <v>3980</v>
      </c>
    </row>
    <row r="628" spans="1:15" ht="18" x14ac:dyDescent="0.35">
      <c r="A628" s="4" t="s">
        <v>735</v>
      </c>
      <c r="B628" s="5">
        <v>45606</v>
      </c>
      <c r="C628" s="6" t="s">
        <v>36</v>
      </c>
      <c r="D628" s="6" t="s">
        <v>44</v>
      </c>
      <c r="E628" s="6" t="s">
        <v>38</v>
      </c>
      <c r="F628" s="6" t="s">
        <v>39</v>
      </c>
      <c r="G628" s="6" t="s">
        <v>40</v>
      </c>
      <c r="H628" s="6" t="s">
        <v>41</v>
      </c>
      <c r="I628" s="6" t="s">
        <v>119</v>
      </c>
      <c r="J628" s="6" t="s">
        <v>57</v>
      </c>
      <c r="K628" s="6" t="s">
        <v>34</v>
      </c>
      <c r="L628" s="6">
        <v>16</v>
      </c>
      <c r="M628" s="7">
        <v>48990</v>
      </c>
      <c r="N628" s="8">
        <v>0.18</v>
      </c>
      <c r="O628" s="9">
        <v>30100</v>
      </c>
    </row>
    <row r="629" spans="1:15" ht="18" x14ac:dyDescent="0.35">
      <c r="A629" s="4" t="s">
        <v>736</v>
      </c>
      <c r="B629" s="5">
        <v>45606</v>
      </c>
      <c r="C629" s="6" t="s">
        <v>82</v>
      </c>
      <c r="D629" s="6" t="s">
        <v>183</v>
      </c>
      <c r="E629" s="6" t="s">
        <v>75</v>
      </c>
      <c r="F629" s="6" t="s">
        <v>29</v>
      </c>
      <c r="G629" s="6" t="s">
        <v>70</v>
      </c>
      <c r="H629" s="6" t="s">
        <v>71</v>
      </c>
      <c r="I629" s="6" t="s">
        <v>80</v>
      </c>
      <c r="J629" s="6" t="s">
        <v>23</v>
      </c>
      <c r="K629" s="6" t="s">
        <v>24</v>
      </c>
      <c r="L629" s="6">
        <v>12</v>
      </c>
      <c r="M629" s="7">
        <v>1299</v>
      </c>
      <c r="N629" s="8">
        <v>0.12</v>
      </c>
      <c r="O629" s="9">
        <v>720</v>
      </c>
    </row>
    <row r="630" spans="1:15" ht="18" x14ac:dyDescent="0.35">
      <c r="A630" s="4" t="s">
        <v>737</v>
      </c>
      <c r="B630" s="5">
        <v>45606</v>
      </c>
      <c r="C630" s="6" t="s">
        <v>36</v>
      </c>
      <c r="D630" s="6" t="s">
        <v>59</v>
      </c>
      <c r="E630" s="6" t="s">
        <v>69</v>
      </c>
      <c r="F630" s="6" t="s">
        <v>39</v>
      </c>
      <c r="G630" s="6" t="s">
        <v>30</v>
      </c>
      <c r="H630" s="6" t="s">
        <v>31</v>
      </c>
      <c r="I630" s="6" t="s">
        <v>106</v>
      </c>
      <c r="J630" s="6" t="s">
        <v>23</v>
      </c>
      <c r="K630" s="6" t="s">
        <v>78</v>
      </c>
      <c r="L630" s="6">
        <v>23</v>
      </c>
      <c r="M630" s="7">
        <v>52990</v>
      </c>
      <c r="N630" s="8">
        <v>0.08</v>
      </c>
      <c r="O630" s="9">
        <v>35100</v>
      </c>
    </row>
    <row r="631" spans="1:15" ht="18" x14ac:dyDescent="0.35">
      <c r="A631" s="4" t="s">
        <v>738</v>
      </c>
      <c r="B631" s="5">
        <v>45607</v>
      </c>
      <c r="C631" s="6" t="s">
        <v>26</v>
      </c>
      <c r="D631" s="6" t="s">
        <v>163</v>
      </c>
      <c r="E631" s="6" t="s">
        <v>69</v>
      </c>
      <c r="F631" s="6" t="s">
        <v>19</v>
      </c>
      <c r="G631" s="6" t="s">
        <v>20</v>
      </c>
      <c r="H631" s="6" t="s">
        <v>21</v>
      </c>
      <c r="I631" s="6" t="s">
        <v>51</v>
      </c>
      <c r="J631" s="6" t="s">
        <v>57</v>
      </c>
      <c r="K631" s="6" t="s">
        <v>24</v>
      </c>
      <c r="L631" s="6">
        <v>32</v>
      </c>
      <c r="M631" s="7">
        <v>5999</v>
      </c>
      <c r="N631" s="8">
        <v>0.15</v>
      </c>
      <c r="O631" s="9">
        <v>3890</v>
      </c>
    </row>
    <row r="632" spans="1:15" ht="18" x14ac:dyDescent="0.35">
      <c r="A632" s="4" t="s">
        <v>739</v>
      </c>
      <c r="B632" s="5">
        <v>45607</v>
      </c>
      <c r="C632" s="6" t="s">
        <v>26</v>
      </c>
      <c r="D632" s="6" t="s">
        <v>27</v>
      </c>
      <c r="E632" s="6" t="s">
        <v>18</v>
      </c>
      <c r="F632" s="6" t="s">
        <v>29</v>
      </c>
      <c r="G632" s="6" t="s">
        <v>70</v>
      </c>
      <c r="H632" s="6" t="s">
        <v>71</v>
      </c>
      <c r="I632" s="6" t="s">
        <v>88</v>
      </c>
      <c r="J632" s="6" t="s">
        <v>23</v>
      </c>
      <c r="K632" s="6" t="s">
        <v>66</v>
      </c>
      <c r="L632" s="6">
        <v>28</v>
      </c>
      <c r="M632" s="7">
        <v>999</v>
      </c>
      <c r="N632" s="8">
        <v>0.08</v>
      </c>
      <c r="O632" s="9">
        <v>540</v>
      </c>
    </row>
    <row r="633" spans="1:15" ht="18" x14ac:dyDescent="0.35">
      <c r="A633" s="4" t="s">
        <v>740</v>
      </c>
      <c r="B633" s="5">
        <v>45607</v>
      </c>
      <c r="C633" s="6" t="s">
        <v>16</v>
      </c>
      <c r="D633" s="6" t="s">
        <v>111</v>
      </c>
      <c r="E633" s="6" t="s">
        <v>60</v>
      </c>
      <c r="F633" s="6" t="s">
        <v>29</v>
      </c>
      <c r="G633" s="6" t="s">
        <v>30</v>
      </c>
      <c r="H633" s="6" t="s">
        <v>61</v>
      </c>
      <c r="I633" s="6" t="s">
        <v>62</v>
      </c>
      <c r="J633" s="6" t="s">
        <v>33</v>
      </c>
      <c r="K633" s="6" t="s">
        <v>24</v>
      </c>
      <c r="L633" s="6">
        <v>29</v>
      </c>
      <c r="M633" s="7">
        <v>12490</v>
      </c>
      <c r="N633" s="8">
        <v>0.05</v>
      </c>
      <c r="O633" s="9">
        <v>7900</v>
      </c>
    </row>
    <row r="634" spans="1:15" ht="18" x14ac:dyDescent="0.35">
      <c r="A634" s="4" t="s">
        <v>741</v>
      </c>
      <c r="B634" s="5">
        <v>45607</v>
      </c>
      <c r="C634" s="6" t="s">
        <v>16</v>
      </c>
      <c r="D634" s="6" t="s">
        <v>17</v>
      </c>
      <c r="E634" s="6" t="s">
        <v>18</v>
      </c>
      <c r="F634" s="6" t="s">
        <v>29</v>
      </c>
      <c r="G634" s="6" t="s">
        <v>30</v>
      </c>
      <c r="H634" s="6" t="s">
        <v>61</v>
      </c>
      <c r="I634" s="6" t="s">
        <v>96</v>
      </c>
      <c r="J634" s="6" t="s">
        <v>57</v>
      </c>
      <c r="K634" s="6" t="s">
        <v>34</v>
      </c>
      <c r="L634" s="6">
        <v>29</v>
      </c>
      <c r="M634" s="7">
        <v>25110</v>
      </c>
      <c r="N634" s="8">
        <v>0.1</v>
      </c>
      <c r="O634" s="9">
        <v>16730</v>
      </c>
    </row>
    <row r="635" spans="1:15" ht="18" x14ac:dyDescent="0.35">
      <c r="A635" s="4" t="s">
        <v>742</v>
      </c>
      <c r="B635" s="5">
        <v>45607</v>
      </c>
      <c r="C635" s="6" t="s">
        <v>16</v>
      </c>
      <c r="D635" s="6" t="s">
        <v>98</v>
      </c>
      <c r="E635" s="6" t="s">
        <v>101</v>
      </c>
      <c r="F635" s="6" t="s">
        <v>19</v>
      </c>
      <c r="G635" s="6" t="s">
        <v>40</v>
      </c>
      <c r="H635" s="6" t="s">
        <v>41</v>
      </c>
      <c r="I635" s="6" t="s">
        <v>119</v>
      </c>
      <c r="J635" s="6" t="s">
        <v>33</v>
      </c>
      <c r="K635" s="6" t="s">
        <v>24</v>
      </c>
      <c r="L635" s="6">
        <v>17</v>
      </c>
      <c r="M635" s="7">
        <v>48990</v>
      </c>
      <c r="N635" s="8">
        <v>0.08</v>
      </c>
      <c r="O635" s="9">
        <v>30100</v>
      </c>
    </row>
    <row r="636" spans="1:15" ht="18" x14ac:dyDescent="0.35">
      <c r="A636" s="4" t="s">
        <v>743</v>
      </c>
      <c r="B636" s="5">
        <v>45608</v>
      </c>
      <c r="C636" s="6" t="s">
        <v>26</v>
      </c>
      <c r="D636" s="6" t="s">
        <v>53</v>
      </c>
      <c r="E636" s="6" t="s">
        <v>18</v>
      </c>
      <c r="F636" s="6" t="s">
        <v>29</v>
      </c>
      <c r="G636" s="6" t="s">
        <v>54</v>
      </c>
      <c r="H636" s="6" t="s">
        <v>55</v>
      </c>
      <c r="I636" s="6" t="s">
        <v>148</v>
      </c>
      <c r="J636" s="6" t="s">
        <v>23</v>
      </c>
      <c r="K636" s="6" t="s">
        <v>34</v>
      </c>
      <c r="L636" s="6">
        <v>24</v>
      </c>
      <c r="M636" s="7">
        <v>4680</v>
      </c>
      <c r="N636" s="8">
        <v>0.05</v>
      </c>
      <c r="O636" s="9">
        <v>3250</v>
      </c>
    </row>
    <row r="637" spans="1:15" ht="18" x14ac:dyDescent="0.35">
      <c r="A637" s="4" t="s">
        <v>744</v>
      </c>
      <c r="B637" s="5">
        <v>45608</v>
      </c>
      <c r="C637" s="6" t="s">
        <v>26</v>
      </c>
      <c r="D637" s="6" t="s">
        <v>53</v>
      </c>
      <c r="E637" s="6" t="s">
        <v>105</v>
      </c>
      <c r="F637" s="6" t="s">
        <v>39</v>
      </c>
      <c r="G637" s="6" t="s">
        <v>20</v>
      </c>
      <c r="H637" s="6" t="s">
        <v>45</v>
      </c>
      <c r="I637" s="6" t="s">
        <v>46</v>
      </c>
      <c r="J637" s="6" t="s">
        <v>23</v>
      </c>
      <c r="K637" s="6" t="s">
        <v>78</v>
      </c>
      <c r="L637" s="6">
        <v>25</v>
      </c>
      <c r="M637" s="7">
        <v>1899</v>
      </c>
      <c r="N637" s="8">
        <v>0.05</v>
      </c>
      <c r="O637" s="9">
        <v>1080</v>
      </c>
    </row>
    <row r="638" spans="1:15" ht="18" x14ac:dyDescent="0.35">
      <c r="A638" s="4" t="s">
        <v>745</v>
      </c>
      <c r="B638" s="5">
        <v>45608</v>
      </c>
      <c r="C638" s="6" t="s">
        <v>16</v>
      </c>
      <c r="D638" s="6" t="s">
        <v>126</v>
      </c>
      <c r="E638" s="6" t="s">
        <v>101</v>
      </c>
      <c r="F638" s="6" t="s">
        <v>19</v>
      </c>
      <c r="G638" s="6" t="s">
        <v>20</v>
      </c>
      <c r="H638" s="6" t="s">
        <v>45</v>
      </c>
      <c r="I638" s="6" t="s">
        <v>46</v>
      </c>
      <c r="J638" s="6" t="s">
        <v>33</v>
      </c>
      <c r="K638" s="6" t="s">
        <v>24</v>
      </c>
      <c r="L638" s="6">
        <v>26</v>
      </c>
      <c r="M638" s="7">
        <v>1899</v>
      </c>
      <c r="N638" s="8">
        <v>0.08</v>
      </c>
      <c r="O638" s="9">
        <v>1080</v>
      </c>
    </row>
    <row r="639" spans="1:15" ht="18" x14ac:dyDescent="0.35">
      <c r="A639" s="4" t="s">
        <v>746</v>
      </c>
      <c r="B639" s="5">
        <v>45608</v>
      </c>
      <c r="C639" s="6" t="s">
        <v>36</v>
      </c>
      <c r="D639" s="6" t="s">
        <v>121</v>
      </c>
      <c r="E639" s="6" t="s">
        <v>50</v>
      </c>
      <c r="F639" s="6" t="s">
        <v>29</v>
      </c>
      <c r="G639" s="6" t="s">
        <v>40</v>
      </c>
      <c r="H639" s="6" t="s">
        <v>41</v>
      </c>
      <c r="I639" s="6" t="s">
        <v>119</v>
      </c>
      <c r="J639" s="6" t="s">
        <v>33</v>
      </c>
      <c r="K639" s="6" t="s">
        <v>34</v>
      </c>
      <c r="L639" s="6">
        <v>2</v>
      </c>
      <c r="M639" s="7">
        <v>48990</v>
      </c>
      <c r="N639" s="8">
        <v>0.12</v>
      </c>
      <c r="O639" s="9">
        <v>30100</v>
      </c>
    </row>
    <row r="640" spans="1:15" ht="18" x14ac:dyDescent="0.35">
      <c r="A640" s="4" t="s">
        <v>747</v>
      </c>
      <c r="B640" s="5">
        <v>45609</v>
      </c>
      <c r="C640" s="6" t="s">
        <v>36</v>
      </c>
      <c r="D640" s="6" t="s">
        <v>121</v>
      </c>
      <c r="E640" s="6" t="s">
        <v>38</v>
      </c>
      <c r="F640" s="6" t="s">
        <v>19</v>
      </c>
      <c r="G640" s="6" t="s">
        <v>20</v>
      </c>
      <c r="H640" s="6" t="s">
        <v>45</v>
      </c>
      <c r="I640" s="6" t="s">
        <v>103</v>
      </c>
      <c r="J640" s="6" t="s">
        <v>23</v>
      </c>
      <c r="K640" s="6" t="s">
        <v>34</v>
      </c>
      <c r="L640" s="6">
        <v>20</v>
      </c>
      <c r="M640" s="7">
        <v>1599</v>
      </c>
      <c r="N640" s="8">
        <v>0.15</v>
      </c>
      <c r="O640" s="9">
        <v>920</v>
      </c>
    </row>
    <row r="641" spans="1:15" ht="18" x14ac:dyDescent="0.35">
      <c r="A641" s="4" t="s">
        <v>748</v>
      </c>
      <c r="B641" s="5">
        <v>45609</v>
      </c>
      <c r="C641" s="6" t="s">
        <v>16</v>
      </c>
      <c r="D641" s="6" t="s">
        <v>17</v>
      </c>
      <c r="E641" s="6" t="s">
        <v>28</v>
      </c>
      <c r="F641" s="6" t="s">
        <v>19</v>
      </c>
      <c r="G641" s="6" t="s">
        <v>30</v>
      </c>
      <c r="H641" s="6" t="s">
        <v>61</v>
      </c>
      <c r="I641" s="6" t="s">
        <v>96</v>
      </c>
      <c r="J641" s="6" t="s">
        <v>57</v>
      </c>
      <c r="K641" s="6" t="s">
        <v>24</v>
      </c>
      <c r="L641" s="6">
        <v>36</v>
      </c>
      <c r="M641" s="7">
        <v>25110</v>
      </c>
      <c r="N641" s="8">
        <v>0.2</v>
      </c>
      <c r="O641" s="9">
        <v>16730</v>
      </c>
    </row>
    <row r="642" spans="1:15" ht="18" x14ac:dyDescent="0.35">
      <c r="A642" s="4" t="s">
        <v>749</v>
      </c>
      <c r="B642" s="5">
        <v>45610</v>
      </c>
      <c r="C642" s="6" t="s">
        <v>36</v>
      </c>
      <c r="D642" s="6" t="s">
        <v>44</v>
      </c>
      <c r="E642" s="6" t="s">
        <v>84</v>
      </c>
      <c r="F642" s="6" t="s">
        <v>19</v>
      </c>
      <c r="G642" s="6" t="s">
        <v>54</v>
      </c>
      <c r="H642" s="6" t="s">
        <v>90</v>
      </c>
      <c r="I642" s="6" t="s">
        <v>134</v>
      </c>
      <c r="J642" s="6" t="s">
        <v>33</v>
      </c>
      <c r="K642" s="6" t="s">
        <v>24</v>
      </c>
      <c r="L642" s="6">
        <v>27</v>
      </c>
      <c r="M642" s="7">
        <v>32800</v>
      </c>
      <c r="N642" s="8">
        <v>0.18</v>
      </c>
      <c r="O642" s="9">
        <v>23100</v>
      </c>
    </row>
    <row r="643" spans="1:15" ht="18" x14ac:dyDescent="0.35">
      <c r="A643" s="4" t="s">
        <v>750</v>
      </c>
      <c r="B643" s="5">
        <v>45610</v>
      </c>
      <c r="C643" s="6" t="s">
        <v>16</v>
      </c>
      <c r="D643" s="6" t="s">
        <v>98</v>
      </c>
      <c r="E643" s="6" t="s">
        <v>38</v>
      </c>
      <c r="F643" s="6" t="s">
        <v>19</v>
      </c>
      <c r="G643" s="6" t="s">
        <v>40</v>
      </c>
      <c r="H643" s="6" t="s">
        <v>76</v>
      </c>
      <c r="I643" s="6" t="s">
        <v>139</v>
      </c>
      <c r="J643" s="6" t="s">
        <v>57</v>
      </c>
      <c r="K643" s="6" t="s">
        <v>78</v>
      </c>
      <c r="L643" s="6">
        <v>20</v>
      </c>
      <c r="M643" s="7">
        <v>25999</v>
      </c>
      <c r="N643" s="8">
        <v>0.18</v>
      </c>
      <c r="O643" s="9">
        <v>17800</v>
      </c>
    </row>
    <row r="644" spans="1:15" ht="18" x14ac:dyDescent="0.35">
      <c r="A644" s="4" t="s">
        <v>751</v>
      </c>
      <c r="B644" s="5">
        <v>45611</v>
      </c>
      <c r="C644" s="6" t="s">
        <v>36</v>
      </c>
      <c r="D644" s="6" t="s">
        <v>121</v>
      </c>
      <c r="E644" s="6" t="s">
        <v>105</v>
      </c>
      <c r="F644" s="6" t="s">
        <v>39</v>
      </c>
      <c r="G644" s="6" t="s">
        <v>30</v>
      </c>
      <c r="H644" s="6" t="s">
        <v>61</v>
      </c>
      <c r="I644" s="6" t="s">
        <v>186</v>
      </c>
      <c r="J644" s="6" t="s">
        <v>23</v>
      </c>
      <c r="K644" s="6" t="s">
        <v>34</v>
      </c>
      <c r="L644" s="6">
        <v>36</v>
      </c>
      <c r="M644" s="7">
        <v>6999</v>
      </c>
      <c r="N644" s="8">
        <v>0.1</v>
      </c>
      <c r="O644" s="9">
        <v>4320</v>
      </c>
    </row>
    <row r="645" spans="1:15" ht="18" x14ac:dyDescent="0.35">
      <c r="A645" s="4" t="s">
        <v>752</v>
      </c>
      <c r="B645" s="5">
        <v>45612</v>
      </c>
      <c r="C645" s="6" t="s">
        <v>36</v>
      </c>
      <c r="D645" s="6" t="s">
        <v>121</v>
      </c>
      <c r="E645" s="6" t="s">
        <v>84</v>
      </c>
      <c r="F645" s="6" t="s">
        <v>39</v>
      </c>
      <c r="G645" s="6" t="s">
        <v>20</v>
      </c>
      <c r="H645" s="6" t="s">
        <v>45</v>
      </c>
      <c r="I645" s="6" t="s">
        <v>46</v>
      </c>
      <c r="J645" s="6" t="s">
        <v>33</v>
      </c>
      <c r="K645" s="6" t="s">
        <v>66</v>
      </c>
      <c r="L645" s="6">
        <v>19</v>
      </c>
      <c r="M645" s="7">
        <v>1899</v>
      </c>
      <c r="N645" s="8">
        <v>0.12</v>
      </c>
      <c r="O645" s="9">
        <v>1080</v>
      </c>
    </row>
    <row r="646" spans="1:15" ht="18" x14ac:dyDescent="0.35">
      <c r="A646" s="4" t="s">
        <v>753</v>
      </c>
      <c r="B646" s="5">
        <v>45613</v>
      </c>
      <c r="C646" s="6" t="s">
        <v>82</v>
      </c>
      <c r="D646" s="6" t="s">
        <v>83</v>
      </c>
      <c r="E646" s="6" t="s">
        <v>105</v>
      </c>
      <c r="F646" s="6" t="s">
        <v>39</v>
      </c>
      <c r="G646" s="6" t="s">
        <v>20</v>
      </c>
      <c r="H646" s="6" t="s">
        <v>45</v>
      </c>
      <c r="I646" s="6" t="s">
        <v>46</v>
      </c>
      <c r="J646" s="6" t="s">
        <v>23</v>
      </c>
      <c r="K646" s="6" t="s">
        <v>24</v>
      </c>
      <c r="L646" s="6">
        <v>31</v>
      </c>
      <c r="M646" s="7">
        <v>1899</v>
      </c>
      <c r="N646" s="8">
        <v>0.08</v>
      </c>
      <c r="O646" s="9">
        <v>1080</v>
      </c>
    </row>
    <row r="647" spans="1:15" ht="18" x14ac:dyDescent="0.35">
      <c r="A647" s="4" t="s">
        <v>754</v>
      </c>
      <c r="B647" s="5">
        <v>45614</v>
      </c>
      <c r="C647" s="6" t="s">
        <v>16</v>
      </c>
      <c r="D647" s="6" t="s">
        <v>17</v>
      </c>
      <c r="E647" s="6" t="s">
        <v>75</v>
      </c>
      <c r="F647" s="6" t="s">
        <v>19</v>
      </c>
      <c r="G647" s="6" t="s">
        <v>20</v>
      </c>
      <c r="H647" s="6" t="s">
        <v>21</v>
      </c>
      <c r="I647" s="6" t="s">
        <v>115</v>
      </c>
      <c r="J647" s="6" t="s">
        <v>57</v>
      </c>
      <c r="K647" s="6" t="s">
        <v>34</v>
      </c>
      <c r="L647" s="6">
        <v>5</v>
      </c>
      <c r="M647" s="7">
        <v>6499</v>
      </c>
      <c r="N647" s="8">
        <v>0.15</v>
      </c>
      <c r="O647" s="9">
        <v>4210</v>
      </c>
    </row>
    <row r="648" spans="1:15" ht="18" x14ac:dyDescent="0.35">
      <c r="A648" s="4" t="s">
        <v>755</v>
      </c>
      <c r="B648" s="5">
        <v>45615</v>
      </c>
      <c r="C648" s="6" t="s">
        <v>82</v>
      </c>
      <c r="D648" s="6" t="s">
        <v>100</v>
      </c>
      <c r="E648" s="6" t="s">
        <v>18</v>
      </c>
      <c r="F648" s="6" t="s">
        <v>29</v>
      </c>
      <c r="G648" s="6" t="s">
        <v>30</v>
      </c>
      <c r="H648" s="6" t="s">
        <v>61</v>
      </c>
      <c r="I648" s="6" t="s">
        <v>62</v>
      </c>
      <c r="J648" s="6" t="s">
        <v>57</v>
      </c>
      <c r="K648" s="6" t="s">
        <v>34</v>
      </c>
      <c r="L648" s="6">
        <v>10</v>
      </c>
      <c r="M648" s="7">
        <v>12490</v>
      </c>
      <c r="N648" s="8">
        <v>0.15</v>
      </c>
      <c r="O648" s="9">
        <v>7900</v>
      </c>
    </row>
    <row r="649" spans="1:15" ht="18" x14ac:dyDescent="0.35">
      <c r="A649" s="4" t="s">
        <v>756</v>
      </c>
      <c r="B649" s="5">
        <v>45615</v>
      </c>
      <c r="C649" s="6" t="s">
        <v>16</v>
      </c>
      <c r="D649" s="6" t="s">
        <v>111</v>
      </c>
      <c r="E649" s="6" t="s">
        <v>69</v>
      </c>
      <c r="F649" s="6" t="s">
        <v>19</v>
      </c>
      <c r="G649" s="6" t="s">
        <v>40</v>
      </c>
      <c r="H649" s="6" t="s">
        <v>41</v>
      </c>
      <c r="I649" s="6" t="s">
        <v>119</v>
      </c>
      <c r="J649" s="6" t="s">
        <v>23</v>
      </c>
      <c r="K649" s="6" t="s">
        <v>78</v>
      </c>
      <c r="L649" s="6">
        <v>1</v>
      </c>
      <c r="M649" s="7">
        <v>48990</v>
      </c>
      <c r="N649" s="8">
        <v>0.18</v>
      </c>
      <c r="O649" s="9">
        <v>30100</v>
      </c>
    </row>
    <row r="650" spans="1:15" ht="18" x14ac:dyDescent="0.35">
      <c r="A650" s="4" t="s">
        <v>757</v>
      </c>
      <c r="B650" s="5">
        <v>45615</v>
      </c>
      <c r="C650" s="6" t="s">
        <v>26</v>
      </c>
      <c r="D650" s="6" t="s">
        <v>27</v>
      </c>
      <c r="E650" s="6" t="s">
        <v>69</v>
      </c>
      <c r="F650" s="6" t="s">
        <v>19</v>
      </c>
      <c r="G650" s="6" t="s">
        <v>30</v>
      </c>
      <c r="H650" s="6" t="s">
        <v>61</v>
      </c>
      <c r="I650" s="6" t="s">
        <v>96</v>
      </c>
      <c r="J650" s="6" t="s">
        <v>57</v>
      </c>
      <c r="K650" s="6" t="s">
        <v>24</v>
      </c>
      <c r="L650" s="6">
        <v>11</v>
      </c>
      <c r="M650" s="7">
        <v>25110</v>
      </c>
      <c r="N650" s="8">
        <v>0.12</v>
      </c>
      <c r="O650" s="9">
        <v>16730</v>
      </c>
    </row>
    <row r="651" spans="1:15" ht="18" x14ac:dyDescent="0.35">
      <c r="A651" s="4" t="s">
        <v>758</v>
      </c>
      <c r="B651" s="5">
        <v>45616</v>
      </c>
      <c r="C651" s="6" t="s">
        <v>36</v>
      </c>
      <c r="D651" s="6" t="s">
        <v>44</v>
      </c>
      <c r="E651" s="6" t="s">
        <v>60</v>
      </c>
      <c r="F651" s="6" t="s">
        <v>19</v>
      </c>
      <c r="G651" s="6" t="s">
        <v>54</v>
      </c>
      <c r="H651" s="6" t="s">
        <v>55</v>
      </c>
      <c r="I651" s="6" t="s">
        <v>56</v>
      </c>
      <c r="J651" s="6" t="s">
        <v>57</v>
      </c>
      <c r="K651" s="6" t="s">
        <v>66</v>
      </c>
      <c r="L651" s="6">
        <v>12</v>
      </c>
      <c r="M651" s="7">
        <v>7299</v>
      </c>
      <c r="N651" s="8">
        <v>0.1</v>
      </c>
      <c r="O651" s="9">
        <v>5010</v>
      </c>
    </row>
    <row r="652" spans="1:15" ht="18" x14ac:dyDescent="0.35">
      <c r="A652" s="4" t="s">
        <v>759</v>
      </c>
      <c r="B652" s="5">
        <v>45616</v>
      </c>
      <c r="C652" s="6" t="s">
        <v>16</v>
      </c>
      <c r="D652" s="6" t="s">
        <v>17</v>
      </c>
      <c r="E652" s="6" t="s">
        <v>38</v>
      </c>
      <c r="F652" s="6" t="s">
        <v>39</v>
      </c>
      <c r="G652" s="6" t="s">
        <v>20</v>
      </c>
      <c r="H652" s="6" t="s">
        <v>45</v>
      </c>
      <c r="I652" s="6" t="s">
        <v>103</v>
      </c>
      <c r="J652" s="6" t="s">
        <v>23</v>
      </c>
      <c r="K652" s="6" t="s">
        <v>24</v>
      </c>
      <c r="L652" s="6">
        <v>24</v>
      </c>
      <c r="M652" s="7">
        <v>1599</v>
      </c>
      <c r="N652" s="8">
        <v>0.12</v>
      </c>
      <c r="O652" s="9">
        <v>920</v>
      </c>
    </row>
    <row r="653" spans="1:15" ht="18" x14ac:dyDescent="0.35">
      <c r="A653" s="4" t="s">
        <v>760</v>
      </c>
      <c r="B653" s="5">
        <v>45617</v>
      </c>
      <c r="C653" s="6" t="s">
        <v>16</v>
      </c>
      <c r="D653" s="6" t="s">
        <v>98</v>
      </c>
      <c r="E653" s="6" t="s">
        <v>38</v>
      </c>
      <c r="F653" s="6" t="s">
        <v>39</v>
      </c>
      <c r="G653" s="6" t="s">
        <v>30</v>
      </c>
      <c r="H653" s="6" t="s">
        <v>61</v>
      </c>
      <c r="I653" s="6" t="s">
        <v>186</v>
      </c>
      <c r="J653" s="6" t="s">
        <v>57</v>
      </c>
      <c r="K653" s="6" t="s">
        <v>24</v>
      </c>
      <c r="L653" s="6">
        <v>28</v>
      </c>
      <c r="M653" s="7">
        <v>6999</v>
      </c>
      <c r="N653" s="8">
        <v>0.1</v>
      </c>
      <c r="O653" s="9">
        <v>4320</v>
      </c>
    </row>
    <row r="654" spans="1:15" ht="18" x14ac:dyDescent="0.35">
      <c r="A654" s="4" t="s">
        <v>761</v>
      </c>
      <c r="B654" s="5">
        <v>45617</v>
      </c>
      <c r="C654" s="6" t="s">
        <v>82</v>
      </c>
      <c r="D654" s="6" t="s">
        <v>183</v>
      </c>
      <c r="E654" s="6" t="s">
        <v>60</v>
      </c>
      <c r="F654" s="6" t="s">
        <v>39</v>
      </c>
      <c r="G654" s="6" t="s">
        <v>20</v>
      </c>
      <c r="H654" s="6" t="s">
        <v>45</v>
      </c>
      <c r="I654" s="6" t="s">
        <v>196</v>
      </c>
      <c r="J654" s="6" t="s">
        <v>23</v>
      </c>
      <c r="K654" s="6" t="s">
        <v>34</v>
      </c>
      <c r="L654" s="6">
        <v>37</v>
      </c>
      <c r="M654" s="7">
        <v>2499</v>
      </c>
      <c r="N654" s="8">
        <v>0.18</v>
      </c>
      <c r="O654" s="9">
        <v>1510</v>
      </c>
    </row>
    <row r="655" spans="1:15" ht="18" x14ac:dyDescent="0.35">
      <c r="A655" s="4" t="s">
        <v>762</v>
      </c>
      <c r="B655" s="5">
        <v>45618</v>
      </c>
      <c r="C655" s="6" t="s">
        <v>48</v>
      </c>
      <c r="D655" s="6" t="s">
        <v>49</v>
      </c>
      <c r="E655" s="6" t="s">
        <v>69</v>
      </c>
      <c r="F655" s="6" t="s">
        <v>19</v>
      </c>
      <c r="G655" s="6" t="s">
        <v>40</v>
      </c>
      <c r="H655" s="6" t="s">
        <v>64</v>
      </c>
      <c r="I655" s="6" t="s">
        <v>153</v>
      </c>
      <c r="J655" s="6" t="s">
        <v>33</v>
      </c>
      <c r="K655" s="6" t="s">
        <v>24</v>
      </c>
      <c r="L655" s="6">
        <v>39</v>
      </c>
      <c r="M655" s="7">
        <v>4490</v>
      </c>
      <c r="N655" s="8">
        <v>0.15</v>
      </c>
      <c r="O655" s="9">
        <v>2950</v>
      </c>
    </row>
    <row r="656" spans="1:15" ht="18" x14ac:dyDescent="0.35">
      <c r="A656" s="4" t="s">
        <v>763</v>
      </c>
      <c r="B656" s="5">
        <v>45618</v>
      </c>
      <c r="C656" s="6" t="s">
        <v>26</v>
      </c>
      <c r="D656" s="6" t="s">
        <v>53</v>
      </c>
      <c r="E656" s="6" t="s">
        <v>75</v>
      </c>
      <c r="F656" s="6" t="s">
        <v>39</v>
      </c>
      <c r="G656" s="6" t="s">
        <v>70</v>
      </c>
      <c r="H656" s="6" t="s">
        <v>71</v>
      </c>
      <c r="I656" s="6" t="s">
        <v>88</v>
      </c>
      <c r="J656" s="6" t="s">
        <v>57</v>
      </c>
      <c r="K656" s="6" t="s">
        <v>24</v>
      </c>
      <c r="L656" s="6">
        <v>30</v>
      </c>
      <c r="M656" s="7">
        <v>999</v>
      </c>
      <c r="N656" s="8">
        <v>0.1</v>
      </c>
      <c r="O656" s="9">
        <v>540</v>
      </c>
    </row>
    <row r="657" spans="1:15" ht="18" x14ac:dyDescent="0.35">
      <c r="A657" s="4" t="s">
        <v>764</v>
      </c>
      <c r="B657" s="5">
        <v>45619</v>
      </c>
      <c r="C657" s="6" t="s">
        <v>48</v>
      </c>
      <c r="D657" s="6" t="s">
        <v>93</v>
      </c>
      <c r="E657" s="6" t="s">
        <v>101</v>
      </c>
      <c r="F657" s="6" t="s">
        <v>39</v>
      </c>
      <c r="G657" s="6" t="s">
        <v>70</v>
      </c>
      <c r="H657" s="6" t="s">
        <v>71</v>
      </c>
      <c r="I657" s="6" t="s">
        <v>80</v>
      </c>
      <c r="J657" s="6" t="s">
        <v>57</v>
      </c>
      <c r="K657" s="6" t="s">
        <v>24</v>
      </c>
      <c r="L657" s="6">
        <v>38</v>
      </c>
      <c r="M657" s="7">
        <v>1299</v>
      </c>
      <c r="N657" s="8">
        <v>0.1</v>
      </c>
      <c r="O657" s="9">
        <v>720</v>
      </c>
    </row>
    <row r="658" spans="1:15" ht="18" x14ac:dyDescent="0.35">
      <c r="A658" s="4" t="s">
        <v>765</v>
      </c>
      <c r="B658" s="5">
        <v>45619</v>
      </c>
      <c r="C658" s="6" t="s">
        <v>16</v>
      </c>
      <c r="D658" s="6" t="s">
        <v>17</v>
      </c>
      <c r="E658" s="6" t="s">
        <v>75</v>
      </c>
      <c r="F658" s="6" t="s">
        <v>39</v>
      </c>
      <c r="G658" s="6" t="s">
        <v>30</v>
      </c>
      <c r="H658" s="6" t="s">
        <v>31</v>
      </c>
      <c r="I658" s="6" t="s">
        <v>106</v>
      </c>
      <c r="J658" s="6" t="s">
        <v>23</v>
      </c>
      <c r="K658" s="6" t="s">
        <v>24</v>
      </c>
      <c r="L658" s="6">
        <v>12</v>
      </c>
      <c r="M658" s="7">
        <v>52990</v>
      </c>
      <c r="N658" s="8">
        <v>0.15</v>
      </c>
      <c r="O658" s="9">
        <v>35100</v>
      </c>
    </row>
    <row r="659" spans="1:15" ht="18" x14ac:dyDescent="0.35">
      <c r="A659" s="4" t="s">
        <v>766</v>
      </c>
      <c r="B659" s="5">
        <v>45619</v>
      </c>
      <c r="C659" s="6" t="s">
        <v>36</v>
      </c>
      <c r="D659" s="6" t="s">
        <v>121</v>
      </c>
      <c r="E659" s="6" t="s">
        <v>105</v>
      </c>
      <c r="F659" s="6" t="s">
        <v>39</v>
      </c>
      <c r="G659" s="6" t="s">
        <v>20</v>
      </c>
      <c r="H659" s="6" t="s">
        <v>45</v>
      </c>
      <c r="I659" s="6" t="s">
        <v>46</v>
      </c>
      <c r="J659" s="6" t="s">
        <v>57</v>
      </c>
      <c r="K659" s="6" t="s">
        <v>66</v>
      </c>
      <c r="L659" s="6">
        <v>12</v>
      </c>
      <c r="M659" s="7">
        <v>1899</v>
      </c>
      <c r="N659" s="8">
        <v>0.08</v>
      </c>
      <c r="O659" s="9">
        <v>1080</v>
      </c>
    </row>
    <row r="660" spans="1:15" ht="18" x14ac:dyDescent="0.35">
      <c r="A660" s="4" t="s">
        <v>767</v>
      </c>
      <c r="B660" s="5">
        <v>45619</v>
      </c>
      <c r="C660" s="6" t="s">
        <v>48</v>
      </c>
      <c r="D660" s="6" t="s">
        <v>49</v>
      </c>
      <c r="E660" s="6" t="s">
        <v>84</v>
      </c>
      <c r="F660" s="6" t="s">
        <v>29</v>
      </c>
      <c r="G660" s="6" t="s">
        <v>70</v>
      </c>
      <c r="H660" s="6" t="s">
        <v>71</v>
      </c>
      <c r="I660" s="6" t="s">
        <v>72</v>
      </c>
      <c r="J660" s="6" t="s">
        <v>33</v>
      </c>
      <c r="K660" s="6" t="s">
        <v>34</v>
      </c>
      <c r="L660" s="6">
        <v>10</v>
      </c>
      <c r="M660" s="7">
        <v>3499</v>
      </c>
      <c r="N660" s="8">
        <v>0.18</v>
      </c>
      <c r="O660" s="9">
        <v>2190</v>
      </c>
    </row>
    <row r="661" spans="1:15" ht="18" x14ac:dyDescent="0.35">
      <c r="A661" s="4" t="s">
        <v>768</v>
      </c>
      <c r="B661" s="5">
        <v>45619</v>
      </c>
      <c r="C661" s="6" t="s">
        <v>16</v>
      </c>
      <c r="D661" s="6" t="s">
        <v>126</v>
      </c>
      <c r="E661" s="6" t="s">
        <v>38</v>
      </c>
      <c r="F661" s="6" t="s">
        <v>39</v>
      </c>
      <c r="G661" s="6" t="s">
        <v>20</v>
      </c>
      <c r="H661" s="6" t="s">
        <v>21</v>
      </c>
      <c r="I661" s="6" t="s">
        <v>115</v>
      </c>
      <c r="J661" s="6" t="s">
        <v>33</v>
      </c>
      <c r="K661" s="6" t="s">
        <v>24</v>
      </c>
      <c r="L661" s="6">
        <v>17</v>
      </c>
      <c r="M661" s="7">
        <v>6499</v>
      </c>
      <c r="N661" s="8">
        <v>0.1</v>
      </c>
      <c r="O661" s="9">
        <v>4210</v>
      </c>
    </row>
    <row r="662" spans="1:15" ht="18" x14ac:dyDescent="0.35">
      <c r="A662" s="4" t="s">
        <v>769</v>
      </c>
      <c r="B662" s="5">
        <v>45620</v>
      </c>
      <c r="C662" s="6" t="s">
        <v>16</v>
      </c>
      <c r="D662" s="6" t="s">
        <v>17</v>
      </c>
      <c r="E662" s="6" t="s">
        <v>38</v>
      </c>
      <c r="F662" s="6" t="s">
        <v>19</v>
      </c>
      <c r="G662" s="6" t="s">
        <v>54</v>
      </c>
      <c r="H662" s="6" t="s">
        <v>129</v>
      </c>
      <c r="I662" s="6" t="s">
        <v>145</v>
      </c>
      <c r="J662" s="6" t="s">
        <v>23</v>
      </c>
      <c r="K662" s="6" t="s">
        <v>78</v>
      </c>
      <c r="L662" s="6">
        <v>6</v>
      </c>
      <c r="M662" s="7">
        <v>31490</v>
      </c>
      <c r="N662" s="8">
        <v>0.15</v>
      </c>
      <c r="O662" s="9">
        <v>21300</v>
      </c>
    </row>
    <row r="663" spans="1:15" ht="18" x14ac:dyDescent="0.35">
      <c r="A663" s="4" t="s">
        <v>770</v>
      </c>
      <c r="B663" s="5">
        <v>45620</v>
      </c>
      <c r="C663" s="6" t="s">
        <v>82</v>
      </c>
      <c r="D663" s="6" t="s">
        <v>100</v>
      </c>
      <c r="E663" s="6" t="s">
        <v>60</v>
      </c>
      <c r="F663" s="6" t="s">
        <v>39</v>
      </c>
      <c r="G663" s="6" t="s">
        <v>70</v>
      </c>
      <c r="H663" s="6" t="s">
        <v>71</v>
      </c>
      <c r="I663" s="6" t="s">
        <v>88</v>
      </c>
      <c r="J663" s="6" t="s">
        <v>33</v>
      </c>
      <c r="K663" s="6" t="s">
        <v>24</v>
      </c>
      <c r="L663" s="6">
        <v>6</v>
      </c>
      <c r="M663" s="7">
        <v>999</v>
      </c>
      <c r="N663" s="8">
        <v>0.05</v>
      </c>
      <c r="O663" s="9">
        <v>540</v>
      </c>
    </row>
    <row r="664" spans="1:15" ht="18" x14ac:dyDescent="0.35">
      <c r="A664" s="4" t="s">
        <v>771</v>
      </c>
      <c r="B664" s="5">
        <v>45620</v>
      </c>
      <c r="C664" s="6" t="s">
        <v>26</v>
      </c>
      <c r="D664" s="6" t="s">
        <v>74</v>
      </c>
      <c r="E664" s="6" t="s">
        <v>69</v>
      </c>
      <c r="F664" s="6" t="s">
        <v>19</v>
      </c>
      <c r="G664" s="6" t="s">
        <v>30</v>
      </c>
      <c r="H664" s="6" t="s">
        <v>61</v>
      </c>
      <c r="I664" s="6" t="s">
        <v>186</v>
      </c>
      <c r="J664" s="6" t="s">
        <v>23</v>
      </c>
      <c r="K664" s="6" t="s">
        <v>24</v>
      </c>
      <c r="L664" s="6">
        <v>35</v>
      </c>
      <c r="M664" s="7">
        <v>6999</v>
      </c>
      <c r="N664" s="8">
        <v>0.05</v>
      </c>
      <c r="O664" s="9">
        <v>4320</v>
      </c>
    </row>
    <row r="665" spans="1:15" ht="18" x14ac:dyDescent="0.35">
      <c r="A665" s="4" t="s">
        <v>772</v>
      </c>
      <c r="B665" s="5">
        <v>45621</v>
      </c>
      <c r="C665" s="6" t="s">
        <v>16</v>
      </c>
      <c r="D665" s="6" t="s">
        <v>126</v>
      </c>
      <c r="E665" s="6" t="s">
        <v>101</v>
      </c>
      <c r="F665" s="6" t="s">
        <v>29</v>
      </c>
      <c r="G665" s="6" t="s">
        <v>54</v>
      </c>
      <c r="H665" s="6" t="s">
        <v>129</v>
      </c>
      <c r="I665" s="6" t="s">
        <v>130</v>
      </c>
      <c r="J665" s="6" t="s">
        <v>57</v>
      </c>
      <c r="K665" s="6" t="s">
        <v>24</v>
      </c>
      <c r="L665" s="6">
        <v>32</v>
      </c>
      <c r="M665" s="7">
        <v>27890</v>
      </c>
      <c r="N665" s="8">
        <v>0.12</v>
      </c>
      <c r="O665" s="9">
        <v>18800</v>
      </c>
    </row>
    <row r="666" spans="1:15" ht="18" x14ac:dyDescent="0.35">
      <c r="A666" s="4" t="s">
        <v>773</v>
      </c>
      <c r="B666" s="5">
        <v>45621</v>
      </c>
      <c r="C666" s="6" t="s">
        <v>26</v>
      </c>
      <c r="D666" s="6" t="s">
        <v>53</v>
      </c>
      <c r="E666" s="6" t="s">
        <v>50</v>
      </c>
      <c r="F666" s="6" t="s">
        <v>39</v>
      </c>
      <c r="G666" s="6" t="s">
        <v>40</v>
      </c>
      <c r="H666" s="6" t="s">
        <v>76</v>
      </c>
      <c r="I666" s="6" t="s">
        <v>77</v>
      </c>
      <c r="J666" s="6" t="s">
        <v>23</v>
      </c>
      <c r="K666" s="6" t="s">
        <v>66</v>
      </c>
      <c r="L666" s="6">
        <v>2</v>
      </c>
      <c r="M666" s="7">
        <v>52990</v>
      </c>
      <c r="N666" s="8">
        <v>0.05</v>
      </c>
      <c r="O666" s="9">
        <v>39500</v>
      </c>
    </row>
    <row r="667" spans="1:15" ht="18" x14ac:dyDescent="0.35">
      <c r="A667" s="4" t="s">
        <v>774</v>
      </c>
      <c r="B667" s="5">
        <v>45621</v>
      </c>
      <c r="C667" s="6" t="s">
        <v>48</v>
      </c>
      <c r="D667" s="6" t="s">
        <v>93</v>
      </c>
      <c r="E667" s="6" t="s">
        <v>38</v>
      </c>
      <c r="F667" s="6" t="s">
        <v>29</v>
      </c>
      <c r="G667" s="6" t="s">
        <v>70</v>
      </c>
      <c r="H667" s="6" t="s">
        <v>71</v>
      </c>
      <c r="I667" s="6" t="s">
        <v>88</v>
      </c>
      <c r="J667" s="6" t="s">
        <v>23</v>
      </c>
      <c r="K667" s="6" t="s">
        <v>78</v>
      </c>
      <c r="L667" s="6">
        <v>20</v>
      </c>
      <c r="M667" s="7">
        <v>999</v>
      </c>
      <c r="N667" s="8">
        <v>0.12</v>
      </c>
      <c r="O667" s="9">
        <v>540</v>
      </c>
    </row>
    <row r="668" spans="1:15" ht="18" x14ac:dyDescent="0.35">
      <c r="A668" s="4" t="s">
        <v>775</v>
      </c>
      <c r="B668" s="5">
        <v>45621</v>
      </c>
      <c r="C668" s="6" t="s">
        <v>16</v>
      </c>
      <c r="D668" s="6" t="s">
        <v>17</v>
      </c>
      <c r="E668" s="6" t="s">
        <v>84</v>
      </c>
      <c r="F668" s="6" t="s">
        <v>39</v>
      </c>
      <c r="G668" s="6" t="s">
        <v>30</v>
      </c>
      <c r="H668" s="6" t="s">
        <v>61</v>
      </c>
      <c r="I668" s="6" t="s">
        <v>96</v>
      </c>
      <c r="J668" s="6" t="s">
        <v>57</v>
      </c>
      <c r="K668" s="6" t="s">
        <v>78</v>
      </c>
      <c r="L668" s="6">
        <v>22</v>
      </c>
      <c r="M668" s="7">
        <v>25110</v>
      </c>
      <c r="N668" s="8">
        <v>0.2</v>
      </c>
      <c r="O668" s="9">
        <v>16730</v>
      </c>
    </row>
    <row r="669" spans="1:15" ht="18" x14ac:dyDescent="0.35">
      <c r="A669" s="4" t="s">
        <v>776</v>
      </c>
      <c r="B669" s="5">
        <v>45622</v>
      </c>
      <c r="C669" s="6" t="s">
        <v>48</v>
      </c>
      <c r="D669" s="6" t="s">
        <v>136</v>
      </c>
      <c r="E669" s="6" t="s">
        <v>69</v>
      </c>
      <c r="F669" s="6" t="s">
        <v>39</v>
      </c>
      <c r="G669" s="6" t="s">
        <v>20</v>
      </c>
      <c r="H669" s="6" t="s">
        <v>45</v>
      </c>
      <c r="I669" s="6" t="s">
        <v>196</v>
      </c>
      <c r="J669" s="6" t="s">
        <v>33</v>
      </c>
      <c r="K669" s="6" t="s">
        <v>24</v>
      </c>
      <c r="L669" s="6">
        <v>21</v>
      </c>
      <c r="M669" s="7">
        <v>2499</v>
      </c>
      <c r="N669" s="8">
        <v>0.1</v>
      </c>
      <c r="O669" s="9">
        <v>1510</v>
      </c>
    </row>
    <row r="670" spans="1:15" ht="18" x14ac:dyDescent="0.35">
      <c r="A670" s="4" t="s">
        <v>777</v>
      </c>
      <c r="B670" s="5">
        <v>45622</v>
      </c>
      <c r="C670" s="6" t="s">
        <v>26</v>
      </c>
      <c r="D670" s="6" t="s">
        <v>53</v>
      </c>
      <c r="E670" s="6" t="s">
        <v>69</v>
      </c>
      <c r="F670" s="6" t="s">
        <v>19</v>
      </c>
      <c r="G670" s="6" t="s">
        <v>70</v>
      </c>
      <c r="H670" s="6" t="s">
        <v>71</v>
      </c>
      <c r="I670" s="6" t="s">
        <v>88</v>
      </c>
      <c r="J670" s="6" t="s">
        <v>23</v>
      </c>
      <c r="K670" s="6" t="s">
        <v>24</v>
      </c>
      <c r="L670" s="6">
        <v>30</v>
      </c>
      <c r="M670" s="7">
        <v>999</v>
      </c>
      <c r="N670" s="8">
        <v>0.2</v>
      </c>
      <c r="O670" s="9">
        <v>540</v>
      </c>
    </row>
    <row r="671" spans="1:15" ht="18" x14ac:dyDescent="0.35">
      <c r="A671" s="4" t="s">
        <v>778</v>
      </c>
      <c r="B671" s="5">
        <v>45622</v>
      </c>
      <c r="C671" s="6" t="s">
        <v>82</v>
      </c>
      <c r="D671" s="6" t="s">
        <v>83</v>
      </c>
      <c r="E671" s="6" t="s">
        <v>69</v>
      </c>
      <c r="F671" s="6" t="s">
        <v>29</v>
      </c>
      <c r="G671" s="6" t="s">
        <v>70</v>
      </c>
      <c r="H671" s="6" t="s">
        <v>71</v>
      </c>
      <c r="I671" s="6" t="s">
        <v>88</v>
      </c>
      <c r="J671" s="6" t="s">
        <v>23</v>
      </c>
      <c r="K671" s="6" t="s">
        <v>34</v>
      </c>
      <c r="L671" s="6">
        <v>21</v>
      </c>
      <c r="M671" s="7">
        <v>999</v>
      </c>
      <c r="N671" s="8">
        <v>0.12</v>
      </c>
      <c r="O671" s="9">
        <v>540</v>
      </c>
    </row>
    <row r="672" spans="1:15" ht="18" x14ac:dyDescent="0.35">
      <c r="A672" s="4" t="s">
        <v>779</v>
      </c>
      <c r="B672" s="5">
        <v>45623</v>
      </c>
      <c r="C672" s="6" t="s">
        <v>48</v>
      </c>
      <c r="D672" s="6" t="s">
        <v>136</v>
      </c>
      <c r="E672" s="6" t="s">
        <v>75</v>
      </c>
      <c r="F672" s="6" t="s">
        <v>19</v>
      </c>
      <c r="G672" s="6" t="s">
        <v>30</v>
      </c>
      <c r="H672" s="6" t="s">
        <v>31</v>
      </c>
      <c r="I672" s="6" t="s">
        <v>106</v>
      </c>
      <c r="J672" s="6" t="s">
        <v>57</v>
      </c>
      <c r="K672" s="6" t="s">
        <v>24</v>
      </c>
      <c r="L672" s="6">
        <v>3</v>
      </c>
      <c r="M672" s="7">
        <v>52990</v>
      </c>
      <c r="N672" s="8">
        <v>0.2</v>
      </c>
      <c r="O672" s="9">
        <v>35100</v>
      </c>
    </row>
    <row r="673" spans="1:15" ht="18" x14ac:dyDescent="0.35">
      <c r="A673" s="4" t="s">
        <v>780</v>
      </c>
      <c r="B673" s="5">
        <v>45623</v>
      </c>
      <c r="C673" s="6" t="s">
        <v>26</v>
      </c>
      <c r="D673" s="6" t="s">
        <v>27</v>
      </c>
      <c r="E673" s="6" t="s">
        <v>105</v>
      </c>
      <c r="F673" s="6" t="s">
        <v>39</v>
      </c>
      <c r="G673" s="6" t="s">
        <v>70</v>
      </c>
      <c r="H673" s="6" t="s">
        <v>71</v>
      </c>
      <c r="I673" s="6" t="s">
        <v>80</v>
      </c>
      <c r="J673" s="6" t="s">
        <v>33</v>
      </c>
      <c r="K673" s="6" t="s">
        <v>66</v>
      </c>
      <c r="L673" s="6">
        <v>23</v>
      </c>
      <c r="M673" s="7">
        <v>1299</v>
      </c>
      <c r="N673" s="8">
        <v>0.08</v>
      </c>
      <c r="O673" s="9">
        <v>720</v>
      </c>
    </row>
    <row r="674" spans="1:15" ht="18" x14ac:dyDescent="0.35">
      <c r="A674" s="4" t="s">
        <v>781</v>
      </c>
      <c r="B674" s="5">
        <v>45623</v>
      </c>
      <c r="C674" s="6" t="s">
        <v>26</v>
      </c>
      <c r="D674" s="6" t="s">
        <v>74</v>
      </c>
      <c r="E674" s="6" t="s">
        <v>60</v>
      </c>
      <c r="F674" s="6" t="s">
        <v>19</v>
      </c>
      <c r="G674" s="6" t="s">
        <v>30</v>
      </c>
      <c r="H674" s="6" t="s">
        <v>61</v>
      </c>
      <c r="I674" s="6" t="s">
        <v>96</v>
      </c>
      <c r="J674" s="6" t="s">
        <v>23</v>
      </c>
      <c r="K674" s="6" t="s">
        <v>78</v>
      </c>
      <c r="L674" s="6">
        <v>33</v>
      </c>
      <c r="M674" s="7">
        <v>25110</v>
      </c>
      <c r="N674" s="8">
        <v>0.1</v>
      </c>
      <c r="O674" s="9">
        <v>16730</v>
      </c>
    </row>
    <row r="675" spans="1:15" ht="18" x14ac:dyDescent="0.35">
      <c r="A675" s="4" t="s">
        <v>782</v>
      </c>
      <c r="B675" s="5">
        <v>45624</v>
      </c>
      <c r="C675" s="6" t="s">
        <v>26</v>
      </c>
      <c r="D675" s="6" t="s">
        <v>27</v>
      </c>
      <c r="E675" s="6" t="s">
        <v>75</v>
      </c>
      <c r="F675" s="6" t="s">
        <v>29</v>
      </c>
      <c r="G675" s="6" t="s">
        <v>54</v>
      </c>
      <c r="H675" s="6" t="s">
        <v>55</v>
      </c>
      <c r="I675" s="6" t="s">
        <v>108</v>
      </c>
      <c r="J675" s="6" t="s">
        <v>23</v>
      </c>
      <c r="K675" s="6" t="s">
        <v>24</v>
      </c>
      <c r="L675" s="6">
        <v>36</v>
      </c>
      <c r="M675" s="7">
        <v>5890</v>
      </c>
      <c r="N675" s="8">
        <v>0.08</v>
      </c>
      <c r="O675" s="9">
        <v>3980</v>
      </c>
    </row>
    <row r="676" spans="1:15" ht="18" x14ac:dyDescent="0.35">
      <c r="A676" s="4" t="s">
        <v>783</v>
      </c>
      <c r="B676" s="5">
        <v>45624</v>
      </c>
      <c r="C676" s="6" t="s">
        <v>48</v>
      </c>
      <c r="D676" s="6" t="s">
        <v>68</v>
      </c>
      <c r="E676" s="6" t="s">
        <v>84</v>
      </c>
      <c r="F676" s="6" t="s">
        <v>39</v>
      </c>
      <c r="G676" s="6" t="s">
        <v>54</v>
      </c>
      <c r="H676" s="6" t="s">
        <v>55</v>
      </c>
      <c r="I676" s="6" t="s">
        <v>108</v>
      </c>
      <c r="J676" s="6" t="s">
        <v>57</v>
      </c>
      <c r="K676" s="6" t="s">
        <v>34</v>
      </c>
      <c r="L676" s="6">
        <v>38</v>
      </c>
      <c r="M676" s="7">
        <v>5890</v>
      </c>
      <c r="N676" s="8">
        <v>0.18</v>
      </c>
      <c r="O676" s="9">
        <v>3980</v>
      </c>
    </row>
    <row r="677" spans="1:15" ht="18" x14ac:dyDescent="0.35">
      <c r="A677" s="4" t="s">
        <v>784</v>
      </c>
      <c r="B677" s="5">
        <v>45624</v>
      </c>
      <c r="C677" s="6" t="s">
        <v>26</v>
      </c>
      <c r="D677" s="6" t="s">
        <v>27</v>
      </c>
      <c r="E677" s="6" t="s">
        <v>60</v>
      </c>
      <c r="F677" s="6" t="s">
        <v>19</v>
      </c>
      <c r="G677" s="6" t="s">
        <v>70</v>
      </c>
      <c r="H677" s="6" t="s">
        <v>71</v>
      </c>
      <c r="I677" s="6" t="s">
        <v>72</v>
      </c>
      <c r="J677" s="6" t="s">
        <v>33</v>
      </c>
      <c r="K677" s="6" t="s">
        <v>24</v>
      </c>
      <c r="L677" s="6">
        <v>21</v>
      </c>
      <c r="M677" s="7">
        <v>3499</v>
      </c>
      <c r="N677" s="8">
        <v>0.18</v>
      </c>
      <c r="O677" s="9">
        <v>2190</v>
      </c>
    </row>
    <row r="678" spans="1:15" ht="18" x14ac:dyDescent="0.35">
      <c r="A678" s="4" t="s">
        <v>785</v>
      </c>
      <c r="B678" s="5">
        <v>45625</v>
      </c>
      <c r="C678" s="6" t="s">
        <v>26</v>
      </c>
      <c r="D678" s="6" t="s">
        <v>27</v>
      </c>
      <c r="E678" s="6" t="s">
        <v>60</v>
      </c>
      <c r="F678" s="6" t="s">
        <v>39</v>
      </c>
      <c r="G678" s="6" t="s">
        <v>54</v>
      </c>
      <c r="H678" s="6" t="s">
        <v>55</v>
      </c>
      <c r="I678" s="6" t="s">
        <v>108</v>
      </c>
      <c r="J678" s="6" t="s">
        <v>33</v>
      </c>
      <c r="K678" s="6" t="s">
        <v>66</v>
      </c>
      <c r="L678" s="6">
        <v>14</v>
      </c>
      <c r="M678" s="7">
        <v>5890</v>
      </c>
      <c r="N678" s="8">
        <v>0.1</v>
      </c>
      <c r="O678" s="9">
        <v>3980</v>
      </c>
    </row>
    <row r="679" spans="1:15" ht="18" x14ac:dyDescent="0.35">
      <c r="A679" s="4" t="s">
        <v>786</v>
      </c>
      <c r="B679" s="5">
        <v>45625</v>
      </c>
      <c r="C679" s="6" t="s">
        <v>26</v>
      </c>
      <c r="D679" s="6" t="s">
        <v>163</v>
      </c>
      <c r="E679" s="6" t="s">
        <v>38</v>
      </c>
      <c r="F679" s="6" t="s">
        <v>39</v>
      </c>
      <c r="G679" s="6" t="s">
        <v>40</v>
      </c>
      <c r="H679" s="6" t="s">
        <v>41</v>
      </c>
      <c r="I679" s="6" t="s">
        <v>119</v>
      </c>
      <c r="J679" s="6" t="s">
        <v>23</v>
      </c>
      <c r="K679" s="6" t="s">
        <v>24</v>
      </c>
      <c r="L679" s="6">
        <v>28</v>
      </c>
      <c r="M679" s="7">
        <v>48990</v>
      </c>
      <c r="N679" s="8">
        <v>0.15</v>
      </c>
      <c r="O679" s="9">
        <v>30100</v>
      </c>
    </row>
    <row r="680" spans="1:15" ht="18" x14ac:dyDescent="0.35">
      <c r="A680" s="4" t="s">
        <v>787</v>
      </c>
      <c r="B680" s="5">
        <v>45626</v>
      </c>
      <c r="C680" s="6" t="s">
        <v>48</v>
      </c>
      <c r="D680" s="6" t="s">
        <v>93</v>
      </c>
      <c r="E680" s="6" t="s">
        <v>28</v>
      </c>
      <c r="F680" s="6" t="s">
        <v>39</v>
      </c>
      <c r="G680" s="6" t="s">
        <v>20</v>
      </c>
      <c r="H680" s="6" t="s">
        <v>21</v>
      </c>
      <c r="I680" s="6" t="s">
        <v>51</v>
      </c>
      <c r="J680" s="6" t="s">
        <v>57</v>
      </c>
      <c r="K680" s="6" t="s">
        <v>24</v>
      </c>
      <c r="L680" s="6">
        <v>8</v>
      </c>
      <c r="M680" s="7">
        <v>5999</v>
      </c>
      <c r="N680" s="8">
        <v>0.12</v>
      </c>
      <c r="O680" s="9">
        <v>3890</v>
      </c>
    </row>
    <row r="681" spans="1:15" ht="18" x14ac:dyDescent="0.35">
      <c r="A681" s="4" t="s">
        <v>788</v>
      </c>
      <c r="B681" s="5">
        <v>45626</v>
      </c>
      <c r="C681" s="6" t="s">
        <v>16</v>
      </c>
      <c r="D681" s="6" t="s">
        <v>111</v>
      </c>
      <c r="E681" s="6" t="s">
        <v>50</v>
      </c>
      <c r="F681" s="6" t="s">
        <v>39</v>
      </c>
      <c r="G681" s="6" t="s">
        <v>70</v>
      </c>
      <c r="H681" s="6" t="s">
        <v>71</v>
      </c>
      <c r="I681" s="6" t="s">
        <v>72</v>
      </c>
      <c r="J681" s="6" t="s">
        <v>23</v>
      </c>
      <c r="K681" s="6" t="s">
        <v>34</v>
      </c>
      <c r="L681" s="6">
        <v>24</v>
      </c>
      <c r="M681" s="7">
        <v>3499</v>
      </c>
      <c r="N681" s="8">
        <v>0.15</v>
      </c>
      <c r="O681" s="9">
        <v>2190</v>
      </c>
    </row>
    <row r="682" spans="1:15" ht="18" x14ac:dyDescent="0.35">
      <c r="A682" s="4" t="s">
        <v>789</v>
      </c>
      <c r="B682" s="5">
        <v>45627</v>
      </c>
      <c r="C682" s="6" t="s">
        <v>36</v>
      </c>
      <c r="D682" s="6" t="s">
        <v>59</v>
      </c>
      <c r="E682" s="6" t="s">
        <v>84</v>
      </c>
      <c r="F682" s="6" t="s">
        <v>19</v>
      </c>
      <c r="G682" s="6" t="s">
        <v>40</v>
      </c>
      <c r="H682" s="6" t="s">
        <v>64</v>
      </c>
      <c r="I682" s="6" t="s">
        <v>159</v>
      </c>
      <c r="J682" s="6" t="s">
        <v>33</v>
      </c>
      <c r="K682" s="6" t="s">
        <v>66</v>
      </c>
      <c r="L682" s="6">
        <v>10</v>
      </c>
      <c r="M682" s="7">
        <v>3299</v>
      </c>
      <c r="N682" s="8">
        <v>0.12</v>
      </c>
      <c r="O682" s="9">
        <v>2050</v>
      </c>
    </row>
    <row r="683" spans="1:15" ht="18" x14ac:dyDescent="0.35">
      <c r="A683" s="4" t="s">
        <v>790</v>
      </c>
      <c r="B683" s="5">
        <v>45627</v>
      </c>
      <c r="C683" s="6" t="s">
        <v>36</v>
      </c>
      <c r="D683" s="6" t="s">
        <v>121</v>
      </c>
      <c r="E683" s="6" t="s">
        <v>69</v>
      </c>
      <c r="F683" s="6" t="s">
        <v>19</v>
      </c>
      <c r="G683" s="6" t="s">
        <v>30</v>
      </c>
      <c r="H683" s="6" t="s">
        <v>31</v>
      </c>
      <c r="I683" s="6" t="s">
        <v>106</v>
      </c>
      <c r="J683" s="6" t="s">
        <v>23</v>
      </c>
      <c r="K683" s="6" t="s">
        <v>66</v>
      </c>
      <c r="L683" s="6">
        <v>10</v>
      </c>
      <c r="M683" s="7">
        <v>52990</v>
      </c>
      <c r="N683" s="8">
        <v>0.12</v>
      </c>
      <c r="O683" s="9">
        <v>35100</v>
      </c>
    </row>
    <row r="684" spans="1:15" ht="18" x14ac:dyDescent="0.35">
      <c r="A684" s="4" t="s">
        <v>791</v>
      </c>
      <c r="B684" s="5">
        <v>45627</v>
      </c>
      <c r="C684" s="6" t="s">
        <v>26</v>
      </c>
      <c r="D684" s="6" t="s">
        <v>163</v>
      </c>
      <c r="E684" s="6" t="s">
        <v>60</v>
      </c>
      <c r="F684" s="6" t="s">
        <v>29</v>
      </c>
      <c r="G684" s="6" t="s">
        <v>30</v>
      </c>
      <c r="H684" s="6" t="s">
        <v>61</v>
      </c>
      <c r="I684" s="6" t="s">
        <v>186</v>
      </c>
      <c r="J684" s="6" t="s">
        <v>23</v>
      </c>
      <c r="K684" s="6" t="s">
        <v>24</v>
      </c>
      <c r="L684" s="6">
        <v>32</v>
      </c>
      <c r="M684" s="7">
        <v>6999</v>
      </c>
      <c r="N684" s="8">
        <v>0.15</v>
      </c>
      <c r="O684" s="9">
        <v>4320</v>
      </c>
    </row>
    <row r="685" spans="1:15" ht="18" x14ac:dyDescent="0.35">
      <c r="A685" s="4" t="s">
        <v>792</v>
      </c>
      <c r="B685" s="5">
        <v>45627</v>
      </c>
      <c r="C685" s="6" t="s">
        <v>16</v>
      </c>
      <c r="D685" s="6" t="s">
        <v>111</v>
      </c>
      <c r="E685" s="6" t="s">
        <v>50</v>
      </c>
      <c r="F685" s="6" t="s">
        <v>19</v>
      </c>
      <c r="G685" s="6" t="s">
        <v>70</v>
      </c>
      <c r="H685" s="6" t="s">
        <v>71</v>
      </c>
      <c r="I685" s="6" t="s">
        <v>80</v>
      </c>
      <c r="J685" s="6" t="s">
        <v>57</v>
      </c>
      <c r="K685" s="6" t="s">
        <v>24</v>
      </c>
      <c r="L685" s="6">
        <v>18</v>
      </c>
      <c r="M685" s="7">
        <v>1299</v>
      </c>
      <c r="N685" s="8">
        <v>0.2</v>
      </c>
      <c r="O685" s="9">
        <v>720</v>
      </c>
    </row>
    <row r="686" spans="1:15" ht="18" x14ac:dyDescent="0.35">
      <c r="A686" s="4" t="s">
        <v>793</v>
      </c>
      <c r="B686" s="5">
        <v>45627</v>
      </c>
      <c r="C686" s="6" t="s">
        <v>16</v>
      </c>
      <c r="D686" s="6" t="s">
        <v>98</v>
      </c>
      <c r="E686" s="6" t="s">
        <v>60</v>
      </c>
      <c r="F686" s="6" t="s">
        <v>19</v>
      </c>
      <c r="G686" s="6" t="s">
        <v>20</v>
      </c>
      <c r="H686" s="6" t="s">
        <v>21</v>
      </c>
      <c r="I686" s="6" t="s">
        <v>51</v>
      </c>
      <c r="J686" s="6" t="s">
        <v>57</v>
      </c>
      <c r="K686" s="6" t="s">
        <v>24</v>
      </c>
      <c r="L686" s="6">
        <v>5</v>
      </c>
      <c r="M686" s="7">
        <v>5999</v>
      </c>
      <c r="N686" s="8">
        <v>0.1</v>
      </c>
      <c r="O686" s="9">
        <v>3890</v>
      </c>
    </row>
    <row r="687" spans="1:15" ht="18" x14ac:dyDescent="0.35">
      <c r="A687" s="4" t="s">
        <v>794</v>
      </c>
      <c r="B687" s="5">
        <v>45627</v>
      </c>
      <c r="C687" s="6" t="s">
        <v>16</v>
      </c>
      <c r="D687" s="6" t="s">
        <v>17</v>
      </c>
      <c r="E687" s="6" t="s">
        <v>75</v>
      </c>
      <c r="F687" s="6" t="s">
        <v>39</v>
      </c>
      <c r="G687" s="6" t="s">
        <v>40</v>
      </c>
      <c r="H687" s="6" t="s">
        <v>64</v>
      </c>
      <c r="I687" s="6" t="s">
        <v>153</v>
      </c>
      <c r="J687" s="6" t="s">
        <v>33</v>
      </c>
      <c r="K687" s="6" t="s">
        <v>78</v>
      </c>
      <c r="L687" s="6">
        <v>1</v>
      </c>
      <c r="M687" s="7">
        <v>4490</v>
      </c>
      <c r="N687" s="8">
        <v>0.12</v>
      </c>
      <c r="O687" s="9">
        <v>2950</v>
      </c>
    </row>
    <row r="688" spans="1:15" ht="18" x14ac:dyDescent="0.35">
      <c r="A688" s="4" t="s">
        <v>795</v>
      </c>
      <c r="B688" s="5">
        <v>45628</v>
      </c>
      <c r="C688" s="6" t="s">
        <v>26</v>
      </c>
      <c r="D688" s="6" t="s">
        <v>27</v>
      </c>
      <c r="E688" s="6" t="s">
        <v>101</v>
      </c>
      <c r="F688" s="6" t="s">
        <v>39</v>
      </c>
      <c r="G688" s="6" t="s">
        <v>30</v>
      </c>
      <c r="H688" s="6" t="s">
        <v>31</v>
      </c>
      <c r="I688" s="6" t="s">
        <v>85</v>
      </c>
      <c r="J688" s="6" t="s">
        <v>23</v>
      </c>
      <c r="K688" s="6" t="s">
        <v>78</v>
      </c>
      <c r="L688" s="6">
        <v>14</v>
      </c>
      <c r="M688" s="7">
        <v>43500</v>
      </c>
      <c r="N688" s="8">
        <v>0.08</v>
      </c>
      <c r="O688" s="9">
        <v>29520</v>
      </c>
    </row>
    <row r="689" spans="1:15" ht="18" x14ac:dyDescent="0.35">
      <c r="A689" s="4" t="s">
        <v>796</v>
      </c>
      <c r="B689" s="5">
        <v>45628</v>
      </c>
      <c r="C689" s="6" t="s">
        <v>36</v>
      </c>
      <c r="D689" s="6" t="s">
        <v>59</v>
      </c>
      <c r="E689" s="6" t="s">
        <v>50</v>
      </c>
      <c r="F689" s="6" t="s">
        <v>19</v>
      </c>
      <c r="G689" s="6" t="s">
        <v>40</v>
      </c>
      <c r="H689" s="6" t="s">
        <v>64</v>
      </c>
      <c r="I689" s="6" t="s">
        <v>159</v>
      </c>
      <c r="J689" s="6" t="s">
        <v>23</v>
      </c>
      <c r="K689" s="6" t="s">
        <v>24</v>
      </c>
      <c r="L689" s="6">
        <v>37</v>
      </c>
      <c r="M689" s="7">
        <v>3299</v>
      </c>
      <c r="N689" s="8">
        <v>0.05</v>
      </c>
      <c r="O689" s="9">
        <v>2050</v>
      </c>
    </row>
    <row r="690" spans="1:15" ht="18" x14ac:dyDescent="0.35">
      <c r="A690" s="4" t="s">
        <v>797</v>
      </c>
      <c r="B690" s="5">
        <v>45629</v>
      </c>
      <c r="C690" s="6" t="s">
        <v>36</v>
      </c>
      <c r="D690" s="6" t="s">
        <v>44</v>
      </c>
      <c r="E690" s="6" t="s">
        <v>28</v>
      </c>
      <c r="F690" s="6" t="s">
        <v>29</v>
      </c>
      <c r="G690" s="6" t="s">
        <v>54</v>
      </c>
      <c r="H690" s="6" t="s">
        <v>90</v>
      </c>
      <c r="I690" s="6" t="s">
        <v>91</v>
      </c>
      <c r="J690" s="6" t="s">
        <v>33</v>
      </c>
      <c r="K690" s="6" t="s">
        <v>78</v>
      </c>
      <c r="L690" s="6">
        <v>12</v>
      </c>
      <c r="M690" s="7">
        <v>31990</v>
      </c>
      <c r="N690" s="8">
        <v>0.15</v>
      </c>
      <c r="O690" s="9">
        <v>21800</v>
      </c>
    </row>
    <row r="691" spans="1:15" ht="18" x14ac:dyDescent="0.35">
      <c r="A691" s="4" t="s">
        <v>798</v>
      </c>
      <c r="B691" s="5">
        <v>45629</v>
      </c>
      <c r="C691" s="6" t="s">
        <v>36</v>
      </c>
      <c r="D691" s="6" t="s">
        <v>44</v>
      </c>
      <c r="E691" s="6" t="s">
        <v>101</v>
      </c>
      <c r="F691" s="6" t="s">
        <v>19</v>
      </c>
      <c r="G691" s="6" t="s">
        <v>70</v>
      </c>
      <c r="H691" s="6" t="s">
        <v>71</v>
      </c>
      <c r="I691" s="6" t="s">
        <v>88</v>
      </c>
      <c r="J691" s="6" t="s">
        <v>57</v>
      </c>
      <c r="K691" s="6" t="s">
        <v>66</v>
      </c>
      <c r="L691" s="6">
        <v>9</v>
      </c>
      <c r="M691" s="7">
        <v>999</v>
      </c>
      <c r="N691" s="8">
        <v>0.2</v>
      </c>
      <c r="O691" s="9">
        <v>540</v>
      </c>
    </row>
    <row r="692" spans="1:15" ht="18" x14ac:dyDescent="0.35">
      <c r="A692" s="4" t="s">
        <v>799</v>
      </c>
      <c r="B692" s="5">
        <v>45629</v>
      </c>
      <c r="C692" s="6" t="s">
        <v>36</v>
      </c>
      <c r="D692" s="6" t="s">
        <v>121</v>
      </c>
      <c r="E692" s="6" t="s">
        <v>50</v>
      </c>
      <c r="F692" s="6" t="s">
        <v>19</v>
      </c>
      <c r="G692" s="6" t="s">
        <v>30</v>
      </c>
      <c r="H692" s="6" t="s">
        <v>31</v>
      </c>
      <c r="I692" s="6" t="s">
        <v>106</v>
      </c>
      <c r="J692" s="6" t="s">
        <v>57</v>
      </c>
      <c r="K692" s="6" t="s">
        <v>24</v>
      </c>
      <c r="L692" s="6">
        <v>7</v>
      </c>
      <c r="M692" s="7">
        <v>52990</v>
      </c>
      <c r="N692" s="8">
        <v>0.15</v>
      </c>
      <c r="O692" s="9">
        <v>35100</v>
      </c>
    </row>
    <row r="693" spans="1:15" ht="18" x14ac:dyDescent="0.35">
      <c r="A693" s="4" t="s">
        <v>800</v>
      </c>
      <c r="B693" s="5">
        <v>45630</v>
      </c>
      <c r="C693" s="6" t="s">
        <v>82</v>
      </c>
      <c r="D693" s="6" t="s">
        <v>183</v>
      </c>
      <c r="E693" s="6" t="s">
        <v>101</v>
      </c>
      <c r="F693" s="6" t="s">
        <v>39</v>
      </c>
      <c r="G693" s="6" t="s">
        <v>70</v>
      </c>
      <c r="H693" s="6" t="s">
        <v>71</v>
      </c>
      <c r="I693" s="6" t="s">
        <v>88</v>
      </c>
      <c r="J693" s="6" t="s">
        <v>33</v>
      </c>
      <c r="K693" s="6" t="s">
        <v>24</v>
      </c>
      <c r="L693" s="6">
        <v>35</v>
      </c>
      <c r="M693" s="7">
        <v>999</v>
      </c>
      <c r="N693" s="8">
        <v>0.12</v>
      </c>
      <c r="O693" s="9">
        <v>540</v>
      </c>
    </row>
    <row r="694" spans="1:15" ht="18" x14ac:dyDescent="0.35">
      <c r="A694" s="4" t="s">
        <v>801</v>
      </c>
      <c r="B694" s="5">
        <v>45630</v>
      </c>
      <c r="C694" s="6" t="s">
        <v>36</v>
      </c>
      <c r="D694" s="6" t="s">
        <v>37</v>
      </c>
      <c r="E694" s="6" t="s">
        <v>75</v>
      </c>
      <c r="F694" s="6" t="s">
        <v>29</v>
      </c>
      <c r="G694" s="6" t="s">
        <v>54</v>
      </c>
      <c r="H694" s="6" t="s">
        <v>129</v>
      </c>
      <c r="I694" s="6" t="s">
        <v>192</v>
      </c>
      <c r="J694" s="6" t="s">
        <v>23</v>
      </c>
      <c r="K694" s="6" t="s">
        <v>24</v>
      </c>
      <c r="L694" s="6">
        <v>18</v>
      </c>
      <c r="M694" s="7">
        <v>29010</v>
      </c>
      <c r="N694" s="8">
        <v>0.12</v>
      </c>
      <c r="O694" s="9">
        <v>19100</v>
      </c>
    </row>
    <row r="695" spans="1:15" ht="18" x14ac:dyDescent="0.35">
      <c r="A695" s="4" t="s">
        <v>802</v>
      </c>
      <c r="B695" s="5">
        <v>45630</v>
      </c>
      <c r="C695" s="6" t="s">
        <v>82</v>
      </c>
      <c r="D695" s="6" t="s">
        <v>100</v>
      </c>
      <c r="E695" s="6" t="s">
        <v>60</v>
      </c>
      <c r="F695" s="6" t="s">
        <v>29</v>
      </c>
      <c r="G695" s="6" t="s">
        <v>40</v>
      </c>
      <c r="H695" s="6" t="s">
        <v>76</v>
      </c>
      <c r="I695" s="6" t="s">
        <v>139</v>
      </c>
      <c r="J695" s="6" t="s">
        <v>23</v>
      </c>
      <c r="K695" s="6" t="s">
        <v>78</v>
      </c>
      <c r="L695" s="6">
        <v>34</v>
      </c>
      <c r="M695" s="7">
        <v>25999</v>
      </c>
      <c r="N695" s="8">
        <v>0.05</v>
      </c>
      <c r="O695" s="9">
        <v>17800</v>
      </c>
    </row>
    <row r="696" spans="1:15" ht="18" x14ac:dyDescent="0.35">
      <c r="A696" s="4" t="s">
        <v>803</v>
      </c>
      <c r="B696" s="5">
        <v>45630</v>
      </c>
      <c r="C696" s="6" t="s">
        <v>26</v>
      </c>
      <c r="D696" s="6" t="s">
        <v>53</v>
      </c>
      <c r="E696" s="6" t="s">
        <v>18</v>
      </c>
      <c r="F696" s="6" t="s">
        <v>19</v>
      </c>
      <c r="G696" s="6" t="s">
        <v>30</v>
      </c>
      <c r="H696" s="6" t="s">
        <v>61</v>
      </c>
      <c r="I696" s="6" t="s">
        <v>186</v>
      </c>
      <c r="J696" s="6" t="s">
        <v>33</v>
      </c>
      <c r="K696" s="6" t="s">
        <v>66</v>
      </c>
      <c r="L696" s="6">
        <v>8</v>
      </c>
      <c r="M696" s="7">
        <v>6999</v>
      </c>
      <c r="N696" s="8">
        <v>0.05</v>
      </c>
      <c r="O696" s="9">
        <v>4320</v>
      </c>
    </row>
    <row r="697" spans="1:15" ht="18" x14ac:dyDescent="0.35">
      <c r="A697" s="4" t="s">
        <v>804</v>
      </c>
      <c r="B697" s="5">
        <v>45630</v>
      </c>
      <c r="C697" s="6" t="s">
        <v>36</v>
      </c>
      <c r="D697" s="6" t="s">
        <v>59</v>
      </c>
      <c r="E697" s="6" t="s">
        <v>105</v>
      </c>
      <c r="F697" s="6" t="s">
        <v>29</v>
      </c>
      <c r="G697" s="6" t="s">
        <v>40</v>
      </c>
      <c r="H697" s="6" t="s">
        <v>41</v>
      </c>
      <c r="I697" s="6" t="s">
        <v>42</v>
      </c>
      <c r="J697" s="6" t="s">
        <v>33</v>
      </c>
      <c r="K697" s="6" t="s">
        <v>24</v>
      </c>
      <c r="L697" s="6">
        <v>19</v>
      </c>
      <c r="M697" s="7">
        <v>55230</v>
      </c>
      <c r="N697" s="8">
        <v>0.15</v>
      </c>
      <c r="O697" s="9">
        <v>33800</v>
      </c>
    </row>
    <row r="698" spans="1:15" ht="18" x14ac:dyDescent="0.35">
      <c r="A698" s="4" t="s">
        <v>805</v>
      </c>
      <c r="B698" s="5">
        <v>45631</v>
      </c>
      <c r="C698" s="6" t="s">
        <v>26</v>
      </c>
      <c r="D698" s="6" t="s">
        <v>74</v>
      </c>
      <c r="E698" s="6" t="s">
        <v>28</v>
      </c>
      <c r="F698" s="6" t="s">
        <v>29</v>
      </c>
      <c r="G698" s="6" t="s">
        <v>40</v>
      </c>
      <c r="H698" s="6" t="s">
        <v>76</v>
      </c>
      <c r="I698" s="6" t="s">
        <v>139</v>
      </c>
      <c r="J698" s="6" t="s">
        <v>57</v>
      </c>
      <c r="K698" s="6" t="s">
        <v>66</v>
      </c>
      <c r="L698" s="6">
        <v>16</v>
      </c>
      <c r="M698" s="7">
        <v>25999</v>
      </c>
      <c r="N698" s="8">
        <v>0.1</v>
      </c>
      <c r="O698" s="9">
        <v>17800</v>
      </c>
    </row>
    <row r="699" spans="1:15" ht="18" x14ac:dyDescent="0.35">
      <c r="A699" s="4" t="s">
        <v>806</v>
      </c>
      <c r="B699" s="5">
        <v>45631</v>
      </c>
      <c r="C699" s="6" t="s">
        <v>16</v>
      </c>
      <c r="D699" s="6" t="s">
        <v>126</v>
      </c>
      <c r="E699" s="6" t="s">
        <v>105</v>
      </c>
      <c r="F699" s="6" t="s">
        <v>19</v>
      </c>
      <c r="G699" s="6" t="s">
        <v>40</v>
      </c>
      <c r="H699" s="6" t="s">
        <v>41</v>
      </c>
      <c r="I699" s="6" t="s">
        <v>42</v>
      </c>
      <c r="J699" s="6" t="s">
        <v>57</v>
      </c>
      <c r="K699" s="6" t="s">
        <v>66</v>
      </c>
      <c r="L699" s="6">
        <v>32</v>
      </c>
      <c r="M699" s="7">
        <v>55230</v>
      </c>
      <c r="N699" s="8">
        <v>0.1</v>
      </c>
      <c r="O699" s="9">
        <v>33800</v>
      </c>
    </row>
    <row r="700" spans="1:15" ht="18" x14ac:dyDescent="0.35">
      <c r="A700" s="4" t="s">
        <v>807</v>
      </c>
      <c r="B700" s="5">
        <v>45632</v>
      </c>
      <c r="C700" s="6" t="s">
        <v>82</v>
      </c>
      <c r="D700" s="6" t="s">
        <v>87</v>
      </c>
      <c r="E700" s="6" t="s">
        <v>105</v>
      </c>
      <c r="F700" s="6" t="s">
        <v>19</v>
      </c>
      <c r="G700" s="6" t="s">
        <v>20</v>
      </c>
      <c r="H700" s="6" t="s">
        <v>45</v>
      </c>
      <c r="I700" s="6" t="s">
        <v>196</v>
      </c>
      <c r="J700" s="6" t="s">
        <v>33</v>
      </c>
      <c r="K700" s="6" t="s">
        <v>24</v>
      </c>
      <c r="L700" s="6">
        <v>28</v>
      </c>
      <c r="M700" s="7">
        <v>2499</v>
      </c>
      <c r="N700" s="8">
        <v>0.1</v>
      </c>
      <c r="O700" s="9">
        <v>1510</v>
      </c>
    </row>
    <row r="701" spans="1:15" ht="18" x14ac:dyDescent="0.35">
      <c r="A701" s="4" t="s">
        <v>808</v>
      </c>
      <c r="B701" s="5">
        <v>45632</v>
      </c>
      <c r="C701" s="6" t="s">
        <v>82</v>
      </c>
      <c r="D701" s="6" t="s">
        <v>183</v>
      </c>
      <c r="E701" s="6" t="s">
        <v>50</v>
      </c>
      <c r="F701" s="6" t="s">
        <v>39</v>
      </c>
      <c r="G701" s="6" t="s">
        <v>70</v>
      </c>
      <c r="H701" s="6" t="s">
        <v>71</v>
      </c>
      <c r="I701" s="6" t="s">
        <v>88</v>
      </c>
      <c r="J701" s="6" t="s">
        <v>33</v>
      </c>
      <c r="K701" s="6" t="s">
        <v>34</v>
      </c>
      <c r="L701" s="6">
        <v>23</v>
      </c>
      <c r="M701" s="7">
        <v>999</v>
      </c>
      <c r="N701" s="8">
        <v>0.2</v>
      </c>
      <c r="O701" s="9">
        <v>540</v>
      </c>
    </row>
    <row r="702" spans="1:15" ht="18" x14ac:dyDescent="0.35">
      <c r="A702" s="4" t="s">
        <v>809</v>
      </c>
      <c r="B702" s="5">
        <v>45633</v>
      </c>
      <c r="C702" s="6" t="s">
        <v>36</v>
      </c>
      <c r="D702" s="6" t="s">
        <v>121</v>
      </c>
      <c r="E702" s="6" t="s">
        <v>28</v>
      </c>
      <c r="F702" s="6" t="s">
        <v>39</v>
      </c>
      <c r="G702" s="6" t="s">
        <v>54</v>
      </c>
      <c r="H702" s="6" t="s">
        <v>55</v>
      </c>
      <c r="I702" s="6" t="s">
        <v>56</v>
      </c>
      <c r="J702" s="6" t="s">
        <v>23</v>
      </c>
      <c r="K702" s="6" t="s">
        <v>24</v>
      </c>
      <c r="L702" s="6">
        <v>30</v>
      </c>
      <c r="M702" s="7">
        <v>7299</v>
      </c>
      <c r="N702" s="8">
        <v>0.1</v>
      </c>
      <c r="O702" s="9">
        <v>5010</v>
      </c>
    </row>
    <row r="703" spans="1:15" ht="18" x14ac:dyDescent="0.35">
      <c r="A703" s="4" t="s">
        <v>810</v>
      </c>
      <c r="B703" s="5">
        <v>45634</v>
      </c>
      <c r="C703" s="6" t="s">
        <v>48</v>
      </c>
      <c r="D703" s="6" t="s">
        <v>49</v>
      </c>
      <c r="E703" s="6" t="s">
        <v>75</v>
      </c>
      <c r="F703" s="6" t="s">
        <v>29</v>
      </c>
      <c r="G703" s="6" t="s">
        <v>40</v>
      </c>
      <c r="H703" s="6" t="s">
        <v>41</v>
      </c>
      <c r="I703" s="6" t="s">
        <v>42</v>
      </c>
      <c r="J703" s="6" t="s">
        <v>33</v>
      </c>
      <c r="K703" s="6" t="s">
        <v>78</v>
      </c>
      <c r="L703" s="6">
        <v>16</v>
      </c>
      <c r="M703" s="7">
        <v>55230</v>
      </c>
      <c r="N703" s="8">
        <v>0.1</v>
      </c>
      <c r="O703" s="9">
        <v>33800</v>
      </c>
    </row>
    <row r="704" spans="1:15" ht="18" x14ac:dyDescent="0.35">
      <c r="A704" s="4" t="s">
        <v>811</v>
      </c>
      <c r="B704" s="5">
        <v>45634</v>
      </c>
      <c r="C704" s="6" t="s">
        <v>48</v>
      </c>
      <c r="D704" s="6" t="s">
        <v>49</v>
      </c>
      <c r="E704" s="6" t="s">
        <v>75</v>
      </c>
      <c r="F704" s="6" t="s">
        <v>29</v>
      </c>
      <c r="G704" s="6" t="s">
        <v>54</v>
      </c>
      <c r="H704" s="6" t="s">
        <v>55</v>
      </c>
      <c r="I704" s="6" t="s">
        <v>108</v>
      </c>
      <c r="J704" s="6" t="s">
        <v>33</v>
      </c>
      <c r="K704" s="6" t="s">
        <v>24</v>
      </c>
      <c r="L704" s="6">
        <v>9</v>
      </c>
      <c r="M704" s="7">
        <v>5890</v>
      </c>
      <c r="N704" s="8">
        <v>0.12</v>
      </c>
      <c r="O704" s="9">
        <v>3980</v>
      </c>
    </row>
    <row r="705" spans="1:15" ht="18" x14ac:dyDescent="0.35">
      <c r="A705" s="4" t="s">
        <v>812</v>
      </c>
      <c r="B705" s="5">
        <v>45634</v>
      </c>
      <c r="C705" s="6" t="s">
        <v>26</v>
      </c>
      <c r="D705" s="6" t="s">
        <v>74</v>
      </c>
      <c r="E705" s="6" t="s">
        <v>101</v>
      </c>
      <c r="F705" s="6" t="s">
        <v>29</v>
      </c>
      <c r="G705" s="6" t="s">
        <v>30</v>
      </c>
      <c r="H705" s="6" t="s">
        <v>61</v>
      </c>
      <c r="I705" s="6" t="s">
        <v>96</v>
      </c>
      <c r="J705" s="6" t="s">
        <v>23</v>
      </c>
      <c r="K705" s="6" t="s">
        <v>66</v>
      </c>
      <c r="L705" s="6">
        <v>7</v>
      </c>
      <c r="M705" s="7">
        <v>25110</v>
      </c>
      <c r="N705" s="8">
        <v>0.05</v>
      </c>
      <c r="O705" s="9">
        <v>16730</v>
      </c>
    </row>
    <row r="706" spans="1:15" ht="18" x14ac:dyDescent="0.35">
      <c r="A706" s="4" t="s">
        <v>813</v>
      </c>
      <c r="B706" s="5">
        <v>45635</v>
      </c>
      <c r="C706" s="6" t="s">
        <v>16</v>
      </c>
      <c r="D706" s="6" t="s">
        <v>126</v>
      </c>
      <c r="E706" s="6" t="s">
        <v>105</v>
      </c>
      <c r="F706" s="6" t="s">
        <v>19</v>
      </c>
      <c r="G706" s="6" t="s">
        <v>40</v>
      </c>
      <c r="H706" s="6" t="s">
        <v>64</v>
      </c>
      <c r="I706" s="6" t="s">
        <v>153</v>
      </c>
      <c r="J706" s="6" t="s">
        <v>33</v>
      </c>
      <c r="K706" s="6" t="s">
        <v>66</v>
      </c>
      <c r="L706" s="6">
        <v>4</v>
      </c>
      <c r="M706" s="7">
        <v>4490</v>
      </c>
      <c r="N706" s="8">
        <v>0.18</v>
      </c>
      <c r="O706" s="9">
        <v>2950</v>
      </c>
    </row>
    <row r="707" spans="1:15" ht="18" x14ac:dyDescent="0.35">
      <c r="A707" s="4" t="s">
        <v>814</v>
      </c>
      <c r="B707" s="5">
        <v>45635</v>
      </c>
      <c r="C707" s="6" t="s">
        <v>16</v>
      </c>
      <c r="D707" s="6" t="s">
        <v>98</v>
      </c>
      <c r="E707" s="6" t="s">
        <v>84</v>
      </c>
      <c r="F707" s="6" t="s">
        <v>39</v>
      </c>
      <c r="G707" s="6" t="s">
        <v>40</v>
      </c>
      <c r="H707" s="6" t="s">
        <v>41</v>
      </c>
      <c r="I707" s="6" t="s">
        <v>42</v>
      </c>
      <c r="J707" s="6" t="s">
        <v>33</v>
      </c>
      <c r="K707" s="6" t="s">
        <v>34</v>
      </c>
      <c r="L707" s="6">
        <v>23</v>
      </c>
      <c r="M707" s="7">
        <v>55230</v>
      </c>
      <c r="N707" s="8">
        <v>0.15</v>
      </c>
      <c r="O707" s="9">
        <v>33800</v>
      </c>
    </row>
    <row r="708" spans="1:15" ht="18" x14ac:dyDescent="0.35">
      <c r="A708" s="4" t="s">
        <v>815</v>
      </c>
      <c r="B708" s="5">
        <v>45636</v>
      </c>
      <c r="C708" s="6" t="s">
        <v>16</v>
      </c>
      <c r="D708" s="6" t="s">
        <v>111</v>
      </c>
      <c r="E708" s="6" t="s">
        <v>28</v>
      </c>
      <c r="F708" s="6" t="s">
        <v>39</v>
      </c>
      <c r="G708" s="6" t="s">
        <v>54</v>
      </c>
      <c r="H708" s="6" t="s">
        <v>129</v>
      </c>
      <c r="I708" s="6" t="s">
        <v>130</v>
      </c>
      <c r="J708" s="6" t="s">
        <v>57</v>
      </c>
      <c r="K708" s="6" t="s">
        <v>78</v>
      </c>
      <c r="L708" s="6">
        <v>38</v>
      </c>
      <c r="M708" s="7">
        <v>27890</v>
      </c>
      <c r="N708" s="8">
        <v>0.05</v>
      </c>
      <c r="O708" s="9">
        <v>18800</v>
      </c>
    </row>
    <row r="709" spans="1:15" ht="18" x14ac:dyDescent="0.35">
      <c r="A709" s="4" t="s">
        <v>816</v>
      </c>
      <c r="B709" s="5">
        <v>45637</v>
      </c>
      <c r="C709" s="6" t="s">
        <v>82</v>
      </c>
      <c r="D709" s="6" t="s">
        <v>83</v>
      </c>
      <c r="E709" s="6" t="s">
        <v>50</v>
      </c>
      <c r="F709" s="6" t="s">
        <v>39</v>
      </c>
      <c r="G709" s="6" t="s">
        <v>40</v>
      </c>
      <c r="H709" s="6" t="s">
        <v>64</v>
      </c>
      <c r="I709" s="6" t="s">
        <v>65</v>
      </c>
      <c r="J709" s="6" t="s">
        <v>57</v>
      </c>
      <c r="K709" s="6" t="s">
        <v>24</v>
      </c>
      <c r="L709" s="6">
        <v>8</v>
      </c>
      <c r="M709" s="7">
        <v>1930</v>
      </c>
      <c r="N709" s="8">
        <v>0.12</v>
      </c>
      <c r="O709" s="9">
        <v>1120</v>
      </c>
    </row>
    <row r="710" spans="1:15" ht="18" x14ac:dyDescent="0.35">
      <c r="A710" s="4" t="s">
        <v>817</v>
      </c>
      <c r="B710" s="5">
        <v>45637</v>
      </c>
      <c r="C710" s="6" t="s">
        <v>16</v>
      </c>
      <c r="D710" s="6" t="s">
        <v>111</v>
      </c>
      <c r="E710" s="6" t="s">
        <v>101</v>
      </c>
      <c r="F710" s="6" t="s">
        <v>19</v>
      </c>
      <c r="G710" s="6" t="s">
        <v>40</v>
      </c>
      <c r="H710" s="6" t="s">
        <v>76</v>
      </c>
      <c r="I710" s="6" t="s">
        <v>77</v>
      </c>
      <c r="J710" s="6" t="s">
        <v>23</v>
      </c>
      <c r="K710" s="6" t="s">
        <v>34</v>
      </c>
      <c r="L710" s="6">
        <v>30</v>
      </c>
      <c r="M710" s="7">
        <v>52990</v>
      </c>
      <c r="N710" s="8">
        <v>0.2</v>
      </c>
      <c r="O710" s="9">
        <v>39500</v>
      </c>
    </row>
    <row r="711" spans="1:15" ht="18" x14ac:dyDescent="0.35">
      <c r="A711" s="4" t="s">
        <v>818</v>
      </c>
      <c r="B711" s="5">
        <v>45638</v>
      </c>
      <c r="C711" s="6" t="s">
        <v>26</v>
      </c>
      <c r="D711" s="6" t="s">
        <v>27</v>
      </c>
      <c r="E711" s="6" t="s">
        <v>84</v>
      </c>
      <c r="F711" s="6" t="s">
        <v>29</v>
      </c>
      <c r="G711" s="6" t="s">
        <v>30</v>
      </c>
      <c r="H711" s="6" t="s">
        <v>31</v>
      </c>
      <c r="I711" s="6" t="s">
        <v>32</v>
      </c>
      <c r="J711" s="6" t="s">
        <v>33</v>
      </c>
      <c r="K711" s="6" t="s">
        <v>34</v>
      </c>
      <c r="L711" s="6">
        <v>9</v>
      </c>
      <c r="M711" s="7">
        <v>38990</v>
      </c>
      <c r="N711" s="8">
        <v>0.18</v>
      </c>
      <c r="O711" s="9">
        <v>25400</v>
      </c>
    </row>
    <row r="712" spans="1:15" ht="18" x14ac:dyDescent="0.35">
      <c r="A712" s="4" t="s">
        <v>819</v>
      </c>
      <c r="B712" s="5">
        <v>45639</v>
      </c>
      <c r="C712" s="6" t="s">
        <v>36</v>
      </c>
      <c r="D712" s="6" t="s">
        <v>59</v>
      </c>
      <c r="E712" s="6" t="s">
        <v>18</v>
      </c>
      <c r="F712" s="6" t="s">
        <v>29</v>
      </c>
      <c r="G712" s="6" t="s">
        <v>30</v>
      </c>
      <c r="H712" s="6" t="s">
        <v>31</v>
      </c>
      <c r="I712" s="6" t="s">
        <v>106</v>
      </c>
      <c r="J712" s="6" t="s">
        <v>33</v>
      </c>
      <c r="K712" s="6" t="s">
        <v>24</v>
      </c>
      <c r="L712" s="6">
        <v>25</v>
      </c>
      <c r="M712" s="7">
        <v>52990</v>
      </c>
      <c r="N712" s="8">
        <v>0.15</v>
      </c>
      <c r="O712" s="9">
        <v>35100</v>
      </c>
    </row>
    <row r="713" spans="1:15" ht="18" x14ac:dyDescent="0.35">
      <c r="A713" s="4" t="s">
        <v>820</v>
      </c>
      <c r="B713" s="5">
        <v>45639</v>
      </c>
      <c r="C713" s="6" t="s">
        <v>48</v>
      </c>
      <c r="D713" s="6" t="s">
        <v>49</v>
      </c>
      <c r="E713" s="6" t="s">
        <v>105</v>
      </c>
      <c r="F713" s="6" t="s">
        <v>29</v>
      </c>
      <c r="G713" s="6" t="s">
        <v>30</v>
      </c>
      <c r="H713" s="6" t="s">
        <v>61</v>
      </c>
      <c r="I713" s="6" t="s">
        <v>186</v>
      </c>
      <c r="J713" s="6" t="s">
        <v>33</v>
      </c>
      <c r="K713" s="6" t="s">
        <v>24</v>
      </c>
      <c r="L713" s="6">
        <v>34</v>
      </c>
      <c r="M713" s="7">
        <v>6999</v>
      </c>
      <c r="N713" s="8">
        <v>0.12</v>
      </c>
      <c r="O713" s="9">
        <v>4320</v>
      </c>
    </row>
    <row r="714" spans="1:15" ht="18" x14ac:dyDescent="0.35">
      <c r="A714" s="4" t="s">
        <v>821</v>
      </c>
      <c r="B714" s="5">
        <v>45639</v>
      </c>
      <c r="C714" s="6" t="s">
        <v>36</v>
      </c>
      <c r="D714" s="6" t="s">
        <v>37</v>
      </c>
      <c r="E714" s="6" t="s">
        <v>84</v>
      </c>
      <c r="F714" s="6" t="s">
        <v>29</v>
      </c>
      <c r="G714" s="6" t="s">
        <v>20</v>
      </c>
      <c r="H714" s="6" t="s">
        <v>21</v>
      </c>
      <c r="I714" s="6" t="s">
        <v>115</v>
      </c>
      <c r="J714" s="6" t="s">
        <v>33</v>
      </c>
      <c r="K714" s="6" t="s">
        <v>34</v>
      </c>
      <c r="L714" s="6">
        <v>22</v>
      </c>
      <c r="M714" s="7">
        <v>6499</v>
      </c>
      <c r="N714" s="8">
        <v>0.2</v>
      </c>
      <c r="O714" s="9">
        <v>4210</v>
      </c>
    </row>
    <row r="715" spans="1:15" ht="18" x14ac:dyDescent="0.35">
      <c r="A715" s="4" t="s">
        <v>822</v>
      </c>
      <c r="B715" s="5">
        <v>45640</v>
      </c>
      <c r="C715" s="6" t="s">
        <v>36</v>
      </c>
      <c r="D715" s="6" t="s">
        <v>44</v>
      </c>
      <c r="E715" s="6" t="s">
        <v>69</v>
      </c>
      <c r="F715" s="6" t="s">
        <v>39</v>
      </c>
      <c r="G715" s="6" t="s">
        <v>40</v>
      </c>
      <c r="H715" s="6" t="s">
        <v>41</v>
      </c>
      <c r="I715" s="6" t="s">
        <v>42</v>
      </c>
      <c r="J715" s="6" t="s">
        <v>23</v>
      </c>
      <c r="K715" s="6" t="s">
        <v>24</v>
      </c>
      <c r="L715" s="6">
        <v>29</v>
      </c>
      <c r="M715" s="7">
        <v>55230</v>
      </c>
      <c r="N715" s="8">
        <v>0.12</v>
      </c>
      <c r="O715" s="9">
        <v>33800</v>
      </c>
    </row>
    <row r="716" spans="1:15" ht="18" x14ac:dyDescent="0.35">
      <c r="A716" s="4" t="s">
        <v>823</v>
      </c>
      <c r="B716" s="5">
        <v>45642</v>
      </c>
      <c r="C716" s="6" t="s">
        <v>48</v>
      </c>
      <c r="D716" s="6" t="s">
        <v>49</v>
      </c>
      <c r="E716" s="6" t="s">
        <v>60</v>
      </c>
      <c r="F716" s="6" t="s">
        <v>39</v>
      </c>
      <c r="G716" s="6" t="s">
        <v>70</v>
      </c>
      <c r="H716" s="6" t="s">
        <v>71</v>
      </c>
      <c r="I716" s="6" t="s">
        <v>88</v>
      </c>
      <c r="J716" s="6" t="s">
        <v>33</v>
      </c>
      <c r="K716" s="6" t="s">
        <v>24</v>
      </c>
      <c r="L716" s="6">
        <v>14</v>
      </c>
      <c r="M716" s="7">
        <v>999</v>
      </c>
      <c r="N716" s="8">
        <v>0.2</v>
      </c>
      <c r="O716" s="9">
        <v>540</v>
      </c>
    </row>
    <row r="717" spans="1:15" ht="18" x14ac:dyDescent="0.35">
      <c r="A717" s="4" t="s">
        <v>824</v>
      </c>
      <c r="B717" s="5">
        <v>45642</v>
      </c>
      <c r="C717" s="6" t="s">
        <v>36</v>
      </c>
      <c r="D717" s="6" t="s">
        <v>121</v>
      </c>
      <c r="E717" s="6" t="s">
        <v>38</v>
      </c>
      <c r="F717" s="6" t="s">
        <v>39</v>
      </c>
      <c r="G717" s="6" t="s">
        <v>70</v>
      </c>
      <c r="H717" s="6" t="s">
        <v>71</v>
      </c>
      <c r="I717" s="6" t="s">
        <v>80</v>
      </c>
      <c r="J717" s="6" t="s">
        <v>33</v>
      </c>
      <c r="K717" s="6" t="s">
        <v>24</v>
      </c>
      <c r="L717" s="6">
        <v>28</v>
      </c>
      <c r="M717" s="7">
        <v>1299</v>
      </c>
      <c r="N717" s="8">
        <v>0.1</v>
      </c>
      <c r="O717" s="9">
        <v>720</v>
      </c>
    </row>
    <row r="718" spans="1:15" ht="18" x14ac:dyDescent="0.35">
      <c r="A718" s="4" t="s">
        <v>825</v>
      </c>
      <c r="B718" s="5">
        <v>45643</v>
      </c>
      <c r="C718" s="6" t="s">
        <v>48</v>
      </c>
      <c r="D718" s="6" t="s">
        <v>49</v>
      </c>
      <c r="E718" s="6" t="s">
        <v>38</v>
      </c>
      <c r="F718" s="6" t="s">
        <v>29</v>
      </c>
      <c r="G718" s="6" t="s">
        <v>30</v>
      </c>
      <c r="H718" s="6" t="s">
        <v>31</v>
      </c>
      <c r="I718" s="6" t="s">
        <v>106</v>
      </c>
      <c r="J718" s="6" t="s">
        <v>33</v>
      </c>
      <c r="K718" s="6" t="s">
        <v>66</v>
      </c>
      <c r="L718" s="6">
        <v>22</v>
      </c>
      <c r="M718" s="7">
        <v>52990</v>
      </c>
      <c r="N718" s="8">
        <v>0.08</v>
      </c>
      <c r="O718" s="9">
        <v>35100</v>
      </c>
    </row>
    <row r="719" spans="1:15" ht="18" x14ac:dyDescent="0.35">
      <c r="A719" s="4" t="s">
        <v>826</v>
      </c>
      <c r="B719" s="5">
        <v>45644</v>
      </c>
      <c r="C719" s="6" t="s">
        <v>82</v>
      </c>
      <c r="D719" s="6" t="s">
        <v>83</v>
      </c>
      <c r="E719" s="6" t="s">
        <v>75</v>
      </c>
      <c r="F719" s="6" t="s">
        <v>29</v>
      </c>
      <c r="G719" s="6" t="s">
        <v>70</v>
      </c>
      <c r="H719" s="6" t="s">
        <v>71</v>
      </c>
      <c r="I719" s="6" t="s">
        <v>72</v>
      </c>
      <c r="J719" s="6" t="s">
        <v>57</v>
      </c>
      <c r="K719" s="6" t="s">
        <v>34</v>
      </c>
      <c r="L719" s="6">
        <v>35</v>
      </c>
      <c r="M719" s="7">
        <v>3499</v>
      </c>
      <c r="N719" s="8">
        <v>0.05</v>
      </c>
      <c r="O719" s="9">
        <v>2190</v>
      </c>
    </row>
    <row r="720" spans="1:15" ht="18" x14ac:dyDescent="0.35">
      <c r="A720" s="4" t="s">
        <v>827</v>
      </c>
      <c r="B720" s="5">
        <v>45645</v>
      </c>
      <c r="C720" s="6" t="s">
        <v>16</v>
      </c>
      <c r="D720" s="6" t="s">
        <v>98</v>
      </c>
      <c r="E720" s="6" t="s">
        <v>50</v>
      </c>
      <c r="F720" s="6" t="s">
        <v>29</v>
      </c>
      <c r="G720" s="6" t="s">
        <v>30</v>
      </c>
      <c r="H720" s="6" t="s">
        <v>31</v>
      </c>
      <c r="I720" s="6" t="s">
        <v>32</v>
      </c>
      <c r="J720" s="6" t="s">
        <v>23</v>
      </c>
      <c r="K720" s="6" t="s">
        <v>24</v>
      </c>
      <c r="L720" s="6">
        <v>5</v>
      </c>
      <c r="M720" s="7">
        <v>38990</v>
      </c>
      <c r="N720" s="8">
        <v>0.15</v>
      </c>
      <c r="O720" s="9">
        <v>25400</v>
      </c>
    </row>
    <row r="721" spans="1:15" ht="18" x14ac:dyDescent="0.35">
      <c r="A721" s="4" t="s">
        <v>828</v>
      </c>
      <c r="B721" s="5">
        <v>45645</v>
      </c>
      <c r="C721" s="6" t="s">
        <v>26</v>
      </c>
      <c r="D721" s="6" t="s">
        <v>163</v>
      </c>
      <c r="E721" s="6" t="s">
        <v>60</v>
      </c>
      <c r="F721" s="6" t="s">
        <v>29</v>
      </c>
      <c r="G721" s="6" t="s">
        <v>54</v>
      </c>
      <c r="H721" s="6" t="s">
        <v>55</v>
      </c>
      <c r="I721" s="6" t="s">
        <v>108</v>
      </c>
      <c r="J721" s="6" t="s">
        <v>33</v>
      </c>
      <c r="K721" s="6" t="s">
        <v>24</v>
      </c>
      <c r="L721" s="6">
        <v>36</v>
      </c>
      <c r="M721" s="7">
        <v>5890</v>
      </c>
      <c r="N721" s="8">
        <v>0.15</v>
      </c>
      <c r="O721" s="9">
        <v>3980</v>
      </c>
    </row>
    <row r="722" spans="1:15" ht="18" x14ac:dyDescent="0.35">
      <c r="A722" s="4" t="s">
        <v>829</v>
      </c>
      <c r="B722" s="5">
        <v>45645</v>
      </c>
      <c r="C722" s="6" t="s">
        <v>36</v>
      </c>
      <c r="D722" s="6" t="s">
        <v>37</v>
      </c>
      <c r="E722" s="6" t="s">
        <v>69</v>
      </c>
      <c r="F722" s="6" t="s">
        <v>19</v>
      </c>
      <c r="G722" s="6" t="s">
        <v>40</v>
      </c>
      <c r="H722" s="6" t="s">
        <v>41</v>
      </c>
      <c r="I722" s="6" t="s">
        <v>156</v>
      </c>
      <c r="J722" s="6" t="s">
        <v>33</v>
      </c>
      <c r="K722" s="6" t="s">
        <v>34</v>
      </c>
      <c r="L722" s="6">
        <v>23</v>
      </c>
      <c r="M722" s="7">
        <v>48500</v>
      </c>
      <c r="N722" s="8">
        <v>0.1</v>
      </c>
      <c r="O722" s="9">
        <v>30200</v>
      </c>
    </row>
    <row r="723" spans="1:15" ht="18" x14ac:dyDescent="0.35">
      <c r="A723" s="4" t="s">
        <v>830</v>
      </c>
      <c r="B723" s="5">
        <v>45645</v>
      </c>
      <c r="C723" s="6" t="s">
        <v>82</v>
      </c>
      <c r="D723" s="6" t="s">
        <v>100</v>
      </c>
      <c r="E723" s="6" t="s">
        <v>60</v>
      </c>
      <c r="F723" s="6" t="s">
        <v>39</v>
      </c>
      <c r="G723" s="6" t="s">
        <v>54</v>
      </c>
      <c r="H723" s="6" t="s">
        <v>90</v>
      </c>
      <c r="I723" s="6" t="s">
        <v>134</v>
      </c>
      <c r="J723" s="6" t="s">
        <v>33</v>
      </c>
      <c r="K723" s="6" t="s">
        <v>24</v>
      </c>
      <c r="L723" s="6">
        <v>6</v>
      </c>
      <c r="M723" s="7">
        <v>32800</v>
      </c>
      <c r="N723" s="8">
        <v>0.12</v>
      </c>
      <c r="O723" s="9">
        <v>23100</v>
      </c>
    </row>
    <row r="724" spans="1:15" ht="18" x14ac:dyDescent="0.35">
      <c r="A724" s="4" t="s">
        <v>831</v>
      </c>
      <c r="B724" s="5">
        <v>45646</v>
      </c>
      <c r="C724" s="6" t="s">
        <v>26</v>
      </c>
      <c r="D724" s="6" t="s">
        <v>74</v>
      </c>
      <c r="E724" s="6" t="s">
        <v>84</v>
      </c>
      <c r="F724" s="6" t="s">
        <v>19</v>
      </c>
      <c r="G724" s="6" t="s">
        <v>70</v>
      </c>
      <c r="H724" s="6" t="s">
        <v>71</v>
      </c>
      <c r="I724" s="6" t="s">
        <v>88</v>
      </c>
      <c r="J724" s="6" t="s">
        <v>57</v>
      </c>
      <c r="K724" s="6" t="s">
        <v>78</v>
      </c>
      <c r="L724" s="6">
        <v>33</v>
      </c>
      <c r="M724" s="7">
        <v>999</v>
      </c>
      <c r="N724" s="8">
        <v>0.2</v>
      </c>
      <c r="O724" s="9">
        <v>540</v>
      </c>
    </row>
    <row r="725" spans="1:15" ht="18" x14ac:dyDescent="0.35">
      <c r="A725" s="4" t="s">
        <v>832</v>
      </c>
      <c r="B725" s="5">
        <v>45647</v>
      </c>
      <c r="C725" s="6" t="s">
        <v>48</v>
      </c>
      <c r="D725" s="6" t="s">
        <v>68</v>
      </c>
      <c r="E725" s="6" t="s">
        <v>38</v>
      </c>
      <c r="F725" s="6" t="s">
        <v>29</v>
      </c>
      <c r="G725" s="6" t="s">
        <v>40</v>
      </c>
      <c r="H725" s="6" t="s">
        <v>64</v>
      </c>
      <c r="I725" s="6" t="s">
        <v>65</v>
      </c>
      <c r="J725" s="6" t="s">
        <v>23</v>
      </c>
      <c r="K725" s="6" t="s">
        <v>66</v>
      </c>
      <c r="L725" s="6">
        <v>16</v>
      </c>
      <c r="M725" s="7">
        <v>1930</v>
      </c>
      <c r="N725" s="8">
        <v>0.08</v>
      </c>
      <c r="O725" s="9">
        <v>1120</v>
      </c>
    </row>
    <row r="726" spans="1:15" ht="18" x14ac:dyDescent="0.35">
      <c r="A726" s="4" t="s">
        <v>833</v>
      </c>
      <c r="B726" s="5">
        <v>45647</v>
      </c>
      <c r="C726" s="6" t="s">
        <v>48</v>
      </c>
      <c r="D726" s="6" t="s">
        <v>49</v>
      </c>
      <c r="E726" s="6" t="s">
        <v>69</v>
      </c>
      <c r="F726" s="6" t="s">
        <v>19</v>
      </c>
      <c r="G726" s="6" t="s">
        <v>20</v>
      </c>
      <c r="H726" s="6" t="s">
        <v>21</v>
      </c>
      <c r="I726" s="6" t="s">
        <v>22</v>
      </c>
      <c r="J726" s="6" t="s">
        <v>57</v>
      </c>
      <c r="K726" s="6" t="s">
        <v>34</v>
      </c>
      <c r="L726" s="6">
        <v>10</v>
      </c>
      <c r="M726" s="7">
        <v>4499</v>
      </c>
      <c r="N726" s="8">
        <v>0.08</v>
      </c>
      <c r="O726" s="9">
        <v>2910</v>
      </c>
    </row>
    <row r="727" spans="1:15" ht="18" x14ac:dyDescent="0.35">
      <c r="A727" s="4" t="s">
        <v>834</v>
      </c>
      <c r="B727" s="5">
        <v>45648</v>
      </c>
      <c r="C727" s="6" t="s">
        <v>82</v>
      </c>
      <c r="D727" s="6" t="s">
        <v>183</v>
      </c>
      <c r="E727" s="6" t="s">
        <v>75</v>
      </c>
      <c r="F727" s="6" t="s">
        <v>29</v>
      </c>
      <c r="G727" s="6" t="s">
        <v>20</v>
      </c>
      <c r="H727" s="6" t="s">
        <v>21</v>
      </c>
      <c r="I727" s="6" t="s">
        <v>51</v>
      </c>
      <c r="J727" s="6" t="s">
        <v>57</v>
      </c>
      <c r="K727" s="6" t="s">
        <v>66</v>
      </c>
      <c r="L727" s="6">
        <v>37</v>
      </c>
      <c r="M727" s="7">
        <v>5999</v>
      </c>
      <c r="N727" s="8">
        <v>0.08</v>
      </c>
      <c r="O727" s="9">
        <v>3890</v>
      </c>
    </row>
    <row r="728" spans="1:15" ht="18" x14ac:dyDescent="0.35">
      <c r="A728" s="4" t="s">
        <v>835</v>
      </c>
      <c r="B728" s="5">
        <v>45648</v>
      </c>
      <c r="C728" s="6" t="s">
        <v>82</v>
      </c>
      <c r="D728" s="6" t="s">
        <v>83</v>
      </c>
      <c r="E728" s="6" t="s">
        <v>101</v>
      </c>
      <c r="F728" s="6" t="s">
        <v>29</v>
      </c>
      <c r="G728" s="6" t="s">
        <v>54</v>
      </c>
      <c r="H728" s="6" t="s">
        <v>55</v>
      </c>
      <c r="I728" s="6" t="s">
        <v>108</v>
      </c>
      <c r="J728" s="6" t="s">
        <v>33</v>
      </c>
      <c r="K728" s="6" t="s">
        <v>66</v>
      </c>
      <c r="L728" s="6">
        <v>31</v>
      </c>
      <c r="M728" s="7">
        <v>5890</v>
      </c>
      <c r="N728" s="8">
        <v>0.08</v>
      </c>
      <c r="O728" s="9">
        <v>3980</v>
      </c>
    </row>
    <row r="729" spans="1:15" ht="18" x14ac:dyDescent="0.35">
      <c r="A729" s="4" t="s">
        <v>836</v>
      </c>
      <c r="B729" s="5">
        <v>45648</v>
      </c>
      <c r="C729" s="6" t="s">
        <v>36</v>
      </c>
      <c r="D729" s="6" t="s">
        <v>59</v>
      </c>
      <c r="E729" s="6" t="s">
        <v>105</v>
      </c>
      <c r="F729" s="6" t="s">
        <v>19</v>
      </c>
      <c r="G729" s="6" t="s">
        <v>20</v>
      </c>
      <c r="H729" s="6" t="s">
        <v>21</v>
      </c>
      <c r="I729" s="6" t="s">
        <v>51</v>
      </c>
      <c r="J729" s="6" t="s">
        <v>57</v>
      </c>
      <c r="K729" s="6" t="s">
        <v>34</v>
      </c>
      <c r="L729" s="6">
        <v>37</v>
      </c>
      <c r="M729" s="7">
        <v>5999</v>
      </c>
      <c r="N729" s="8">
        <v>0.08</v>
      </c>
      <c r="O729" s="9">
        <v>3890</v>
      </c>
    </row>
    <row r="730" spans="1:15" ht="18" x14ac:dyDescent="0.35">
      <c r="A730" s="4" t="s">
        <v>837</v>
      </c>
      <c r="B730" s="5">
        <v>45648</v>
      </c>
      <c r="C730" s="6" t="s">
        <v>26</v>
      </c>
      <c r="D730" s="6" t="s">
        <v>74</v>
      </c>
      <c r="E730" s="6" t="s">
        <v>28</v>
      </c>
      <c r="F730" s="6" t="s">
        <v>19</v>
      </c>
      <c r="G730" s="6" t="s">
        <v>20</v>
      </c>
      <c r="H730" s="6" t="s">
        <v>45</v>
      </c>
      <c r="I730" s="6" t="s">
        <v>103</v>
      </c>
      <c r="J730" s="6" t="s">
        <v>23</v>
      </c>
      <c r="K730" s="6" t="s">
        <v>24</v>
      </c>
      <c r="L730" s="6">
        <v>8</v>
      </c>
      <c r="M730" s="7">
        <v>1599</v>
      </c>
      <c r="N730" s="8">
        <v>0.08</v>
      </c>
      <c r="O730" s="9">
        <v>920</v>
      </c>
    </row>
    <row r="731" spans="1:15" ht="18" x14ac:dyDescent="0.35">
      <c r="A731" s="4" t="s">
        <v>838</v>
      </c>
      <c r="B731" s="5">
        <v>45648</v>
      </c>
      <c r="C731" s="6" t="s">
        <v>26</v>
      </c>
      <c r="D731" s="6" t="s">
        <v>74</v>
      </c>
      <c r="E731" s="6" t="s">
        <v>105</v>
      </c>
      <c r="F731" s="6" t="s">
        <v>29</v>
      </c>
      <c r="G731" s="6" t="s">
        <v>70</v>
      </c>
      <c r="H731" s="6" t="s">
        <v>71</v>
      </c>
      <c r="I731" s="6" t="s">
        <v>80</v>
      </c>
      <c r="J731" s="6" t="s">
        <v>57</v>
      </c>
      <c r="K731" s="6" t="s">
        <v>34</v>
      </c>
      <c r="L731" s="6">
        <v>23</v>
      </c>
      <c r="M731" s="7">
        <v>1299</v>
      </c>
      <c r="N731" s="8">
        <v>0.15</v>
      </c>
      <c r="O731" s="9">
        <v>720</v>
      </c>
    </row>
    <row r="732" spans="1:15" ht="18" x14ac:dyDescent="0.35">
      <c r="A732" s="4" t="s">
        <v>839</v>
      </c>
      <c r="B732" s="5">
        <v>45648</v>
      </c>
      <c r="C732" s="6" t="s">
        <v>16</v>
      </c>
      <c r="D732" s="6" t="s">
        <v>98</v>
      </c>
      <c r="E732" s="6" t="s">
        <v>28</v>
      </c>
      <c r="F732" s="6" t="s">
        <v>19</v>
      </c>
      <c r="G732" s="6" t="s">
        <v>54</v>
      </c>
      <c r="H732" s="6" t="s">
        <v>55</v>
      </c>
      <c r="I732" s="6" t="s">
        <v>108</v>
      </c>
      <c r="J732" s="6" t="s">
        <v>33</v>
      </c>
      <c r="K732" s="6" t="s">
        <v>34</v>
      </c>
      <c r="L732" s="6">
        <v>13</v>
      </c>
      <c r="M732" s="7">
        <v>5890</v>
      </c>
      <c r="N732" s="8">
        <v>0.1</v>
      </c>
      <c r="O732" s="9">
        <v>3980</v>
      </c>
    </row>
    <row r="733" spans="1:15" ht="18" x14ac:dyDescent="0.35">
      <c r="A733" s="4" t="s">
        <v>840</v>
      </c>
      <c r="B733" s="5">
        <v>45649</v>
      </c>
      <c r="C733" s="6" t="s">
        <v>26</v>
      </c>
      <c r="D733" s="6" t="s">
        <v>74</v>
      </c>
      <c r="E733" s="6" t="s">
        <v>38</v>
      </c>
      <c r="F733" s="6" t="s">
        <v>29</v>
      </c>
      <c r="G733" s="6" t="s">
        <v>70</v>
      </c>
      <c r="H733" s="6" t="s">
        <v>71</v>
      </c>
      <c r="I733" s="6" t="s">
        <v>72</v>
      </c>
      <c r="J733" s="6" t="s">
        <v>23</v>
      </c>
      <c r="K733" s="6" t="s">
        <v>24</v>
      </c>
      <c r="L733" s="6">
        <v>30</v>
      </c>
      <c r="M733" s="7">
        <v>3499</v>
      </c>
      <c r="N733" s="8">
        <v>0.05</v>
      </c>
      <c r="O733" s="9">
        <v>2190</v>
      </c>
    </row>
    <row r="734" spans="1:15" ht="18" x14ac:dyDescent="0.35">
      <c r="A734" s="4" t="s">
        <v>841</v>
      </c>
      <c r="B734" s="5">
        <v>45649</v>
      </c>
      <c r="C734" s="6" t="s">
        <v>26</v>
      </c>
      <c r="D734" s="6" t="s">
        <v>27</v>
      </c>
      <c r="E734" s="6" t="s">
        <v>101</v>
      </c>
      <c r="F734" s="6" t="s">
        <v>39</v>
      </c>
      <c r="G734" s="6" t="s">
        <v>40</v>
      </c>
      <c r="H734" s="6" t="s">
        <v>76</v>
      </c>
      <c r="I734" s="6" t="s">
        <v>77</v>
      </c>
      <c r="J734" s="6" t="s">
        <v>23</v>
      </c>
      <c r="K734" s="6" t="s">
        <v>24</v>
      </c>
      <c r="L734" s="6">
        <v>21</v>
      </c>
      <c r="M734" s="7">
        <v>52990</v>
      </c>
      <c r="N734" s="8">
        <v>0.15</v>
      </c>
      <c r="O734" s="9">
        <v>39500</v>
      </c>
    </row>
    <row r="735" spans="1:15" ht="18" x14ac:dyDescent="0.35">
      <c r="A735" s="4" t="s">
        <v>842</v>
      </c>
      <c r="B735" s="5">
        <v>45649</v>
      </c>
      <c r="C735" s="6" t="s">
        <v>82</v>
      </c>
      <c r="D735" s="6" t="s">
        <v>183</v>
      </c>
      <c r="E735" s="6" t="s">
        <v>50</v>
      </c>
      <c r="F735" s="6" t="s">
        <v>29</v>
      </c>
      <c r="G735" s="6" t="s">
        <v>70</v>
      </c>
      <c r="H735" s="6" t="s">
        <v>71</v>
      </c>
      <c r="I735" s="6" t="s">
        <v>72</v>
      </c>
      <c r="J735" s="6" t="s">
        <v>23</v>
      </c>
      <c r="K735" s="6" t="s">
        <v>24</v>
      </c>
      <c r="L735" s="6">
        <v>18</v>
      </c>
      <c r="M735" s="7">
        <v>3499</v>
      </c>
      <c r="N735" s="8">
        <v>0.18</v>
      </c>
      <c r="O735" s="9">
        <v>2190</v>
      </c>
    </row>
    <row r="736" spans="1:15" ht="18" x14ac:dyDescent="0.35">
      <c r="A736" s="4" t="s">
        <v>843</v>
      </c>
      <c r="B736" s="5">
        <v>45650</v>
      </c>
      <c r="C736" s="6" t="s">
        <v>48</v>
      </c>
      <c r="D736" s="6" t="s">
        <v>68</v>
      </c>
      <c r="E736" s="6" t="s">
        <v>101</v>
      </c>
      <c r="F736" s="6" t="s">
        <v>29</v>
      </c>
      <c r="G736" s="6" t="s">
        <v>30</v>
      </c>
      <c r="H736" s="6" t="s">
        <v>61</v>
      </c>
      <c r="I736" s="6" t="s">
        <v>96</v>
      </c>
      <c r="J736" s="6" t="s">
        <v>57</v>
      </c>
      <c r="K736" s="6" t="s">
        <v>66</v>
      </c>
      <c r="L736" s="6">
        <v>20</v>
      </c>
      <c r="M736" s="7">
        <v>25110</v>
      </c>
      <c r="N736" s="8">
        <v>0.18</v>
      </c>
      <c r="O736" s="9">
        <v>16730</v>
      </c>
    </row>
    <row r="737" spans="1:15" ht="18" x14ac:dyDescent="0.35">
      <c r="A737" s="4" t="s">
        <v>844</v>
      </c>
      <c r="B737" s="5">
        <v>45650</v>
      </c>
      <c r="C737" s="6" t="s">
        <v>16</v>
      </c>
      <c r="D737" s="6" t="s">
        <v>98</v>
      </c>
      <c r="E737" s="6" t="s">
        <v>38</v>
      </c>
      <c r="F737" s="6" t="s">
        <v>39</v>
      </c>
      <c r="G737" s="6" t="s">
        <v>70</v>
      </c>
      <c r="H737" s="6" t="s">
        <v>71</v>
      </c>
      <c r="I737" s="6" t="s">
        <v>88</v>
      </c>
      <c r="J737" s="6" t="s">
        <v>57</v>
      </c>
      <c r="K737" s="6" t="s">
        <v>78</v>
      </c>
      <c r="L737" s="6">
        <v>34</v>
      </c>
      <c r="M737" s="7">
        <v>999</v>
      </c>
      <c r="N737" s="8">
        <v>0.18</v>
      </c>
      <c r="O737" s="9">
        <v>540</v>
      </c>
    </row>
    <row r="738" spans="1:15" ht="18" x14ac:dyDescent="0.35">
      <c r="A738" s="4" t="s">
        <v>845</v>
      </c>
      <c r="B738" s="5">
        <v>45651</v>
      </c>
      <c r="C738" s="6" t="s">
        <v>36</v>
      </c>
      <c r="D738" s="6" t="s">
        <v>59</v>
      </c>
      <c r="E738" s="6" t="s">
        <v>28</v>
      </c>
      <c r="F738" s="6" t="s">
        <v>39</v>
      </c>
      <c r="G738" s="6" t="s">
        <v>70</v>
      </c>
      <c r="H738" s="6" t="s">
        <v>71</v>
      </c>
      <c r="I738" s="6" t="s">
        <v>72</v>
      </c>
      <c r="J738" s="6" t="s">
        <v>23</v>
      </c>
      <c r="K738" s="6" t="s">
        <v>78</v>
      </c>
      <c r="L738" s="6">
        <v>22</v>
      </c>
      <c r="M738" s="7">
        <v>3499</v>
      </c>
      <c r="N738" s="8">
        <v>0.1</v>
      </c>
      <c r="O738" s="9">
        <v>2190</v>
      </c>
    </row>
    <row r="739" spans="1:15" ht="18" x14ac:dyDescent="0.35">
      <c r="A739" s="4" t="s">
        <v>846</v>
      </c>
      <c r="B739" s="5">
        <v>45652</v>
      </c>
      <c r="C739" s="6" t="s">
        <v>26</v>
      </c>
      <c r="D739" s="6" t="s">
        <v>27</v>
      </c>
      <c r="E739" s="6" t="s">
        <v>69</v>
      </c>
      <c r="F739" s="6" t="s">
        <v>29</v>
      </c>
      <c r="G739" s="6" t="s">
        <v>70</v>
      </c>
      <c r="H739" s="6" t="s">
        <v>71</v>
      </c>
      <c r="I739" s="6" t="s">
        <v>88</v>
      </c>
      <c r="J739" s="6" t="s">
        <v>23</v>
      </c>
      <c r="K739" s="6" t="s">
        <v>24</v>
      </c>
      <c r="L739" s="6">
        <v>37</v>
      </c>
      <c r="M739" s="7">
        <v>999</v>
      </c>
      <c r="N739" s="8">
        <v>0.08</v>
      </c>
      <c r="O739" s="9">
        <v>540</v>
      </c>
    </row>
    <row r="740" spans="1:15" ht="18" x14ac:dyDescent="0.35">
      <c r="A740" s="4" t="s">
        <v>847</v>
      </c>
      <c r="B740" s="5">
        <v>45652</v>
      </c>
      <c r="C740" s="6" t="s">
        <v>26</v>
      </c>
      <c r="D740" s="6" t="s">
        <v>27</v>
      </c>
      <c r="E740" s="6" t="s">
        <v>18</v>
      </c>
      <c r="F740" s="6" t="s">
        <v>29</v>
      </c>
      <c r="G740" s="6" t="s">
        <v>40</v>
      </c>
      <c r="H740" s="6" t="s">
        <v>41</v>
      </c>
      <c r="I740" s="6" t="s">
        <v>119</v>
      </c>
      <c r="J740" s="6" t="s">
        <v>33</v>
      </c>
      <c r="K740" s="6" t="s">
        <v>34</v>
      </c>
      <c r="L740" s="6">
        <v>39</v>
      </c>
      <c r="M740" s="7">
        <v>48990</v>
      </c>
      <c r="N740" s="8">
        <v>0.18</v>
      </c>
      <c r="O740" s="9">
        <v>30100</v>
      </c>
    </row>
    <row r="741" spans="1:15" ht="18" x14ac:dyDescent="0.35">
      <c r="A741" s="4" t="s">
        <v>848</v>
      </c>
      <c r="B741" s="5">
        <v>45652</v>
      </c>
      <c r="C741" s="6" t="s">
        <v>26</v>
      </c>
      <c r="D741" s="6" t="s">
        <v>74</v>
      </c>
      <c r="E741" s="6" t="s">
        <v>75</v>
      </c>
      <c r="F741" s="6" t="s">
        <v>39</v>
      </c>
      <c r="G741" s="6" t="s">
        <v>70</v>
      </c>
      <c r="H741" s="6" t="s">
        <v>71</v>
      </c>
      <c r="I741" s="6" t="s">
        <v>72</v>
      </c>
      <c r="J741" s="6" t="s">
        <v>23</v>
      </c>
      <c r="K741" s="6" t="s">
        <v>34</v>
      </c>
      <c r="L741" s="6">
        <v>25</v>
      </c>
      <c r="M741" s="7">
        <v>3499</v>
      </c>
      <c r="N741" s="8">
        <v>0.05</v>
      </c>
      <c r="O741" s="9">
        <v>2190</v>
      </c>
    </row>
    <row r="742" spans="1:15" ht="18" x14ac:dyDescent="0.35">
      <c r="A742" s="4" t="s">
        <v>849</v>
      </c>
      <c r="B742" s="5">
        <v>45652</v>
      </c>
      <c r="C742" s="6" t="s">
        <v>16</v>
      </c>
      <c r="D742" s="6" t="s">
        <v>98</v>
      </c>
      <c r="E742" s="6" t="s">
        <v>75</v>
      </c>
      <c r="F742" s="6" t="s">
        <v>29</v>
      </c>
      <c r="G742" s="6" t="s">
        <v>70</v>
      </c>
      <c r="H742" s="6" t="s">
        <v>71</v>
      </c>
      <c r="I742" s="6" t="s">
        <v>80</v>
      </c>
      <c r="J742" s="6" t="s">
        <v>23</v>
      </c>
      <c r="K742" s="6" t="s">
        <v>24</v>
      </c>
      <c r="L742" s="6">
        <v>5</v>
      </c>
      <c r="M742" s="7">
        <v>1299</v>
      </c>
      <c r="N742" s="8">
        <v>0.1</v>
      </c>
      <c r="O742" s="9">
        <v>720</v>
      </c>
    </row>
    <row r="743" spans="1:15" ht="18" x14ac:dyDescent="0.35">
      <c r="A743" s="4" t="s">
        <v>850</v>
      </c>
      <c r="B743" s="5">
        <v>45652</v>
      </c>
      <c r="C743" s="6" t="s">
        <v>16</v>
      </c>
      <c r="D743" s="6" t="s">
        <v>17</v>
      </c>
      <c r="E743" s="6" t="s">
        <v>69</v>
      </c>
      <c r="F743" s="6" t="s">
        <v>29</v>
      </c>
      <c r="G743" s="6" t="s">
        <v>40</v>
      </c>
      <c r="H743" s="6" t="s">
        <v>64</v>
      </c>
      <c r="I743" s="6" t="s">
        <v>65</v>
      </c>
      <c r="J743" s="6" t="s">
        <v>57</v>
      </c>
      <c r="K743" s="6" t="s">
        <v>78</v>
      </c>
      <c r="L743" s="6">
        <v>40</v>
      </c>
      <c r="M743" s="7">
        <v>1930</v>
      </c>
      <c r="N743" s="8">
        <v>0.12</v>
      </c>
      <c r="O743" s="9">
        <v>1120</v>
      </c>
    </row>
    <row r="744" spans="1:15" ht="18" x14ac:dyDescent="0.35">
      <c r="A744" s="4" t="s">
        <v>851</v>
      </c>
      <c r="B744" s="5">
        <v>45652</v>
      </c>
      <c r="C744" s="6" t="s">
        <v>36</v>
      </c>
      <c r="D744" s="6" t="s">
        <v>37</v>
      </c>
      <c r="E744" s="6" t="s">
        <v>60</v>
      </c>
      <c r="F744" s="6" t="s">
        <v>29</v>
      </c>
      <c r="G744" s="6" t="s">
        <v>54</v>
      </c>
      <c r="H744" s="6" t="s">
        <v>55</v>
      </c>
      <c r="I744" s="6" t="s">
        <v>148</v>
      </c>
      <c r="J744" s="6" t="s">
        <v>33</v>
      </c>
      <c r="K744" s="6" t="s">
        <v>34</v>
      </c>
      <c r="L744" s="6">
        <v>4</v>
      </c>
      <c r="M744" s="7">
        <v>4680</v>
      </c>
      <c r="N744" s="8">
        <v>0.1</v>
      </c>
      <c r="O744" s="9">
        <v>3250</v>
      </c>
    </row>
    <row r="745" spans="1:15" ht="18" x14ac:dyDescent="0.35">
      <c r="A745" s="4" t="s">
        <v>852</v>
      </c>
      <c r="B745" s="5">
        <v>45654</v>
      </c>
      <c r="C745" s="6" t="s">
        <v>48</v>
      </c>
      <c r="D745" s="6" t="s">
        <v>49</v>
      </c>
      <c r="E745" s="6" t="s">
        <v>69</v>
      </c>
      <c r="F745" s="6" t="s">
        <v>19</v>
      </c>
      <c r="G745" s="6" t="s">
        <v>54</v>
      </c>
      <c r="H745" s="6" t="s">
        <v>129</v>
      </c>
      <c r="I745" s="6" t="s">
        <v>145</v>
      </c>
      <c r="J745" s="6" t="s">
        <v>57</v>
      </c>
      <c r="K745" s="6" t="s">
        <v>78</v>
      </c>
      <c r="L745" s="6">
        <v>1</v>
      </c>
      <c r="M745" s="7">
        <v>31490</v>
      </c>
      <c r="N745" s="8">
        <v>0.15</v>
      </c>
      <c r="O745" s="9">
        <v>21300</v>
      </c>
    </row>
    <row r="746" spans="1:15" ht="18" x14ac:dyDescent="0.35">
      <c r="A746" s="4" t="s">
        <v>853</v>
      </c>
      <c r="B746" s="5">
        <v>45654</v>
      </c>
      <c r="C746" s="6" t="s">
        <v>48</v>
      </c>
      <c r="D746" s="6" t="s">
        <v>49</v>
      </c>
      <c r="E746" s="6" t="s">
        <v>105</v>
      </c>
      <c r="F746" s="6" t="s">
        <v>39</v>
      </c>
      <c r="G746" s="6" t="s">
        <v>54</v>
      </c>
      <c r="H746" s="6" t="s">
        <v>90</v>
      </c>
      <c r="I746" s="6" t="s">
        <v>258</v>
      </c>
      <c r="J746" s="6" t="s">
        <v>57</v>
      </c>
      <c r="K746" s="6" t="s">
        <v>24</v>
      </c>
      <c r="L746" s="6">
        <v>14</v>
      </c>
      <c r="M746" s="7">
        <v>29010</v>
      </c>
      <c r="N746" s="8">
        <v>0.15</v>
      </c>
      <c r="O746" s="9">
        <v>19150</v>
      </c>
    </row>
    <row r="747" spans="1:15" ht="18" x14ac:dyDescent="0.35">
      <c r="A747" s="4" t="s">
        <v>854</v>
      </c>
      <c r="B747" s="5">
        <v>45654</v>
      </c>
      <c r="C747" s="6" t="s">
        <v>48</v>
      </c>
      <c r="D747" s="6" t="s">
        <v>136</v>
      </c>
      <c r="E747" s="6" t="s">
        <v>18</v>
      </c>
      <c r="F747" s="6" t="s">
        <v>19</v>
      </c>
      <c r="G747" s="6" t="s">
        <v>54</v>
      </c>
      <c r="H747" s="6" t="s">
        <v>129</v>
      </c>
      <c r="I747" s="6" t="s">
        <v>192</v>
      </c>
      <c r="J747" s="6" t="s">
        <v>23</v>
      </c>
      <c r="K747" s="6" t="s">
        <v>24</v>
      </c>
      <c r="L747" s="6">
        <v>14</v>
      </c>
      <c r="M747" s="7">
        <v>29010</v>
      </c>
      <c r="N747" s="8">
        <v>0.15</v>
      </c>
      <c r="O747" s="9">
        <v>19100</v>
      </c>
    </row>
    <row r="748" spans="1:15" ht="18" x14ac:dyDescent="0.35">
      <c r="A748" s="4" t="s">
        <v>855</v>
      </c>
      <c r="B748" s="5">
        <v>45655</v>
      </c>
      <c r="C748" s="6" t="s">
        <v>48</v>
      </c>
      <c r="D748" s="6" t="s">
        <v>136</v>
      </c>
      <c r="E748" s="6" t="s">
        <v>101</v>
      </c>
      <c r="F748" s="6" t="s">
        <v>29</v>
      </c>
      <c r="G748" s="6" t="s">
        <v>70</v>
      </c>
      <c r="H748" s="6" t="s">
        <v>71</v>
      </c>
      <c r="I748" s="6" t="s">
        <v>72</v>
      </c>
      <c r="J748" s="6" t="s">
        <v>57</v>
      </c>
      <c r="K748" s="6" t="s">
        <v>24</v>
      </c>
      <c r="L748" s="6">
        <v>6</v>
      </c>
      <c r="M748" s="7">
        <v>3499</v>
      </c>
      <c r="N748" s="8">
        <v>0.1</v>
      </c>
      <c r="O748" s="9">
        <v>2190</v>
      </c>
    </row>
    <row r="749" spans="1:15" ht="18" x14ac:dyDescent="0.35">
      <c r="A749" s="4" t="s">
        <v>856</v>
      </c>
      <c r="B749" s="5">
        <v>45656</v>
      </c>
      <c r="C749" s="6" t="s">
        <v>82</v>
      </c>
      <c r="D749" s="6" t="s">
        <v>100</v>
      </c>
      <c r="E749" s="6" t="s">
        <v>50</v>
      </c>
      <c r="F749" s="6" t="s">
        <v>29</v>
      </c>
      <c r="G749" s="6" t="s">
        <v>30</v>
      </c>
      <c r="H749" s="6" t="s">
        <v>61</v>
      </c>
      <c r="I749" s="6" t="s">
        <v>62</v>
      </c>
      <c r="J749" s="6" t="s">
        <v>57</v>
      </c>
      <c r="K749" s="6" t="s">
        <v>24</v>
      </c>
      <c r="L749" s="6">
        <v>36</v>
      </c>
      <c r="M749" s="7">
        <v>12490</v>
      </c>
      <c r="N749" s="8">
        <v>0.05</v>
      </c>
      <c r="O749" s="9">
        <v>7900</v>
      </c>
    </row>
    <row r="750" spans="1:15" ht="18" x14ac:dyDescent="0.35">
      <c r="A750" s="4" t="s">
        <v>857</v>
      </c>
      <c r="B750" s="5">
        <v>45656</v>
      </c>
      <c r="C750" s="6" t="s">
        <v>16</v>
      </c>
      <c r="D750" s="6" t="s">
        <v>98</v>
      </c>
      <c r="E750" s="6" t="s">
        <v>28</v>
      </c>
      <c r="F750" s="6" t="s">
        <v>29</v>
      </c>
      <c r="G750" s="6" t="s">
        <v>30</v>
      </c>
      <c r="H750" s="6" t="s">
        <v>31</v>
      </c>
      <c r="I750" s="6" t="s">
        <v>106</v>
      </c>
      <c r="J750" s="6" t="s">
        <v>57</v>
      </c>
      <c r="K750" s="6" t="s">
        <v>24</v>
      </c>
      <c r="L750" s="6">
        <v>17</v>
      </c>
      <c r="M750" s="7">
        <v>52990</v>
      </c>
      <c r="N750" s="8">
        <v>0.18</v>
      </c>
      <c r="O750" s="9">
        <v>35100</v>
      </c>
    </row>
    <row r="751" spans="1:15" ht="18" x14ac:dyDescent="0.35">
      <c r="A751" s="4" t="s">
        <v>858</v>
      </c>
      <c r="B751" s="5">
        <v>45656</v>
      </c>
      <c r="C751" s="6" t="s">
        <v>36</v>
      </c>
      <c r="D751" s="6" t="s">
        <v>37</v>
      </c>
      <c r="E751" s="6" t="s">
        <v>105</v>
      </c>
      <c r="F751" s="6" t="s">
        <v>19</v>
      </c>
      <c r="G751" s="6" t="s">
        <v>70</v>
      </c>
      <c r="H751" s="6" t="s">
        <v>71</v>
      </c>
      <c r="I751" s="6" t="s">
        <v>80</v>
      </c>
      <c r="J751" s="6" t="s">
        <v>33</v>
      </c>
      <c r="K751" s="6" t="s">
        <v>78</v>
      </c>
      <c r="L751" s="6">
        <v>30</v>
      </c>
      <c r="M751" s="7">
        <v>1299</v>
      </c>
      <c r="N751" s="8">
        <v>0.15</v>
      </c>
      <c r="O751" s="9">
        <v>720</v>
      </c>
    </row>
    <row r="752" spans="1:15" ht="18" x14ac:dyDescent="0.35">
      <c r="A752" s="4" t="s">
        <v>859</v>
      </c>
      <c r="B752" s="5">
        <v>45658</v>
      </c>
      <c r="C752" s="6" t="s">
        <v>82</v>
      </c>
      <c r="D752" s="6" t="s">
        <v>83</v>
      </c>
      <c r="E752" s="6" t="s">
        <v>101</v>
      </c>
      <c r="F752" s="6" t="s">
        <v>39</v>
      </c>
      <c r="G752" s="6" t="s">
        <v>40</v>
      </c>
      <c r="H752" s="6" t="s">
        <v>76</v>
      </c>
      <c r="I752" s="6" t="s">
        <v>77</v>
      </c>
      <c r="J752" s="6" t="s">
        <v>23</v>
      </c>
      <c r="K752" s="6" t="s">
        <v>24</v>
      </c>
      <c r="L752" s="6">
        <v>8</v>
      </c>
      <c r="M752" s="7">
        <v>52990</v>
      </c>
      <c r="N752" s="8">
        <v>0.05</v>
      </c>
      <c r="O752" s="9">
        <v>39500</v>
      </c>
    </row>
    <row r="753" spans="1:15" ht="18" x14ac:dyDescent="0.35">
      <c r="A753" s="4" t="s">
        <v>860</v>
      </c>
      <c r="B753" s="5">
        <v>45661</v>
      </c>
      <c r="C753" s="6" t="s">
        <v>26</v>
      </c>
      <c r="D753" s="6" t="s">
        <v>74</v>
      </c>
      <c r="E753" s="6" t="s">
        <v>38</v>
      </c>
      <c r="F753" s="6" t="s">
        <v>39</v>
      </c>
      <c r="G753" s="6" t="s">
        <v>70</v>
      </c>
      <c r="H753" s="6" t="s">
        <v>71</v>
      </c>
      <c r="I753" s="6" t="s">
        <v>72</v>
      </c>
      <c r="J753" s="6" t="s">
        <v>33</v>
      </c>
      <c r="K753" s="6" t="s">
        <v>78</v>
      </c>
      <c r="L753" s="6">
        <v>13</v>
      </c>
      <c r="M753" s="7">
        <v>3499</v>
      </c>
      <c r="N753" s="8">
        <v>0.2</v>
      </c>
      <c r="O753" s="9">
        <v>2190</v>
      </c>
    </row>
    <row r="754" spans="1:15" ht="18" x14ac:dyDescent="0.35">
      <c r="A754" s="4" t="s">
        <v>861</v>
      </c>
      <c r="B754" s="5">
        <v>45661</v>
      </c>
      <c r="C754" s="6" t="s">
        <v>36</v>
      </c>
      <c r="D754" s="6" t="s">
        <v>44</v>
      </c>
      <c r="E754" s="6" t="s">
        <v>18</v>
      </c>
      <c r="F754" s="6" t="s">
        <v>19</v>
      </c>
      <c r="G754" s="6" t="s">
        <v>70</v>
      </c>
      <c r="H754" s="6" t="s">
        <v>71</v>
      </c>
      <c r="I754" s="6" t="s">
        <v>72</v>
      </c>
      <c r="J754" s="6" t="s">
        <v>23</v>
      </c>
      <c r="K754" s="6" t="s">
        <v>34</v>
      </c>
      <c r="L754" s="6">
        <v>4</v>
      </c>
      <c r="M754" s="7">
        <v>3499</v>
      </c>
      <c r="N754" s="8">
        <v>0.1</v>
      </c>
      <c r="O754" s="9">
        <v>2190</v>
      </c>
    </row>
    <row r="755" spans="1:15" ht="18" x14ac:dyDescent="0.35">
      <c r="A755" s="4" t="s">
        <v>862</v>
      </c>
      <c r="B755" s="5">
        <v>45662</v>
      </c>
      <c r="C755" s="6" t="s">
        <v>16</v>
      </c>
      <c r="D755" s="6" t="s">
        <v>111</v>
      </c>
      <c r="E755" s="6" t="s">
        <v>101</v>
      </c>
      <c r="F755" s="6" t="s">
        <v>39</v>
      </c>
      <c r="G755" s="6" t="s">
        <v>30</v>
      </c>
      <c r="H755" s="6" t="s">
        <v>61</v>
      </c>
      <c r="I755" s="6" t="s">
        <v>62</v>
      </c>
      <c r="J755" s="6" t="s">
        <v>23</v>
      </c>
      <c r="K755" s="6" t="s">
        <v>24</v>
      </c>
      <c r="L755" s="6">
        <v>35</v>
      </c>
      <c r="M755" s="7">
        <v>12490</v>
      </c>
      <c r="N755" s="8">
        <v>0.1</v>
      </c>
      <c r="O755" s="9">
        <v>7900</v>
      </c>
    </row>
    <row r="756" spans="1:15" ht="18" x14ac:dyDescent="0.35">
      <c r="A756" s="4" t="s">
        <v>863</v>
      </c>
      <c r="B756" s="5">
        <v>45662</v>
      </c>
      <c r="C756" s="6" t="s">
        <v>26</v>
      </c>
      <c r="D756" s="6" t="s">
        <v>163</v>
      </c>
      <c r="E756" s="6" t="s">
        <v>50</v>
      </c>
      <c r="F756" s="6" t="s">
        <v>39</v>
      </c>
      <c r="G756" s="6" t="s">
        <v>70</v>
      </c>
      <c r="H756" s="6" t="s">
        <v>71</v>
      </c>
      <c r="I756" s="6" t="s">
        <v>88</v>
      </c>
      <c r="J756" s="6" t="s">
        <v>33</v>
      </c>
      <c r="K756" s="6" t="s">
        <v>24</v>
      </c>
      <c r="L756" s="6">
        <v>6</v>
      </c>
      <c r="M756" s="7">
        <v>999</v>
      </c>
      <c r="N756" s="8">
        <v>0.05</v>
      </c>
      <c r="O756" s="9">
        <v>540</v>
      </c>
    </row>
    <row r="757" spans="1:15" ht="18" x14ac:dyDescent="0.35">
      <c r="A757" s="4" t="s">
        <v>864</v>
      </c>
      <c r="B757" s="5">
        <v>45663</v>
      </c>
      <c r="C757" s="6" t="s">
        <v>36</v>
      </c>
      <c r="D757" s="6" t="s">
        <v>59</v>
      </c>
      <c r="E757" s="6" t="s">
        <v>75</v>
      </c>
      <c r="F757" s="6" t="s">
        <v>29</v>
      </c>
      <c r="G757" s="6" t="s">
        <v>30</v>
      </c>
      <c r="H757" s="6" t="s">
        <v>61</v>
      </c>
      <c r="I757" s="6" t="s">
        <v>62</v>
      </c>
      <c r="J757" s="6" t="s">
        <v>33</v>
      </c>
      <c r="K757" s="6" t="s">
        <v>24</v>
      </c>
      <c r="L757" s="6">
        <v>14</v>
      </c>
      <c r="M757" s="7">
        <v>12490</v>
      </c>
      <c r="N757" s="8">
        <v>0.15</v>
      </c>
      <c r="O757" s="9">
        <v>7900</v>
      </c>
    </row>
    <row r="758" spans="1:15" ht="18" x14ac:dyDescent="0.35">
      <c r="A758" s="4" t="s">
        <v>865</v>
      </c>
      <c r="B758" s="5">
        <v>45663</v>
      </c>
      <c r="C758" s="6" t="s">
        <v>26</v>
      </c>
      <c r="D758" s="6" t="s">
        <v>74</v>
      </c>
      <c r="E758" s="6" t="s">
        <v>28</v>
      </c>
      <c r="F758" s="6" t="s">
        <v>39</v>
      </c>
      <c r="G758" s="6" t="s">
        <v>54</v>
      </c>
      <c r="H758" s="6" t="s">
        <v>129</v>
      </c>
      <c r="I758" s="6" t="s">
        <v>145</v>
      </c>
      <c r="J758" s="6" t="s">
        <v>57</v>
      </c>
      <c r="K758" s="6" t="s">
        <v>66</v>
      </c>
      <c r="L758" s="6">
        <v>37</v>
      </c>
      <c r="M758" s="7">
        <v>31490</v>
      </c>
      <c r="N758" s="8">
        <v>0.12</v>
      </c>
      <c r="O758" s="9">
        <v>21300</v>
      </c>
    </row>
    <row r="759" spans="1:15" ht="18" x14ac:dyDescent="0.35">
      <c r="A759" s="4" t="s">
        <v>866</v>
      </c>
      <c r="B759" s="5">
        <v>45663</v>
      </c>
      <c r="C759" s="6" t="s">
        <v>26</v>
      </c>
      <c r="D759" s="6" t="s">
        <v>163</v>
      </c>
      <c r="E759" s="6" t="s">
        <v>28</v>
      </c>
      <c r="F759" s="6" t="s">
        <v>19</v>
      </c>
      <c r="G759" s="6" t="s">
        <v>40</v>
      </c>
      <c r="H759" s="6" t="s">
        <v>76</v>
      </c>
      <c r="I759" s="6" t="s">
        <v>77</v>
      </c>
      <c r="J759" s="6" t="s">
        <v>33</v>
      </c>
      <c r="K759" s="6" t="s">
        <v>24</v>
      </c>
      <c r="L759" s="6">
        <v>15</v>
      </c>
      <c r="M759" s="7">
        <v>52990</v>
      </c>
      <c r="N759" s="8">
        <v>0.05</v>
      </c>
      <c r="O759" s="9">
        <v>39500</v>
      </c>
    </row>
    <row r="760" spans="1:15" ht="18" x14ac:dyDescent="0.35">
      <c r="A760" s="4" t="s">
        <v>867</v>
      </c>
      <c r="B760" s="5">
        <v>45663</v>
      </c>
      <c r="C760" s="6" t="s">
        <v>48</v>
      </c>
      <c r="D760" s="6" t="s">
        <v>68</v>
      </c>
      <c r="E760" s="6" t="s">
        <v>105</v>
      </c>
      <c r="F760" s="6" t="s">
        <v>29</v>
      </c>
      <c r="G760" s="6" t="s">
        <v>30</v>
      </c>
      <c r="H760" s="6" t="s">
        <v>31</v>
      </c>
      <c r="I760" s="6" t="s">
        <v>85</v>
      </c>
      <c r="J760" s="6" t="s">
        <v>33</v>
      </c>
      <c r="K760" s="6" t="s">
        <v>24</v>
      </c>
      <c r="L760" s="6">
        <v>6</v>
      </c>
      <c r="M760" s="7">
        <v>43500</v>
      </c>
      <c r="N760" s="8">
        <v>0.15</v>
      </c>
      <c r="O760" s="9">
        <v>29520</v>
      </c>
    </row>
    <row r="761" spans="1:15" ht="18" x14ac:dyDescent="0.35">
      <c r="A761" s="4" t="s">
        <v>868</v>
      </c>
      <c r="B761" s="5">
        <v>45663</v>
      </c>
      <c r="C761" s="6" t="s">
        <v>48</v>
      </c>
      <c r="D761" s="6" t="s">
        <v>136</v>
      </c>
      <c r="E761" s="6" t="s">
        <v>60</v>
      </c>
      <c r="F761" s="6" t="s">
        <v>29</v>
      </c>
      <c r="G761" s="6" t="s">
        <v>54</v>
      </c>
      <c r="H761" s="6" t="s">
        <v>129</v>
      </c>
      <c r="I761" s="6" t="s">
        <v>192</v>
      </c>
      <c r="J761" s="6" t="s">
        <v>33</v>
      </c>
      <c r="K761" s="6" t="s">
        <v>24</v>
      </c>
      <c r="L761" s="6">
        <v>26</v>
      </c>
      <c r="M761" s="7">
        <v>29010</v>
      </c>
      <c r="N761" s="8">
        <v>0.1</v>
      </c>
      <c r="O761" s="9">
        <v>19100</v>
      </c>
    </row>
    <row r="762" spans="1:15" ht="18" x14ac:dyDescent="0.35">
      <c r="A762" s="4" t="s">
        <v>869</v>
      </c>
      <c r="B762" s="5">
        <v>45663</v>
      </c>
      <c r="C762" s="6" t="s">
        <v>16</v>
      </c>
      <c r="D762" s="6" t="s">
        <v>126</v>
      </c>
      <c r="E762" s="6" t="s">
        <v>50</v>
      </c>
      <c r="F762" s="6" t="s">
        <v>39</v>
      </c>
      <c r="G762" s="6" t="s">
        <v>30</v>
      </c>
      <c r="H762" s="6" t="s">
        <v>61</v>
      </c>
      <c r="I762" s="6" t="s">
        <v>62</v>
      </c>
      <c r="J762" s="6" t="s">
        <v>23</v>
      </c>
      <c r="K762" s="6" t="s">
        <v>24</v>
      </c>
      <c r="L762" s="6">
        <v>27</v>
      </c>
      <c r="M762" s="7">
        <v>12490</v>
      </c>
      <c r="N762" s="8">
        <v>0.18</v>
      </c>
      <c r="O762" s="9">
        <v>7900</v>
      </c>
    </row>
    <row r="763" spans="1:15" ht="18" x14ac:dyDescent="0.35">
      <c r="A763" s="4" t="s">
        <v>870</v>
      </c>
      <c r="B763" s="5">
        <v>45665</v>
      </c>
      <c r="C763" s="6" t="s">
        <v>48</v>
      </c>
      <c r="D763" s="6" t="s">
        <v>93</v>
      </c>
      <c r="E763" s="6" t="s">
        <v>69</v>
      </c>
      <c r="F763" s="6" t="s">
        <v>29</v>
      </c>
      <c r="G763" s="6" t="s">
        <v>30</v>
      </c>
      <c r="H763" s="6" t="s">
        <v>61</v>
      </c>
      <c r="I763" s="6" t="s">
        <v>96</v>
      </c>
      <c r="J763" s="6" t="s">
        <v>33</v>
      </c>
      <c r="K763" s="6" t="s">
        <v>78</v>
      </c>
      <c r="L763" s="6">
        <v>27</v>
      </c>
      <c r="M763" s="7">
        <v>25110</v>
      </c>
      <c r="N763" s="8">
        <v>0.05</v>
      </c>
      <c r="O763" s="9">
        <v>16730</v>
      </c>
    </row>
    <row r="764" spans="1:15" ht="18" x14ac:dyDescent="0.35">
      <c r="A764" s="4" t="s">
        <v>871</v>
      </c>
      <c r="B764" s="5">
        <v>45666</v>
      </c>
      <c r="C764" s="6" t="s">
        <v>26</v>
      </c>
      <c r="D764" s="6" t="s">
        <v>163</v>
      </c>
      <c r="E764" s="6" t="s">
        <v>105</v>
      </c>
      <c r="F764" s="6" t="s">
        <v>29</v>
      </c>
      <c r="G764" s="6" t="s">
        <v>40</v>
      </c>
      <c r="H764" s="6" t="s">
        <v>76</v>
      </c>
      <c r="I764" s="6" t="s">
        <v>139</v>
      </c>
      <c r="J764" s="6" t="s">
        <v>23</v>
      </c>
      <c r="K764" s="6" t="s">
        <v>24</v>
      </c>
      <c r="L764" s="6">
        <v>12</v>
      </c>
      <c r="M764" s="7">
        <v>25999</v>
      </c>
      <c r="N764" s="8">
        <v>0.1</v>
      </c>
      <c r="O764" s="9">
        <v>17800</v>
      </c>
    </row>
    <row r="765" spans="1:15" ht="18" x14ac:dyDescent="0.35">
      <c r="A765" s="4" t="s">
        <v>872</v>
      </c>
      <c r="B765" s="5">
        <v>45666</v>
      </c>
      <c r="C765" s="6" t="s">
        <v>16</v>
      </c>
      <c r="D765" s="6" t="s">
        <v>126</v>
      </c>
      <c r="E765" s="6" t="s">
        <v>60</v>
      </c>
      <c r="F765" s="6" t="s">
        <v>39</v>
      </c>
      <c r="G765" s="6" t="s">
        <v>30</v>
      </c>
      <c r="H765" s="6" t="s">
        <v>61</v>
      </c>
      <c r="I765" s="6" t="s">
        <v>96</v>
      </c>
      <c r="J765" s="6" t="s">
        <v>57</v>
      </c>
      <c r="K765" s="6" t="s">
        <v>24</v>
      </c>
      <c r="L765" s="6">
        <v>8</v>
      </c>
      <c r="M765" s="7">
        <v>25110</v>
      </c>
      <c r="N765" s="8">
        <v>0.08</v>
      </c>
      <c r="O765" s="9">
        <v>16730</v>
      </c>
    </row>
    <row r="766" spans="1:15" ht="18" x14ac:dyDescent="0.35">
      <c r="A766" s="4" t="s">
        <v>873</v>
      </c>
      <c r="B766" s="5">
        <v>45667</v>
      </c>
      <c r="C766" s="6" t="s">
        <v>36</v>
      </c>
      <c r="D766" s="6" t="s">
        <v>37</v>
      </c>
      <c r="E766" s="6" t="s">
        <v>18</v>
      </c>
      <c r="F766" s="6" t="s">
        <v>39</v>
      </c>
      <c r="G766" s="6" t="s">
        <v>70</v>
      </c>
      <c r="H766" s="6" t="s">
        <v>71</v>
      </c>
      <c r="I766" s="6" t="s">
        <v>88</v>
      </c>
      <c r="J766" s="6" t="s">
        <v>23</v>
      </c>
      <c r="K766" s="6" t="s">
        <v>24</v>
      </c>
      <c r="L766" s="6">
        <v>31</v>
      </c>
      <c r="M766" s="7">
        <v>999</v>
      </c>
      <c r="N766" s="8">
        <v>0.15</v>
      </c>
      <c r="O766" s="9">
        <v>540</v>
      </c>
    </row>
    <row r="767" spans="1:15" ht="18" x14ac:dyDescent="0.35">
      <c r="A767" s="4" t="s">
        <v>874</v>
      </c>
      <c r="B767" s="5">
        <v>45669</v>
      </c>
      <c r="C767" s="6" t="s">
        <v>48</v>
      </c>
      <c r="D767" s="6" t="s">
        <v>93</v>
      </c>
      <c r="E767" s="6" t="s">
        <v>38</v>
      </c>
      <c r="F767" s="6" t="s">
        <v>39</v>
      </c>
      <c r="G767" s="6" t="s">
        <v>40</v>
      </c>
      <c r="H767" s="6" t="s">
        <v>76</v>
      </c>
      <c r="I767" s="6" t="s">
        <v>77</v>
      </c>
      <c r="J767" s="6" t="s">
        <v>23</v>
      </c>
      <c r="K767" s="6" t="s">
        <v>24</v>
      </c>
      <c r="L767" s="6">
        <v>28</v>
      </c>
      <c r="M767" s="7">
        <v>52990</v>
      </c>
      <c r="N767" s="8">
        <v>0.12</v>
      </c>
      <c r="O767" s="9">
        <v>39500</v>
      </c>
    </row>
    <row r="768" spans="1:15" ht="18" x14ac:dyDescent="0.35">
      <c r="A768" s="4" t="s">
        <v>875</v>
      </c>
      <c r="B768" s="5">
        <v>45670</v>
      </c>
      <c r="C768" s="6" t="s">
        <v>36</v>
      </c>
      <c r="D768" s="6" t="s">
        <v>59</v>
      </c>
      <c r="E768" s="6" t="s">
        <v>69</v>
      </c>
      <c r="F768" s="6" t="s">
        <v>39</v>
      </c>
      <c r="G768" s="6" t="s">
        <v>40</v>
      </c>
      <c r="H768" s="6" t="s">
        <v>76</v>
      </c>
      <c r="I768" s="6" t="s">
        <v>139</v>
      </c>
      <c r="J768" s="6" t="s">
        <v>57</v>
      </c>
      <c r="K768" s="6" t="s">
        <v>34</v>
      </c>
      <c r="L768" s="6">
        <v>12</v>
      </c>
      <c r="M768" s="7">
        <v>25999</v>
      </c>
      <c r="N768" s="8">
        <v>0.12</v>
      </c>
      <c r="O768" s="9">
        <v>17800</v>
      </c>
    </row>
    <row r="769" spans="1:15" ht="18" x14ac:dyDescent="0.35">
      <c r="A769" s="4" t="s">
        <v>876</v>
      </c>
      <c r="B769" s="5">
        <v>45670</v>
      </c>
      <c r="C769" s="6" t="s">
        <v>82</v>
      </c>
      <c r="D769" s="6" t="s">
        <v>100</v>
      </c>
      <c r="E769" s="6" t="s">
        <v>105</v>
      </c>
      <c r="F769" s="6" t="s">
        <v>39</v>
      </c>
      <c r="G769" s="6" t="s">
        <v>30</v>
      </c>
      <c r="H769" s="6" t="s">
        <v>31</v>
      </c>
      <c r="I769" s="6" t="s">
        <v>85</v>
      </c>
      <c r="J769" s="6" t="s">
        <v>23</v>
      </c>
      <c r="K769" s="6" t="s">
        <v>34</v>
      </c>
      <c r="L769" s="6">
        <v>19</v>
      </c>
      <c r="M769" s="7">
        <v>43500</v>
      </c>
      <c r="N769" s="8">
        <v>0.08</v>
      </c>
      <c r="O769" s="9">
        <v>29520</v>
      </c>
    </row>
    <row r="770" spans="1:15" ht="18" x14ac:dyDescent="0.35">
      <c r="A770" s="4" t="s">
        <v>877</v>
      </c>
      <c r="B770" s="5">
        <v>45670</v>
      </c>
      <c r="C770" s="6" t="s">
        <v>26</v>
      </c>
      <c r="D770" s="6" t="s">
        <v>74</v>
      </c>
      <c r="E770" s="6" t="s">
        <v>28</v>
      </c>
      <c r="F770" s="6" t="s">
        <v>39</v>
      </c>
      <c r="G770" s="6" t="s">
        <v>30</v>
      </c>
      <c r="H770" s="6" t="s">
        <v>61</v>
      </c>
      <c r="I770" s="6" t="s">
        <v>62</v>
      </c>
      <c r="J770" s="6" t="s">
        <v>57</v>
      </c>
      <c r="K770" s="6" t="s">
        <v>66</v>
      </c>
      <c r="L770" s="6">
        <v>23</v>
      </c>
      <c r="M770" s="7">
        <v>12490</v>
      </c>
      <c r="N770" s="8">
        <v>0.08</v>
      </c>
      <c r="O770" s="9">
        <v>7900</v>
      </c>
    </row>
    <row r="771" spans="1:15" ht="18" x14ac:dyDescent="0.35">
      <c r="A771" s="4" t="s">
        <v>878</v>
      </c>
      <c r="B771" s="5">
        <v>45670</v>
      </c>
      <c r="C771" s="6" t="s">
        <v>26</v>
      </c>
      <c r="D771" s="6" t="s">
        <v>74</v>
      </c>
      <c r="E771" s="6" t="s">
        <v>84</v>
      </c>
      <c r="F771" s="6" t="s">
        <v>19</v>
      </c>
      <c r="G771" s="6" t="s">
        <v>30</v>
      </c>
      <c r="H771" s="6" t="s">
        <v>61</v>
      </c>
      <c r="I771" s="6" t="s">
        <v>62</v>
      </c>
      <c r="J771" s="6" t="s">
        <v>23</v>
      </c>
      <c r="K771" s="6" t="s">
        <v>66</v>
      </c>
      <c r="L771" s="6">
        <v>35</v>
      </c>
      <c r="M771" s="7">
        <v>12490</v>
      </c>
      <c r="N771" s="8">
        <v>0.18</v>
      </c>
      <c r="O771" s="9">
        <v>7900</v>
      </c>
    </row>
    <row r="772" spans="1:15" ht="18" x14ac:dyDescent="0.35">
      <c r="A772" s="4" t="s">
        <v>879</v>
      </c>
      <c r="B772" s="5">
        <v>45670</v>
      </c>
      <c r="C772" s="6" t="s">
        <v>48</v>
      </c>
      <c r="D772" s="6" t="s">
        <v>49</v>
      </c>
      <c r="E772" s="6" t="s">
        <v>84</v>
      </c>
      <c r="F772" s="6" t="s">
        <v>19</v>
      </c>
      <c r="G772" s="6" t="s">
        <v>30</v>
      </c>
      <c r="H772" s="6" t="s">
        <v>31</v>
      </c>
      <c r="I772" s="6" t="s">
        <v>32</v>
      </c>
      <c r="J772" s="6" t="s">
        <v>23</v>
      </c>
      <c r="K772" s="6" t="s">
        <v>24</v>
      </c>
      <c r="L772" s="6">
        <v>9</v>
      </c>
      <c r="M772" s="7">
        <v>38990</v>
      </c>
      <c r="N772" s="8">
        <v>0.05</v>
      </c>
      <c r="O772" s="9">
        <v>25400</v>
      </c>
    </row>
    <row r="773" spans="1:15" ht="18" x14ac:dyDescent="0.35">
      <c r="A773" s="4" t="s">
        <v>880</v>
      </c>
      <c r="B773" s="5">
        <v>45671</v>
      </c>
      <c r="C773" s="6" t="s">
        <v>16</v>
      </c>
      <c r="D773" s="6" t="s">
        <v>17</v>
      </c>
      <c r="E773" s="6" t="s">
        <v>105</v>
      </c>
      <c r="F773" s="6" t="s">
        <v>39</v>
      </c>
      <c r="G773" s="6" t="s">
        <v>70</v>
      </c>
      <c r="H773" s="6" t="s">
        <v>71</v>
      </c>
      <c r="I773" s="6" t="s">
        <v>72</v>
      </c>
      <c r="J773" s="6" t="s">
        <v>33</v>
      </c>
      <c r="K773" s="6" t="s">
        <v>24</v>
      </c>
      <c r="L773" s="6">
        <v>28</v>
      </c>
      <c r="M773" s="7">
        <v>3499</v>
      </c>
      <c r="N773" s="8">
        <v>0.12</v>
      </c>
      <c r="O773" s="9">
        <v>2190</v>
      </c>
    </row>
    <row r="774" spans="1:15" ht="18" x14ac:dyDescent="0.35">
      <c r="A774" s="4" t="s">
        <v>881</v>
      </c>
      <c r="B774" s="5">
        <v>45671</v>
      </c>
      <c r="C774" s="6" t="s">
        <v>48</v>
      </c>
      <c r="D774" s="6" t="s">
        <v>93</v>
      </c>
      <c r="E774" s="6" t="s">
        <v>18</v>
      </c>
      <c r="F774" s="6" t="s">
        <v>19</v>
      </c>
      <c r="G774" s="6" t="s">
        <v>20</v>
      </c>
      <c r="H774" s="6" t="s">
        <v>45</v>
      </c>
      <c r="I774" s="6" t="s">
        <v>103</v>
      </c>
      <c r="J774" s="6" t="s">
        <v>23</v>
      </c>
      <c r="K774" s="6" t="s">
        <v>24</v>
      </c>
      <c r="L774" s="6">
        <v>2</v>
      </c>
      <c r="M774" s="7">
        <v>1599</v>
      </c>
      <c r="N774" s="8">
        <v>0.2</v>
      </c>
      <c r="O774" s="9">
        <v>920</v>
      </c>
    </row>
    <row r="775" spans="1:15" ht="18" x14ac:dyDescent="0.35">
      <c r="A775" s="4" t="s">
        <v>882</v>
      </c>
      <c r="B775" s="5">
        <v>45671</v>
      </c>
      <c r="C775" s="6" t="s">
        <v>48</v>
      </c>
      <c r="D775" s="6" t="s">
        <v>68</v>
      </c>
      <c r="E775" s="6" t="s">
        <v>28</v>
      </c>
      <c r="F775" s="6" t="s">
        <v>19</v>
      </c>
      <c r="G775" s="6" t="s">
        <v>70</v>
      </c>
      <c r="H775" s="6" t="s">
        <v>71</v>
      </c>
      <c r="I775" s="6" t="s">
        <v>72</v>
      </c>
      <c r="J775" s="6" t="s">
        <v>23</v>
      </c>
      <c r="K775" s="6" t="s">
        <v>66</v>
      </c>
      <c r="L775" s="6">
        <v>28</v>
      </c>
      <c r="M775" s="7">
        <v>3499</v>
      </c>
      <c r="N775" s="8">
        <v>0.18</v>
      </c>
      <c r="O775" s="9">
        <v>2190</v>
      </c>
    </row>
    <row r="776" spans="1:15" ht="18" x14ac:dyDescent="0.35">
      <c r="A776" s="4" t="s">
        <v>883</v>
      </c>
      <c r="B776" s="5">
        <v>45672</v>
      </c>
      <c r="C776" s="6" t="s">
        <v>16</v>
      </c>
      <c r="D776" s="6" t="s">
        <v>17</v>
      </c>
      <c r="E776" s="6" t="s">
        <v>84</v>
      </c>
      <c r="F776" s="6" t="s">
        <v>39</v>
      </c>
      <c r="G776" s="6" t="s">
        <v>70</v>
      </c>
      <c r="H776" s="6" t="s">
        <v>71</v>
      </c>
      <c r="I776" s="6" t="s">
        <v>88</v>
      </c>
      <c r="J776" s="6" t="s">
        <v>57</v>
      </c>
      <c r="K776" s="6" t="s">
        <v>66</v>
      </c>
      <c r="L776" s="6">
        <v>11</v>
      </c>
      <c r="M776" s="7">
        <v>999</v>
      </c>
      <c r="N776" s="8">
        <v>0.05</v>
      </c>
      <c r="O776" s="9">
        <v>540</v>
      </c>
    </row>
    <row r="777" spans="1:15" ht="18" x14ac:dyDescent="0.35">
      <c r="A777" s="4" t="s">
        <v>884</v>
      </c>
      <c r="B777" s="5">
        <v>45672</v>
      </c>
      <c r="C777" s="6" t="s">
        <v>26</v>
      </c>
      <c r="D777" s="6" t="s">
        <v>53</v>
      </c>
      <c r="E777" s="6" t="s">
        <v>18</v>
      </c>
      <c r="F777" s="6" t="s">
        <v>29</v>
      </c>
      <c r="G777" s="6" t="s">
        <v>54</v>
      </c>
      <c r="H777" s="6" t="s">
        <v>129</v>
      </c>
      <c r="I777" s="6" t="s">
        <v>130</v>
      </c>
      <c r="J777" s="6" t="s">
        <v>33</v>
      </c>
      <c r="K777" s="6" t="s">
        <v>24</v>
      </c>
      <c r="L777" s="6">
        <v>28</v>
      </c>
      <c r="M777" s="7">
        <v>27890</v>
      </c>
      <c r="N777" s="8">
        <v>0.18</v>
      </c>
      <c r="O777" s="9">
        <v>18800</v>
      </c>
    </row>
    <row r="778" spans="1:15" ht="18" x14ac:dyDescent="0.35">
      <c r="A778" s="4" t="s">
        <v>885</v>
      </c>
      <c r="B778" s="5">
        <v>45673</v>
      </c>
      <c r="C778" s="6" t="s">
        <v>82</v>
      </c>
      <c r="D778" s="6" t="s">
        <v>83</v>
      </c>
      <c r="E778" s="6" t="s">
        <v>60</v>
      </c>
      <c r="F778" s="6" t="s">
        <v>39</v>
      </c>
      <c r="G778" s="6" t="s">
        <v>30</v>
      </c>
      <c r="H778" s="6" t="s">
        <v>31</v>
      </c>
      <c r="I778" s="6" t="s">
        <v>106</v>
      </c>
      <c r="J778" s="6" t="s">
        <v>23</v>
      </c>
      <c r="K778" s="6" t="s">
        <v>34</v>
      </c>
      <c r="L778" s="6">
        <v>5</v>
      </c>
      <c r="M778" s="7">
        <v>52990</v>
      </c>
      <c r="N778" s="8">
        <v>0.05</v>
      </c>
      <c r="O778" s="9">
        <v>35100</v>
      </c>
    </row>
    <row r="779" spans="1:15" ht="18" x14ac:dyDescent="0.35">
      <c r="A779" s="4" t="s">
        <v>886</v>
      </c>
      <c r="B779" s="5">
        <v>45673</v>
      </c>
      <c r="C779" s="6" t="s">
        <v>16</v>
      </c>
      <c r="D779" s="6" t="s">
        <v>17</v>
      </c>
      <c r="E779" s="6" t="s">
        <v>69</v>
      </c>
      <c r="F779" s="6" t="s">
        <v>19</v>
      </c>
      <c r="G779" s="6" t="s">
        <v>54</v>
      </c>
      <c r="H779" s="6" t="s">
        <v>129</v>
      </c>
      <c r="I779" s="6" t="s">
        <v>130</v>
      </c>
      <c r="J779" s="6" t="s">
        <v>33</v>
      </c>
      <c r="K779" s="6" t="s">
        <v>24</v>
      </c>
      <c r="L779" s="6">
        <v>2</v>
      </c>
      <c r="M779" s="7">
        <v>27890</v>
      </c>
      <c r="N779" s="8">
        <v>0.05</v>
      </c>
      <c r="O779" s="9">
        <v>18800</v>
      </c>
    </row>
    <row r="780" spans="1:15" ht="18" x14ac:dyDescent="0.35">
      <c r="A780" s="4" t="s">
        <v>887</v>
      </c>
      <c r="B780" s="5">
        <v>45674</v>
      </c>
      <c r="C780" s="6" t="s">
        <v>26</v>
      </c>
      <c r="D780" s="6" t="s">
        <v>53</v>
      </c>
      <c r="E780" s="6" t="s">
        <v>60</v>
      </c>
      <c r="F780" s="6" t="s">
        <v>19</v>
      </c>
      <c r="G780" s="6" t="s">
        <v>40</v>
      </c>
      <c r="H780" s="6" t="s">
        <v>41</v>
      </c>
      <c r="I780" s="6" t="s">
        <v>119</v>
      </c>
      <c r="J780" s="6" t="s">
        <v>23</v>
      </c>
      <c r="K780" s="6" t="s">
        <v>66</v>
      </c>
      <c r="L780" s="6">
        <v>39</v>
      </c>
      <c r="M780" s="7">
        <v>48990</v>
      </c>
      <c r="N780" s="8">
        <v>0.2</v>
      </c>
      <c r="O780" s="9">
        <v>30100</v>
      </c>
    </row>
    <row r="781" spans="1:15" ht="18" x14ac:dyDescent="0.35">
      <c r="A781" s="4" t="s">
        <v>888</v>
      </c>
      <c r="B781" s="5">
        <v>45677</v>
      </c>
      <c r="C781" s="6" t="s">
        <v>48</v>
      </c>
      <c r="D781" s="6" t="s">
        <v>93</v>
      </c>
      <c r="E781" s="6" t="s">
        <v>38</v>
      </c>
      <c r="F781" s="6" t="s">
        <v>39</v>
      </c>
      <c r="G781" s="6" t="s">
        <v>40</v>
      </c>
      <c r="H781" s="6" t="s">
        <v>64</v>
      </c>
      <c r="I781" s="6" t="s">
        <v>153</v>
      </c>
      <c r="J781" s="6" t="s">
        <v>33</v>
      </c>
      <c r="K781" s="6" t="s">
        <v>66</v>
      </c>
      <c r="L781" s="6">
        <v>21</v>
      </c>
      <c r="M781" s="7">
        <v>4490</v>
      </c>
      <c r="N781" s="8">
        <v>0.1</v>
      </c>
      <c r="O781" s="9">
        <v>2950</v>
      </c>
    </row>
    <row r="782" spans="1:15" ht="18" x14ac:dyDescent="0.35">
      <c r="A782" s="4" t="s">
        <v>889</v>
      </c>
      <c r="B782" s="5">
        <v>45678</v>
      </c>
      <c r="C782" s="6" t="s">
        <v>48</v>
      </c>
      <c r="D782" s="6" t="s">
        <v>136</v>
      </c>
      <c r="E782" s="6" t="s">
        <v>84</v>
      </c>
      <c r="F782" s="6" t="s">
        <v>29</v>
      </c>
      <c r="G782" s="6" t="s">
        <v>70</v>
      </c>
      <c r="H782" s="6" t="s">
        <v>71</v>
      </c>
      <c r="I782" s="6" t="s">
        <v>80</v>
      </c>
      <c r="J782" s="6" t="s">
        <v>23</v>
      </c>
      <c r="K782" s="6" t="s">
        <v>34</v>
      </c>
      <c r="L782" s="6">
        <v>21</v>
      </c>
      <c r="M782" s="7">
        <v>1299</v>
      </c>
      <c r="N782" s="8">
        <v>0.05</v>
      </c>
      <c r="O782" s="9">
        <v>720</v>
      </c>
    </row>
    <row r="783" spans="1:15" ht="18" x14ac:dyDescent="0.35">
      <c r="A783" s="4" t="s">
        <v>890</v>
      </c>
      <c r="B783" s="5">
        <v>45679</v>
      </c>
      <c r="C783" s="6" t="s">
        <v>16</v>
      </c>
      <c r="D783" s="6" t="s">
        <v>17</v>
      </c>
      <c r="E783" s="6" t="s">
        <v>101</v>
      </c>
      <c r="F783" s="6" t="s">
        <v>29</v>
      </c>
      <c r="G783" s="6" t="s">
        <v>70</v>
      </c>
      <c r="H783" s="6" t="s">
        <v>71</v>
      </c>
      <c r="I783" s="6" t="s">
        <v>80</v>
      </c>
      <c r="J783" s="6" t="s">
        <v>33</v>
      </c>
      <c r="K783" s="6" t="s">
        <v>24</v>
      </c>
      <c r="L783" s="6">
        <v>39</v>
      </c>
      <c r="M783" s="7">
        <v>1299</v>
      </c>
      <c r="N783" s="8">
        <v>0.05</v>
      </c>
      <c r="O783" s="9">
        <v>720</v>
      </c>
    </row>
    <row r="784" spans="1:15" ht="18" x14ac:dyDescent="0.35">
      <c r="A784" s="4" t="s">
        <v>891</v>
      </c>
      <c r="B784" s="5">
        <v>45679</v>
      </c>
      <c r="C784" s="6" t="s">
        <v>48</v>
      </c>
      <c r="D784" s="6" t="s">
        <v>93</v>
      </c>
      <c r="E784" s="6" t="s">
        <v>75</v>
      </c>
      <c r="F784" s="6" t="s">
        <v>39</v>
      </c>
      <c r="G784" s="6" t="s">
        <v>30</v>
      </c>
      <c r="H784" s="6" t="s">
        <v>61</v>
      </c>
      <c r="I784" s="6" t="s">
        <v>62</v>
      </c>
      <c r="J784" s="6" t="s">
        <v>23</v>
      </c>
      <c r="K784" s="6" t="s">
        <v>66</v>
      </c>
      <c r="L784" s="6">
        <v>40</v>
      </c>
      <c r="M784" s="7">
        <v>12490</v>
      </c>
      <c r="N784" s="8">
        <v>0.12</v>
      </c>
      <c r="O784" s="9">
        <v>7900</v>
      </c>
    </row>
    <row r="785" spans="1:15" ht="18" x14ac:dyDescent="0.35">
      <c r="A785" s="4" t="s">
        <v>892</v>
      </c>
      <c r="B785" s="5">
        <v>45679</v>
      </c>
      <c r="C785" s="6" t="s">
        <v>48</v>
      </c>
      <c r="D785" s="6" t="s">
        <v>68</v>
      </c>
      <c r="E785" s="6" t="s">
        <v>84</v>
      </c>
      <c r="F785" s="6" t="s">
        <v>19</v>
      </c>
      <c r="G785" s="6" t="s">
        <v>70</v>
      </c>
      <c r="H785" s="6" t="s">
        <v>71</v>
      </c>
      <c r="I785" s="6" t="s">
        <v>88</v>
      </c>
      <c r="J785" s="6" t="s">
        <v>57</v>
      </c>
      <c r="K785" s="6" t="s">
        <v>24</v>
      </c>
      <c r="L785" s="6">
        <v>18</v>
      </c>
      <c r="M785" s="7">
        <v>999</v>
      </c>
      <c r="N785" s="8">
        <v>0.18</v>
      </c>
      <c r="O785" s="9">
        <v>540</v>
      </c>
    </row>
    <row r="786" spans="1:15" ht="18" x14ac:dyDescent="0.35">
      <c r="A786" s="4" t="s">
        <v>893</v>
      </c>
      <c r="B786" s="5">
        <v>45679</v>
      </c>
      <c r="C786" s="6" t="s">
        <v>16</v>
      </c>
      <c r="D786" s="6" t="s">
        <v>17</v>
      </c>
      <c r="E786" s="6" t="s">
        <v>69</v>
      </c>
      <c r="F786" s="6" t="s">
        <v>19</v>
      </c>
      <c r="G786" s="6" t="s">
        <v>54</v>
      </c>
      <c r="H786" s="6" t="s">
        <v>90</v>
      </c>
      <c r="I786" s="6" t="s">
        <v>91</v>
      </c>
      <c r="J786" s="6" t="s">
        <v>33</v>
      </c>
      <c r="K786" s="6" t="s">
        <v>34</v>
      </c>
      <c r="L786" s="6">
        <v>20</v>
      </c>
      <c r="M786" s="7">
        <v>31990</v>
      </c>
      <c r="N786" s="8">
        <v>0.08</v>
      </c>
      <c r="O786" s="9">
        <v>21800</v>
      </c>
    </row>
    <row r="787" spans="1:15" ht="18" x14ac:dyDescent="0.35">
      <c r="A787" s="4" t="s">
        <v>894</v>
      </c>
      <c r="B787" s="5">
        <v>45679</v>
      </c>
      <c r="C787" s="6" t="s">
        <v>82</v>
      </c>
      <c r="D787" s="6" t="s">
        <v>100</v>
      </c>
      <c r="E787" s="6" t="s">
        <v>75</v>
      </c>
      <c r="F787" s="6" t="s">
        <v>39</v>
      </c>
      <c r="G787" s="6" t="s">
        <v>70</v>
      </c>
      <c r="H787" s="6" t="s">
        <v>71</v>
      </c>
      <c r="I787" s="6" t="s">
        <v>80</v>
      </c>
      <c r="J787" s="6" t="s">
        <v>23</v>
      </c>
      <c r="K787" s="6" t="s">
        <v>66</v>
      </c>
      <c r="L787" s="6">
        <v>15</v>
      </c>
      <c r="M787" s="7">
        <v>1299</v>
      </c>
      <c r="N787" s="8">
        <v>0.12</v>
      </c>
      <c r="O787" s="9">
        <v>720</v>
      </c>
    </row>
    <row r="788" spans="1:15" ht="18" x14ac:dyDescent="0.35">
      <c r="A788" s="4" t="s">
        <v>895</v>
      </c>
      <c r="B788" s="5">
        <v>45680</v>
      </c>
      <c r="C788" s="6" t="s">
        <v>16</v>
      </c>
      <c r="D788" s="6" t="s">
        <v>111</v>
      </c>
      <c r="E788" s="6" t="s">
        <v>105</v>
      </c>
      <c r="F788" s="6" t="s">
        <v>19</v>
      </c>
      <c r="G788" s="6" t="s">
        <v>30</v>
      </c>
      <c r="H788" s="6" t="s">
        <v>31</v>
      </c>
      <c r="I788" s="6" t="s">
        <v>32</v>
      </c>
      <c r="J788" s="6" t="s">
        <v>23</v>
      </c>
      <c r="K788" s="6" t="s">
        <v>24</v>
      </c>
      <c r="L788" s="6">
        <v>11</v>
      </c>
      <c r="M788" s="7">
        <v>38990</v>
      </c>
      <c r="N788" s="8">
        <v>0.1</v>
      </c>
      <c r="O788" s="9">
        <v>25400</v>
      </c>
    </row>
    <row r="789" spans="1:15" ht="18" x14ac:dyDescent="0.35">
      <c r="A789" s="4" t="s">
        <v>896</v>
      </c>
      <c r="B789" s="5">
        <v>45680</v>
      </c>
      <c r="C789" s="6" t="s">
        <v>26</v>
      </c>
      <c r="D789" s="6" t="s">
        <v>74</v>
      </c>
      <c r="E789" s="6" t="s">
        <v>75</v>
      </c>
      <c r="F789" s="6" t="s">
        <v>29</v>
      </c>
      <c r="G789" s="6" t="s">
        <v>20</v>
      </c>
      <c r="H789" s="6" t="s">
        <v>45</v>
      </c>
      <c r="I789" s="6" t="s">
        <v>103</v>
      </c>
      <c r="J789" s="6" t="s">
        <v>57</v>
      </c>
      <c r="K789" s="6" t="s">
        <v>24</v>
      </c>
      <c r="L789" s="6">
        <v>1</v>
      </c>
      <c r="M789" s="7">
        <v>1599</v>
      </c>
      <c r="N789" s="8">
        <v>0.15</v>
      </c>
      <c r="O789" s="9">
        <v>920</v>
      </c>
    </row>
    <row r="790" spans="1:15" ht="18" x14ac:dyDescent="0.35">
      <c r="A790" s="4" t="s">
        <v>897</v>
      </c>
      <c r="B790" s="5">
        <v>45681</v>
      </c>
      <c r="C790" s="6" t="s">
        <v>26</v>
      </c>
      <c r="D790" s="6" t="s">
        <v>53</v>
      </c>
      <c r="E790" s="6" t="s">
        <v>105</v>
      </c>
      <c r="F790" s="6" t="s">
        <v>29</v>
      </c>
      <c r="G790" s="6" t="s">
        <v>70</v>
      </c>
      <c r="H790" s="6" t="s">
        <v>71</v>
      </c>
      <c r="I790" s="6" t="s">
        <v>72</v>
      </c>
      <c r="J790" s="6" t="s">
        <v>33</v>
      </c>
      <c r="K790" s="6" t="s">
        <v>34</v>
      </c>
      <c r="L790" s="6">
        <v>22</v>
      </c>
      <c r="M790" s="7">
        <v>3499</v>
      </c>
      <c r="N790" s="8">
        <v>0.15</v>
      </c>
      <c r="O790" s="9">
        <v>2190</v>
      </c>
    </row>
    <row r="791" spans="1:15" ht="18" x14ac:dyDescent="0.35">
      <c r="A791" s="4" t="s">
        <v>898</v>
      </c>
      <c r="B791" s="5">
        <v>45682</v>
      </c>
      <c r="C791" s="6" t="s">
        <v>26</v>
      </c>
      <c r="D791" s="6" t="s">
        <v>163</v>
      </c>
      <c r="E791" s="6" t="s">
        <v>101</v>
      </c>
      <c r="F791" s="6" t="s">
        <v>19</v>
      </c>
      <c r="G791" s="6" t="s">
        <v>30</v>
      </c>
      <c r="H791" s="6" t="s">
        <v>31</v>
      </c>
      <c r="I791" s="6" t="s">
        <v>85</v>
      </c>
      <c r="J791" s="6" t="s">
        <v>23</v>
      </c>
      <c r="K791" s="6" t="s">
        <v>24</v>
      </c>
      <c r="L791" s="6">
        <v>32</v>
      </c>
      <c r="M791" s="7">
        <v>43500</v>
      </c>
      <c r="N791" s="8">
        <v>0.15</v>
      </c>
      <c r="O791" s="9">
        <v>29520</v>
      </c>
    </row>
    <row r="792" spans="1:15" ht="18" x14ac:dyDescent="0.35">
      <c r="A792" s="4" t="s">
        <v>899</v>
      </c>
      <c r="B792" s="5">
        <v>45682</v>
      </c>
      <c r="C792" s="6" t="s">
        <v>48</v>
      </c>
      <c r="D792" s="6" t="s">
        <v>136</v>
      </c>
      <c r="E792" s="6" t="s">
        <v>75</v>
      </c>
      <c r="F792" s="6" t="s">
        <v>19</v>
      </c>
      <c r="G792" s="6" t="s">
        <v>70</v>
      </c>
      <c r="H792" s="6" t="s">
        <v>71</v>
      </c>
      <c r="I792" s="6" t="s">
        <v>80</v>
      </c>
      <c r="J792" s="6" t="s">
        <v>23</v>
      </c>
      <c r="K792" s="6" t="s">
        <v>78</v>
      </c>
      <c r="L792" s="6">
        <v>30</v>
      </c>
      <c r="M792" s="7">
        <v>1299</v>
      </c>
      <c r="N792" s="8">
        <v>0.12</v>
      </c>
      <c r="O792" s="9">
        <v>720</v>
      </c>
    </row>
    <row r="793" spans="1:15" ht="18" x14ac:dyDescent="0.35">
      <c r="A793" s="4" t="s">
        <v>900</v>
      </c>
      <c r="B793" s="5">
        <v>45683</v>
      </c>
      <c r="C793" s="6" t="s">
        <v>36</v>
      </c>
      <c r="D793" s="6" t="s">
        <v>37</v>
      </c>
      <c r="E793" s="6" t="s">
        <v>75</v>
      </c>
      <c r="F793" s="6" t="s">
        <v>19</v>
      </c>
      <c r="G793" s="6" t="s">
        <v>40</v>
      </c>
      <c r="H793" s="6" t="s">
        <v>64</v>
      </c>
      <c r="I793" s="6" t="s">
        <v>159</v>
      </c>
      <c r="J793" s="6" t="s">
        <v>57</v>
      </c>
      <c r="K793" s="6" t="s">
        <v>78</v>
      </c>
      <c r="L793" s="6">
        <v>5</v>
      </c>
      <c r="M793" s="7">
        <v>3299</v>
      </c>
      <c r="N793" s="8">
        <v>0.18</v>
      </c>
      <c r="O793" s="9">
        <v>2050</v>
      </c>
    </row>
    <row r="794" spans="1:15" ht="18" x14ac:dyDescent="0.35">
      <c r="A794" s="4" t="s">
        <v>901</v>
      </c>
      <c r="B794" s="5">
        <v>45684</v>
      </c>
      <c r="C794" s="6" t="s">
        <v>16</v>
      </c>
      <c r="D794" s="6" t="s">
        <v>98</v>
      </c>
      <c r="E794" s="6" t="s">
        <v>18</v>
      </c>
      <c r="F794" s="6" t="s">
        <v>29</v>
      </c>
      <c r="G794" s="6" t="s">
        <v>54</v>
      </c>
      <c r="H794" s="6" t="s">
        <v>129</v>
      </c>
      <c r="I794" s="6" t="s">
        <v>130</v>
      </c>
      <c r="J794" s="6" t="s">
        <v>57</v>
      </c>
      <c r="K794" s="6" t="s">
        <v>34</v>
      </c>
      <c r="L794" s="6">
        <v>7</v>
      </c>
      <c r="M794" s="7">
        <v>27890</v>
      </c>
      <c r="N794" s="8">
        <v>0.15</v>
      </c>
      <c r="O794" s="9">
        <v>18800</v>
      </c>
    </row>
    <row r="795" spans="1:15" ht="18" x14ac:dyDescent="0.35">
      <c r="A795" s="4" t="s">
        <v>902</v>
      </c>
      <c r="B795" s="5">
        <v>45684</v>
      </c>
      <c r="C795" s="6" t="s">
        <v>16</v>
      </c>
      <c r="D795" s="6" t="s">
        <v>17</v>
      </c>
      <c r="E795" s="6" t="s">
        <v>50</v>
      </c>
      <c r="F795" s="6" t="s">
        <v>19</v>
      </c>
      <c r="G795" s="6" t="s">
        <v>30</v>
      </c>
      <c r="H795" s="6" t="s">
        <v>61</v>
      </c>
      <c r="I795" s="6" t="s">
        <v>62</v>
      </c>
      <c r="J795" s="6" t="s">
        <v>33</v>
      </c>
      <c r="K795" s="6" t="s">
        <v>24</v>
      </c>
      <c r="L795" s="6">
        <v>2</v>
      </c>
      <c r="M795" s="7">
        <v>12490</v>
      </c>
      <c r="N795" s="8">
        <v>0.05</v>
      </c>
      <c r="O795" s="9">
        <v>7900</v>
      </c>
    </row>
    <row r="796" spans="1:15" ht="18" x14ac:dyDescent="0.35">
      <c r="A796" s="4" t="s">
        <v>903</v>
      </c>
      <c r="B796" s="5">
        <v>45685</v>
      </c>
      <c r="C796" s="6" t="s">
        <v>26</v>
      </c>
      <c r="D796" s="6" t="s">
        <v>53</v>
      </c>
      <c r="E796" s="6" t="s">
        <v>75</v>
      </c>
      <c r="F796" s="6" t="s">
        <v>39</v>
      </c>
      <c r="G796" s="6" t="s">
        <v>70</v>
      </c>
      <c r="H796" s="6" t="s">
        <v>71</v>
      </c>
      <c r="I796" s="6" t="s">
        <v>88</v>
      </c>
      <c r="J796" s="6" t="s">
        <v>57</v>
      </c>
      <c r="K796" s="6" t="s">
        <v>24</v>
      </c>
      <c r="L796" s="6">
        <v>21</v>
      </c>
      <c r="M796" s="7">
        <v>999</v>
      </c>
      <c r="N796" s="8">
        <v>0.08</v>
      </c>
      <c r="O796" s="9">
        <v>540</v>
      </c>
    </row>
    <row r="797" spans="1:15" ht="18" x14ac:dyDescent="0.35">
      <c r="A797" s="4" t="s">
        <v>904</v>
      </c>
      <c r="B797" s="5">
        <v>45685</v>
      </c>
      <c r="C797" s="6" t="s">
        <v>48</v>
      </c>
      <c r="D797" s="6" t="s">
        <v>136</v>
      </c>
      <c r="E797" s="6" t="s">
        <v>84</v>
      </c>
      <c r="F797" s="6" t="s">
        <v>39</v>
      </c>
      <c r="G797" s="6" t="s">
        <v>54</v>
      </c>
      <c r="H797" s="6" t="s">
        <v>90</v>
      </c>
      <c r="I797" s="6" t="s">
        <v>91</v>
      </c>
      <c r="J797" s="6" t="s">
        <v>33</v>
      </c>
      <c r="K797" s="6" t="s">
        <v>66</v>
      </c>
      <c r="L797" s="6">
        <v>28</v>
      </c>
      <c r="M797" s="7">
        <v>31990</v>
      </c>
      <c r="N797" s="8">
        <v>0.1</v>
      </c>
      <c r="O797" s="9">
        <v>21800</v>
      </c>
    </row>
    <row r="798" spans="1:15" ht="18" x14ac:dyDescent="0.35">
      <c r="A798" s="4" t="s">
        <v>905</v>
      </c>
      <c r="B798" s="5">
        <v>45685</v>
      </c>
      <c r="C798" s="6" t="s">
        <v>48</v>
      </c>
      <c r="D798" s="6" t="s">
        <v>136</v>
      </c>
      <c r="E798" s="6" t="s">
        <v>38</v>
      </c>
      <c r="F798" s="6" t="s">
        <v>29</v>
      </c>
      <c r="G798" s="6" t="s">
        <v>30</v>
      </c>
      <c r="H798" s="6" t="s">
        <v>61</v>
      </c>
      <c r="I798" s="6" t="s">
        <v>62</v>
      </c>
      <c r="J798" s="6" t="s">
        <v>33</v>
      </c>
      <c r="K798" s="6" t="s">
        <v>24</v>
      </c>
      <c r="L798" s="6">
        <v>22</v>
      </c>
      <c r="M798" s="7">
        <v>12490</v>
      </c>
      <c r="N798" s="8">
        <v>0.2</v>
      </c>
      <c r="O798" s="9">
        <v>7900</v>
      </c>
    </row>
    <row r="799" spans="1:15" ht="18" x14ac:dyDescent="0.35">
      <c r="A799" s="4" t="s">
        <v>906</v>
      </c>
      <c r="B799" s="5">
        <v>45686</v>
      </c>
      <c r="C799" s="6" t="s">
        <v>16</v>
      </c>
      <c r="D799" s="6" t="s">
        <v>98</v>
      </c>
      <c r="E799" s="6" t="s">
        <v>69</v>
      </c>
      <c r="F799" s="6" t="s">
        <v>29</v>
      </c>
      <c r="G799" s="6" t="s">
        <v>20</v>
      </c>
      <c r="H799" s="6" t="s">
        <v>21</v>
      </c>
      <c r="I799" s="6" t="s">
        <v>51</v>
      </c>
      <c r="J799" s="6" t="s">
        <v>23</v>
      </c>
      <c r="K799" s="6" t="s">
        <v>34</v>
      </c>
      <c r="L799" s="6">
        <v>4</v>
      </c>
      <c r="M799" s="7">
        <v>5999</v>
      </c>
      <c r="N799" s="8">
        <v>0.05</v>
      </c>
      <c r="O799" s="9">
        <v>3890</v>
      </c>
    </row>
    <row r="800" spans="1:15" ht="18" x14ac:dyDescent="0.35">
      <c r="A800" s="4" t="s">
        <v>907</v>
      </c>
      <c r="B800" s="5">
        <v>45687</v>
      </c>
      <c r="C800" s="6" t="s">
        <v>16</v>
      </c>
      <c r="D800" s="6" t="s">
        <v>98</v>
      </c>
      <c r="E800" s="6" t="s">
        <v>60</v>
      </c>
      <c r="F800" s="6" t="s">
        <v>19</v>
      </c>
      <c r="G800" s="6" t="s">
        <v>20</v>
      </c>
      <c r="H800" s="6" t="s">
        <v>21</v>
      </c>
      <c r="I800" s="6" t="s">
        <v>115</v>
      </c>
      <c r="J800" s="6" t="s">
        <v>23</v>
      </c>
      <c r="K800" s="6" t="s">
        <v>24</v>
      </c>
      <c r="L800" s="6">
        <v>12</v>
      </c>
      <c r="M800" s="7">
        <v>6499</v>
      </c>
      <c r="N800" s="8">
        <v>0.05</v>
      </c>
      <c r="O800" s="9">
        <v>4210</v>
      </c>
    </row>
    <row r="801" spans="1:15" ht="18" x14ac:dyDescent="0.35">
      <c r="A801" s="4" t="s">
        <v>908</v>
      </c>
      <c r="B801" s="5">
        <v>45687</v>
      </c>
      <c r="C801" s="6" t="s">
        <v>36</v>
      </c>
      <c r="D801" s="6" t="s">
        <v>59</v>
      </c>
      <c r="E801" s="6" t="s">
        <v>105</v>
      </c>
      <c r="F801" s="6" t="s">
        <v>29</v>
      </c>
      <c r="G801" s="6" t="s">
        <v>20</v>
      </c>
      <c r="H801" s="6" t="s">
        <v>45</v>
      </c>
      <c r="I801" s="6" t="s">
        <v>103</v>
      </c>
      <c r="J801" s="6" t="s">
        <v>23</v>
      </c>
      <c r="K801" s="6" t="s">
        <v>24</v>
      </c>
      <c r="L801" s="6">
        <v>40</v>
      </c>
      <c r="M801" s="7">
        <v>1599</v>
      </c>
      <c r="N801" s="8">
        <v>0.18</v>
      </c>
      <c r="O801" s="9">
        <v>920</v>
      </c>
    </row>
    <row r="802" spans="1:15" ht="18" x14ac:dyDescent="0.35">
      <c r="A802" s="4" t="s">
        <v>909</v>
      </c>
      <c r="B802" s="5">
        <v>45687</v>
      </c>
      <c r="C802" s="6" t="s">
        <v>16</v>
      </c>
      <c r="D802" s="6" t="s">
        <v>111</v>
      </c>
      <c r="E802" s="6" t="s">
        <v>50</v>
      </c>
      <c r="F802" s="6" t="s">
        <v>29</v>
      </c>
      <c r="G802" s="6" t="s">
        <v>40</v>
      </c>
      <c r="H802" s="6" t="s">
        <v>76</v>
      </c>
      <c r="I802" s="6" t="s">
        <v>77</v>
      </c>
      <c r="J802" s="6" t="s">
        <v>23</v>
      </c>
      <c r="K802" s="6" t="s">
        <v>34</v>
      </c>
      <c r="L802" s="6">
        <v>28</v>
      </c>
      <c r="M802" s="7">
        <v>52990</v>
      </c>
      <c r="N802" s="8">
        <v>0.2</v>
      </c>
      <c r="O802" s="9">
        <v>39500</v>
      </c>
    </row>
    <row r="803" spans="1:15" ht="18" x14ac:dyDescent="0.35">
      <c r="A803" s="4" t="s">
        <v>910</v>
      </c>
      <c r="B803" s="5">
        <v>45688</v>
      </c>
      <c r="C803" s="6" t="s">
        <v>36</v>
      </c>
      <c r="D803" s="6" t="s">
        <v>44</v>
      </c>
      <c r="E803" s="6" t="s">
        <v>101</v>
      </c>
      <c r="F803" s="6" t="s">
        <v>39</v>
      </c>
      <c r="G803" s="6" t="s">
        <v>40</v>
      </c>
      <c r="H803" s="6" t="s">
        <v>41</v>
      </c>
      <c r="I803" s="6" t="s">
        <v>42</v>
      </c>
      <c r="J803" s="6" t="s">
        <v>57</v>
      </c>
      <c r="K803" s="6" t="s">
        <v>24</v>
      </c>
      <c r="L803" s="6">
        <v>13</v>
      </c>
      <c r="M803" s="7">
        <v>55230</v>
      </c>
      <c r="N803" s="8">
        <v>0.1</v>
      </c>
      <c r="O803" s="9">
        <v>33800</v>
      </c>
    </row>
    <row r="804" spans="1:15" ht="18" x14ac:dyDescent="0.35">
      <c r="A804" s="4" t="s">
        <v>911</v>
      </c>
      <c r="B804" s="5">
        <v>45688</v>
      </c>
      <c r="C804" s="6" t="s">
        <v>82</v>
      </c>
      <c r="D804" s="6" t="s">
        <v>83</v>
      </c>
      <c r="E804" s="6" t="s">
        <v>75</v>
      </c>
      <c r="F804" s="6" t="s">
        <v>29</v>
      </c>
      <c r="G804" s="6" t="s">
        <v>30</v>
      </c>
      <c r="H804" s="6" t="s">
        <v>31</v>
      </c>
      <c r="I804" s="6" t="s">
        <v>85</v>
      </c>
      <c r="J804" s="6" t="s">
        <v>23</v>
      </c>
      <c r="K804" s="6" t="s">
        <v>78</v>
      </c>
      <c r="L804" s="6">
        <v>39</v>
      </c>
      <c r="M804" s="7">
        <v>43500</v>
      </c>
      <c r="N804" s="8">
        <v>0.05</v>
      </c>
      <c r="O804" s="9">
        <v>29520</v>
      </c>
    </row>
    <row r="805" spans="1:15" ht="18" x14ac:dyDescent="0.35">
      <c r="A805" s="4" t="s">
        <v>912</v>
      </c>
      <c r="B805" s="5">
        <v>45688</v>
      </c>
      <c r="C805" s="6" t="s">
        <v>16</v>
      </c>
      <c r="D805" s="6" t="s">
        <v>111</v>
      </c>
      <c r="E805" s="6" t="s">
        <v>18</v>
      </c>
      <c r="F805" s="6" t="s">
        <v>29</v>
      </c>
      <c r="G805" s="6" t="s">
        <v>20</v>
      </c>
      <c r="H805" s="6" t="s">
        <v>45</v>
      </c>
      <c r="I805" s="6" t="s">
        <v>103</v>
      </c>
      <c r="J805" s="6" t="s">
        <v>57</v>
      </c>
      <c r="K805" s="6" t="s">
        <v>24</v>
      </c>
      <c r="L805" s="6">
        <v>32</v>
      </c>
      <c r="M805" s="7">
        <v>1599</v>
      </c>
      <c r="N805" s="8">
        <v>0.18</v>
      </c>
      <c r="O805" s="9">
        <v>920</v>
      </c>
    </row>
    <row r="806" spans="1:15" ht="18" x14ac:dyDescent="0.35">
      <c r="A806" s="4" t="s">
        <v>913</v>
      </c>
      <c r="B806" s="5">
        <v>45689</v>
      </c>
      <c r="C806" s="6" t="s">
        <v>36</v>
      </c>
      <c r="D806" s="6" t="s">
        <v>121</v>
      </c>
      <c r="E806" s="6" t="s">
        <v>105</v>
      </c>
      <c r="F806" s="6" t="s">
        <v>19</v>
      </c>
      <c r="G806" s="6" t="s">
        <v>40</v>
      </c>
      <c r="H806" s="6" t="s">
        <v>41</v>
      </c>
      <c r="I806" s="6" t="s">
        <v>119</v>
      </c>
      <c r="J806" s="6" t="s">
        <v>57</v>
      </c>
      <c r="K806" s="6" t="s">
        <v>34</v>
      </c>
      <c r="L806" s="6">
        <v>6</v>
      </c>
      <c r="M806" s="7">
        <v>48990</v>
      </c>
      <c r="N806" s="8">
        <v>0.05</v>
      </c>
      <c r="O806" s="9">
        <v>30100</v>
      </c>
    </row>
    <row r="807" spans="1:15" ht="18" x14ac:dyDescent="0.35">
      <c r="A807" s="4" t="s">
        <v>914</v>
      </c>
      <c r="B807" s="5">
        <v>45689</v>
      </c>
      <c r="C807" s="6" t="s">
        <v>82</v>
      </c>
      <c r="D807" s="6" t="s">
        <v>183</v>
      </c>
      <c r="E807" s="6" t="s">
        <v>50</v>
      </c>
      <c r="F807" s="6" t="s">
        <v>19</v>
      </c>
      <c r="G807" s="6" t="s">
        <v>54</v>
      </c>
      <c r="H807" s="6" t="s">
        <v>90</v>
      </c>
      <c r="I807" s="6" t="s">
        <v>258</v>
      </c>
      <c r="J807" s="6" t="s">
        <v>23</v>
      </c>
      <c r="K807" s="6" t="s">
        <v>66</v>
      </c>
      <c r="L807" s="6">
        <v>1</v>
      </c>
      <c r="M807" s="7">
        <v>29010</v>
      </c>
      <c r="N807" s="8">
        <v>0.1</v>
      </c>
      <c r="O807" s="9">
        <v>19150</v>
      </c>
    </row>
    <row r="808" spans="1:15" ht="18" x14ac:dyDescent="0.35">
      <c r="A808" s="4" t="s">
        <v>915</v>
      </c>
      <c r="B808" s="5">
        <v>45689</v>
      </c>
      <c r="C808" s="6" t="s">
        <v>16</v>
      </c>
      <c r="D808" s="6" t="s">
        <v>98</v>
      </c>
      <c r="E808" s="6" t="s">
        <v>105</v>
      </c>
      <c r="F808" s="6" t="s">
        <v>39</v>
      </c>
      <c r="G808" s="6" t="s">
        <v>40</v>
      </c>
      <c r="H808" s="6" t="s">
        <v>76</v>
      </c>
      <c r="I808" s="6" t="s">
        <v>77</v>
      </c>
      <c r="J808" s="6" t="s">
        <v>57</v>
      </c>
      <c r="K808" s="6" t="s">
        <v>66</v>
      </c>
      <c r="L808" s="6">
        <v>22</v>
      </c>
      <c r="M808" s="7">
        <v>52990</v>
      </c>
      <c r="N808" s="8">
        <v>0.2</v>
      </c>
      <c r="O808" s="9">
        <v>39500</v>
      </c>
    </row>
    <row r="809" spans="1:15" ht="18" x14ac:dyDescent="0.35">
      <c r="A809" s="4" t="s">
        <v>916</v>
      </c>
      <c r="B809" s="5">
        <v>45689</v>
      </c>
      <c r="C809" s="6" t="s">
        <v>82</v>
      </c>
      <c r="D809" s="6" t="s">
        <v>87</v>
      </c>
      <c r="E809" s="6" t="s">
        <v>50</v>
      </c>
      <c r="F809" s="6" t="s">
        <v>39</v>
      </c>
      <c r="G809" s="6" t="s">
        <v>54</v>
      </c>
      <c r="H809" s="6" t="s">
        <v>90</v>
      </c>
      <c r="I809" s="6" t="s">
        <v>258</v>
      </c>
      <c r="J809" s="6" t="s">
        <v>23</v>
      </c>
      <c r="K809" s="6" t="s">
        <v>66</v>
      </c>
      <c r="L809" s="6">
        <v>38</v>
      </c>
      <c r="M809" s="7">
        <v>29010</v>
      </c>
      <c r="N809" s="8">
        <v>0.2</v>
      </c>
      <c r="O809" s="9">
        <v>19150</v>
      </c>
    </row>
    <row r="810" spans="1:15" ht="18" x14ac:dyDescent="0.35">
      <c r="A810" s="4" t="s">
        <v>917</v>
      </c>
      <c r="B810" s="5">
        <v>45689</v>
      </c>
      <c r="C810" s="6" t="s">
        <v>48</v>
      </c>
      <c r="D810" s="6" t="s">
        <v>68</v>
      </c>
      <c r="E810" s="6" t="s">
        <v>105</v>
      </c>
      <c r="F810" s="6" t="s">
        <v>19</v>
      </c>
      <c r="G810" s="6" t="s">
        <v>40</v>
      </c>
      <c r="H810" s="6" t="s">
        <v>76</v>
      </c>
      <c r="I810" s="6" t="s">
        <v>113</v>
      </c>
      <c r="J810" s="6" t="s">
        <v>33</v>
      </c>
      <c r="K810" s="6" t="s">
        <v>34</v>
      </c>
      <c r="L810" s="6">
        <v>26</v>
      </c>
      <c r="M810" s="7">
        <v>22999</v>
      </c>
      <c r="N810" s="8">
        <v>0.15</v>
      </c>
      <c r="O810" s="9">
        <v>15100</v>
      </c>
    </row>
    <row r="811" spans="1:15" ht="18" x14ac:dyDescent="0.35">
      <c r="A811" s="4" t="s">
        <v>918</v>
      </c>
      <c r="B811" s="5">
        <v>45690</v>
      </c>
      <c r="C811" s="6" t="s">
        <v>36</v>
      </c>
      <c r="D811" s="6" t="s">
        <v>37</v>
      </c>
      <c r="E811" s="6" t="s">
        <v>75</v>
      </c>
      <c r="F811" s="6" t="s">
        <v>19</v>
      </c>
      <c r="G811" s="6" t="s">
        <v>30</v>
      </c>
      <c r="H811" s="6" t="s">
        <v>31</v>
      </c>
      <c r="I811" s="6" t="s">
        <v>106</v>
      </c>
      <c r="J811" s="6" t="s">
        <v>33</v>
      </c>
      <c r="K811" s="6" t="s">
        <v>24</v>
      </c>
      <c r="L811" s="6">
        <v>33</v>
      </c>
      <c r="M811" s="7">
        <v>52990</v>
      </c>
      <c r="N811" s="8">
        <v>0.05</v>
      </c>
      <c r="O811" s="9">
        <v>35100</v>
      </c>
    </row>
    <row r="812" spans="1:15" ht="18" x14ac:dyDescent="0.35">
      <c r="A812" s="4" t="s">
        <v>919</v>
      </c>
      <c r="B812" s="5">
        <v>45690</v>
      </c>
      <c r="C812" s="6" t="s">
        <v>36</v>
      </c>
      <c r="D812" s="6" t="s">
        <v>59</v>
      </c>
      <c r="E812" s="6" t="s">
        <v>75</v>
      </c>
      <c r="F812" s="6" t="s">
        <v>39</v>
      </c>
      <c r="G812" s="6" t="s">
        <v>40</v>
      </c>
      <c r="H812" s="6" t="s">
        <v>64</v>
      </c>
      <c r="I812" s="6" t="s">
        <v>159</v>
      </c>
      <c r="J812" s="6" t="s">
        <v>23</v>
      </c>
      <c r="K812" s="6" t="s">
        <v>24</v>
      </c>
      <c r="L812" s="6">
        <v>5</v>
      </c>
      <c r="M812" s="7">
        <v>3299</v>
      </c>
      <c r="N812" s="8">
        <v>0.15</v>
      </c>
      <c r="O812" s="9">
        <v>2050</v>
      </c>
    </row>
    <row r="813" spans="1:15" ht="18" x14ac:dyDescent="0.35">
      <c r="A813" s="4" t="s">
        <v>920</v>
      </c>
      <c r="B813" s="5">
        <v>45690</v>
      </c>
      <c r="C813" s="6" t="s">
        <v>48</v>
      </c>
      <c r="D813" s="6" t="s">
        <v>136</v>
      </c>
      <c r="E813" s="6" t="s">
        <v>38</v>
      </c>
      <c r="F813" s="6" t="s">
        <v>19</v>
      </c>
      <c r="G813" s="6" t="s">
        <v>30</v>
      </c>
      <c r="H813" s="6" t="s">
        <v>31</v>
      </c>
      <c r="I813" s="6" t="s">
        <v>106</v>
      </c>
      <c r="J813" s="6" t="s">
        <v>33</v>
      </c>
      <c r="K813" s="6" t="s">
        <v>24</v>
      </c>
      <c r="L813" s="6">
        <v>37</v>
      </c>
      <c r="M813" s="7">
        <v>52990</v>
      </c>
      <c r="N813" s="8">
        <v>0.12</v>
      </c>
      <c r="O813" s="9">
        <v>35100</v>
      </c>
    </row>
    <row r="814" spans="1:15" ht="18" x14ac:dyDescent="0.35">
      <c r="A814" s="4" t="s">
        <v>921</v>
      </c>
      <c r="B814" s="5">
        <v>45691</v>
      </c>
      <c r="C814" s="6" t="s">
        <v>26</v>
      </c>
      <c r="D814" s="6" t="s">
        <v>27</v>
      </c>
      <c r="E814" s="6" t="s">
        <v>60</v>
      </c>
      <c r="F814" s="6" t="s">
        <v>19</v>
      </c>
      <c r="G814" s="6" t="s">
        <v>40</v>
      </c>
      <c r="H814" s="6" t="s">
        <v>76</v>
      </c>
      <c r="I814" s="6" t="s">
        <v>77</v>
      </c>
      <c r="J814" s="6" t="s">
        <v>57</v>
      </c>
      <c r="K814" s="6" t="s">
        <v>34</v>
      </c>
      <c r="L814" s="6">
        <v>11</v>
      </c>
      <c r="M814" s="7">
        <v>52990</v>
      </c>
      <c r="N814" s="8">
        <v>0.08</v>
      </c>
      <c r="O814" s="9">
        <v>39500</v>
      </c>
    </row>
    <row r="815" spans="1:15" ht="18" x14ac:dyDescent="0.35">
      <c r="A815" s="4" t="s">
        <v>922</v>
      </c>
      <c r="B815" s="5">
        <v>45691</v>
      </c>
      <c r="C815" s="6" t="s">
        <v>26</v>
      </c>
      <c r="D815" s="6" t="s">
        <v>27</v>
      </c>
      <c r="E815" s="6" t="s">
        <v>75</v>
      </c>
      <c r="F815" s="6" t="s">
        <v>19</v>
      </c>
      <c r="G815" s="6" t="s">
        <v>20</v>
      </c>
      <c r="H815" s="6" t="s">
        <v>45</v>
      </c>
      <c r="I815" s="6" t="s">
        <v>46</v>
      </c>
      <c r="J815" s="6" t="s">
        <v>57</v>
      </c>
      <c r="K815" s="6" t="s">
        <v>24</v>
      </c>
      <c r="L815" s="6">
        <v>20</v>
      </c>
      <c r="M815" s="7">
        <v>1899</v>
      </c>
      <c r="N815" s="8">
        <v>0.2</v>
      </c>
      <c r="O815" s="9">
        <v>1080</v>
      </c>
    </row>
    <row r="816" spans="1:15" ht="18" x14ac:dyDescent="0.35">
      <c r="A816" s="4" t="s">
        <v>923</v>
      </c>
      <c r="B816" s="5">
        <v>45691</v>
      </c>
      <c r="C816" s="6" t="s">
        <v>48</v>
      </c>
      <c r="D816" s="6" t="s">
        <v>68</v>
      </c>
      <c r="E816" s="6" t="s">
        <v>84</v>
      </c>
      <c r="F816" s="6" t="s">
        <v>19</v>
      </c>
      <c r="G816" s="6" t="s">
        <v>30</v>
      </c>
      <c r="H816" s="6" t="s">
        <v>61</v>
      </c>
      <c r="I816" s="6" t="s">
        <v>62</v>
      </c>
      <c r="J816" s="6" t="s">
        <v>33</v>
      </c>
      <c r="K816" s="6" t="s">
        <v>24</v>
      </c>
      <c r="L816" s="6">
        <v>20</v>
      </c>
      <c r="M816" s="7">
        <v>12490</v>
      </c>
      <c r="N816" s="8">
        <v>0.2</v>
      </c>
      <c r="O816" s="9">
        <v>7900</v>
      </c>
    </row>
    <row r="817" spans="1:15" ht="18" x14ac:dyDescent="0.35">
      <c r="A817" s="4" t="s">
        <v>924</v>
      </c>
      <c r="B817" s="5">
        <v>45691</v>
      </c>
      <c r="C817" s="6" t="s">
        <v>48</v>
      </c>
      <c r="D817" s="6" t="s">
        <v>93</v>
      </c>
      <c r="E817" s="6" t="s">
        <v>75</v>
      </c>
      <c r="F817" s="6" t="s">
        <v>39</v>
      </c>
      <c r="G817" s="6" t="s">
        <v>40</v>
      </c>
      <c r="H817" s="6" t="s">
        <v>76</v>
      </c>
      <c r="I817" s="6" t="s">
        <v>77</v>
      </c>
      <c r="J817" s="6" t="s">
        <v>57</v>
      </c>
      <c r="K817" s="6" t="s">
        <v>66</v>
      </c>
      <c r="L817" s="6">
        <v>39</v>
      </c>
      <c r="M817" s="7">
        <v>52990</v>
      </c>
      <c r="N817" s="8">
        <v>0.18</v>
      </c>
      <c r="O817" s="9">
        <v>39500</v>
      </c>
    </row>
    <row r="818" spans="1:15" ht="18" x14ac:dyDescent="0.35">
      <c r="A818" s="4" t="s">
        <v>925</v>
      </c>
      <c r="B818" s="5">
        <v>45691</v>
      </c>
      <c r="C818" s="6" t="s">
        <v>16</v>
      </c>
      <c r="D818" s="6" t="s">
        <v>111</v>
      </c>
      <c r="E818" s="6" t="s">
        <v>75</v>
      </c>
      <c r="F818" s="6" t="s">
        <v>39</v>
      </c>
      <c r="G818" s="6" t="s">
        <v>70</v>
      </c>
      <c r="H818" s="6" t="s">
        <v>71</v>
      </c>
      <c r="I818" s="6" t="s">
        <v>80</v>
      </c>
      <c r="J818" s="6" t="s">
        <v>23</v>
      </c>
      <c r="K818" s="6" t="s">
        <v>66</v>
      </c>
      <c r="L818" s="6">
        <v>10</v>
      </c>
      <c r="M818" s="7">
        <v>1299</v>
      </c>
      <c r="N818" s="8">
        <v>0.08</v>
      </c>
      <c r="O818" s="9">
        <v>720</v>
      </c>
    </row>
    <row r="819" spans="1:15" ht="18" x14ac:dyDescent="0.35">
      <c r="A819" s="4" t="s">
        <v>926</v>
      </c>
      <c r="B819" s="5">
        <v>45692</v>
      </c>
      <c r="C819" s="6" t="s">
        <v>48</v>
      </c>
      <c r="D819" s="6" t="s">
        <v>49</v>
      </c>
      <c r="E819" s="6" t="s">
        <v>60</v>
      </c>
      <c r="F819" s="6" t="s">
        <v>39</v>
      </c>
      <c r="G819" s="6" t="s">
        <v>54</v>
      </c>
      <c r="H819" s="6" t="s">
        <v>90</v>
      </c>
      <c r="I819" s="6" t="s">
        <v>134</v>
      </c>
      <c r="J819" s="6" t="s">
        <v>57</v>
      </c>
      <c r="K819" s="6" t="s">
        <v>34</v>
      </c>
      <c r="L819" s="6">
        <v>31</v>
      </c>
      <c r="M819" s="7">
        <v>32800</v>
      </c>
      <c r="N819" s="8">
        <v>0.2</v>
      </c>
      <c r="O819" s="9">
        <v>23100</v>
      </c>
    </row>
    <row r="820" spans="1:15" ht="18" x14ac:dyDescent="0.35">
      <c r="A820" s="4" t="s">
        <v>927</v>
      </c>
      <c r="B820" s="5">
        <v>45692</v>
      </c>
      <c r="C820" s="6" t="s">
        <v>82</v>
      </c>
      <c r="D820" s="6" t="s">
        <v>183</v>
      </c>
      <c r="E820" s="6" t="s">
        <v>60</v>
      </c>
      <c r="F820" s="6" t="s">
        <v>19</v>
      </c>
      <c r="G820" s="6" t="s">
        <v>70</v>
      </c>
      <c r="H820" s="6" t="s">
        <v>71</v>
      </c>
      <c r="I820" s="6" t="s">
        <v>80</v>
      </c>
      <c r="J820" s="6" t="s">
        <v>23</v>
      </c>
      <c r="K820" s="6" t="s">
        <v>24</v>
      </c>
      <c r="L820" s="6">
        <v>33</v>
      </c>
      <c r="M820" s="7">
        <v>1299</v>
      </c>
      <c r="N820" s="8">
        <v>0.08</v>
      </c>
      <c r="O820" s="9">
        <v>720</v>
      </c>
    </row>
    <row r="821" spans="1:15" ht="18" x14ac:dyDescent="0.35">
      <c r="A821" s="4" t="s">
        <v>928</v>
      </c>
      <c r="B821" s="5">
        <v>45693</v>
      </c>
      <c r="C821" s="6" t="s">
        <v>48</v>
      </c>
      <c r="D821" s="6" t="s">
        <v>136</v>
      </c>
      <c r="E821" s="6" t="s">
        <v>18</v>
      </c>
      <c r="F821" s="6" t="s">
        <v>19</v>
      </c>
      <c r="G821" s="6" t="s">
        <v>20</v>
      </c>
      <c r="H821" s="6" t="s">
        <v>45</v>
      </c>
      <c r="I821" s="6" t="s">
        <v>196</v>
      </c>
      <c r="J821" s="6" t="s">
        <v>23</v>
      </c>
      <c r="K821" s="6" t="s">
        <v>24</v>
      </c>
      <c r="L821" s="6">
        <v>26</v>
      </c>
      <c r="M821" s="7">
        <v>2499</v>
      </c>
      <c r="N821" s="8">
        <v>0.08</v>
      </c>
      <c r="O821" s="9">
        <v>1510</v>
      </c>
    </row>
    <row r="822" spans="1:15" ht="18" x14ac:dyDescent="0.35">
      <c r="A822" s="4" t="s">
        <v>929</v>
      </c>
      <c r="B822" s="5">
        <v>45694</v>
      </c>
      <c r="C822" s="6" t="s">
        <v>82</v>
      </c>
      <c r="D822" s="6" t="s">
        <v>87</v>
      </c>
      <c r="E822" s="6" t="s">
        <v>38</v>
      </c>
      <c r="F822" s="6" t="s">
        <v>19</v>
      </c>
      <c r="G822" s="6" t="s">
        <v>30</v>
      </c>
      <c r="H822" s="6" t="s">
        <v>61</v>
      </c>
      <c r="I822" s="6" t="s">
        <v>96</v>
      </c>
      <c r="J822" s="6" t="s">
        <v>57</v>
      </c>
      <c r="K822" s="6" t="s">
        <v>34</v>
      </c>
      <c r="L822" s="6">
        <v>25</v>
      </c>
      <c r="M822" s="7">
        <v>25110</v>
      </c>
      <c r="N822" s="8">
        <v>0.2</v>
      </c>
      <c r="O822" s="9">
        <v>16730</v>
      </c>
    </row>
    <row r="823" spans="1:15" ht="18" x14ac:dyDescent="0.35">
      <c r="A823" s="4" t="s">
        <v>930</v>
      </c>
      <c r="B823" s="5">
        <v>45694</v>
      </c>
      <c r="C823" s="6" t="s">
        <v>82</v>
      </c>
      <c r="D823" s="6" t="s">
        <v>87</v>
      </c>
      <c r="E823" s="6" t="s">
        <v>60</v>
      </c>
      <c r="F823" s="6" t="s">
        <v>39</v>
      </c>
      <c r="G823" s="6" t="s">
        <v>54</v>
      </c>
      <c r="H823" s="6" t="s">
        <v>129</v>
      </c>
      <c r="I823" s="6" t="s">
        <v>192</v>
      </c>
      <c r="J823" s="6" t="s">
        <v>23</v>
      </c>
      <c r="K823" s="6" t="s">
        <v>24</v>
      </c>
      <c r="L823" s="6">
        <v>32</v>
      </c>
      <c r="M823" s="7">
        <v>29010</v>
      </c>
      <c r="N823" s="8">
        <v>0.08</v>
      </c>
      <c r="O823" s="9">
        <v>19100</v>
      </c>
    </row>
    <row r="824" spans="1:15" ht="18" x14ac:dyDescent="0.35">
      <c r="A824" s="4" t="s">
        <v>931</v>
      </c>
      <c r="B824" s="5">
        <v>45695</v>
      </c>
      <c r="C824" s="6" t="s">
        <v>82</v>
      </c>
      <c r="D824" s="6" t="s">
        <v>87</v>
      </c>
      <c r="E824" s="6" t="s">
        <v>105</v>
      </c>
      <c r="F824" s="6" t="s">
        <v>39</v>
      </c>
      <c r="G824" s="6" t="s">
        <v>20</v>
      </c>
      <c r="H824" s="6" t="s">
        <v>21</v>
      </c>
      <c r="I824" s="6" t="s">
        <v>51</v>
      </c>
      <c r="J824" s="6" t="s">
        <v>33</v>
      </c>
      <c r="K824" s="6" t="s">
        <v>24</v>
      </c>
      <c r="L824" s="6">
        <v>24</v>
      </c>
      <c r="M824" s="7">
        <v>5999</v>
      </c>
      <c r="N824" s="8">
        <v>0.05</v>
      </c>
      <c r="O824" s="9">
        <v>3890</v>
      </c>
    </row>
    <row r="825" spans="1:15" ht="18" x14ac:dyDescent="0.35">
      <c r="A825" s="4" t="s">
        <v>932</v>
      </c>
      <c r="B825" s="5">
        <v>45695</v>
      </c>
      <c r="C825" s="6" t="s">
        <v>36</v>
      </c>
      <c r="D825" s="6" t="s">
        <v>59</v>
      </c>
      <c r="E825" s="6" t="s">
        <v>69</v>
      </c>
      <c r="F825" s="6" t="s">
        <v>29</v>
      </c>
      <c r="G825" s="6" t="s">
        <v>40</v>
      </c>
      <c r="H825" s="6" t="s">
        <v>41</v>
      </c>
      <c r="I825" s="6" t="s">
        <v>42</v>
      </c>
      <c r="J825" s="6" t="s">
        <v>57</v>
      </c>
      <c r="K825" s="6" t="s">
        <v>24</v>
      </c>
      <c r="L825" s="6">
        <v>23</v>
      </c>
      <c r="M825" s="7">
        <v>55230</v>
      </c>
      <c r="N825" s="8">
        <v>0.08</v>
      </c>
      <c r="O825" s="9">
        <v>33800</v>
      </c>
    </row>
    <row r="826" spans="1:15" ht="18" x14ac:dyDescent="0.35">
      <c r="A826" s="4" t="s">
        <v>933</v>
      </c>
      <c r="B826" s="5">
        <v>45695</v>
      </c>
      <c r="C826" s="6" t="s">
        <v>48</v>
      </c>
      <c r="D826" s="6" t="s">
        <v>136</v>
      </c>
      <c r="E826" s="6" t="s">
        <v>69</v>
      </c>
      <c r="F826" s="6" t="s">
        <v>19</v>
      </c>
      <c r="G826" s="6" t="s">
        <v>40</v>
      </c>
      <c r="H826" s="6" t="s">
        <v>41</v>
      </c>
      <c r="I826" s="6" t="s">
        <v>119</v>
      </c>
      <c r="J826" s="6" t="s">
        <v>57</v>
      </c>
      <c r="K826" s="6" t="s">
        <v>24</v>
      </c>
      <c r="L826" s="6">
        <v>3</v>
      </c>
      <c r="M826" s="7">
        <v>48990</v>
      </c>
      <c r="N826" s="8">
        <v>0.2</v>
      </c>
      <c r="O826" s="9">
        <v>30100</v>
      </c>
    </row>
    <row r="827" spans="1:15" ht="18" x14ac:dyDescent="0.35">
      <c r="A827" s="4" t="s">
        <v>934</v>
      </c>
      <c r="B827" s="5">
        <v>45696</v>
      </c>
      <c r="C827" s="6" t="s">
        <v>16</v>
      </c>
      <c r="D827" s="6" t="s">
        <v>98</v>
      </c>
      <c r="E827" s="6" t="s">
        <v>18</v>
      </c>
      <c r="F827" s="6" t="s">
        <v>19</v>
      </c>
      <c r="G827" s="6" t="s">
        <v>30</v>
      </c>
      <c r="H827" s="6" t="s">
        <v>31</v>
      </c>
      <c r="I827" s="6" t="s">
        <v>106</v>
      </c>
      <c r="J827" s="6" t="s">
        <v>57</v>
      </c>
      <c r="K827" s="6" t="s">
        <v>24</v>
      </c>
      <c r="L827" s="6">
        <v>11</v>
      </c>
      <c r="M827" s="7">
        <v>52990</v>
      </c>
      <c r="N827" s="8">
        <v>0.1</v>
      </c>
      <c r="O827" s="9">
        <v>35100</v>
      </c>
    </row>
    <row r="828" spans="1:15" ht="18" x14ac:dyDescent="0.35">
      <c r="A828" s="4" t="s">
        <v>935</v>
      </c>
      <c r="B828" s="5">
        <v>45696</v>
      </c>
      <c r="C828" s="6" t="s">
        <v>48</v>
      </c>
      <c r="D828" s="6" t="s">
        <v>136</v>
      </c>
      <c r="E828" s="6" t="s">
        <v>84</v>
      </c>
      <c r="F828" s="6" t="s">
        <v>29</v>
      </c>
      <c r="G828" s="6" t="s">
        <v>30</v>
      </c>
      <c r="H828" s="6" t="s">
        <v>61</v>
      </c>
      <c r="I828" s="6" t="s">
        <v>96</v>
      </c>
      <c r="J828" s="6" t="s">
        <v>23</v>
      </c>
      <c r="K828" s="6" t="s">
        <v>24</v>
      </c>
      <c r="L828" s="6">
        <v>6</v>
      </c>
      <c r="M828" s="7">
        <v>25110</v>
      </c>
      <c r="N828" s="8">
        <v>0.2</v>
      </c>
      <c r="O828" s="9">
        <v>16730</v>
      </c>
    </row>
    <row r="829" spans="1:15" ht="18" x14ac:dyDescent="0.35">
      <c r="A829" s="4" t="s">
        <v>936</v>
      </c>
      <c r="B829" s="5">
        <v>45697</v>
      </c>
      <c r="C829" s="6" t="s">
        <v>82</v>
      </c>
      <c r="D829" s="6" t="s">
        <v>100</v>
      </c>
      <c r="E829" s="6" t="s">
        <v>75</v>
      </c>
      <c r="F829" s="6" t="s">
        <v>39</v>
      </c>
      <c r="G829" s="6" t="s">
        <v>40</v>
      </c>
      <c r="H829" s="6" t="s">
        <v>41</v>
      </c>
      <c r="I829" s="6" t="s">
        <v>42</v>
      </c>
      <c r="J829" s="6" t="s">
        <v>33</v>
      </c>
      <c r="K829" s="6" t="s">
        <v>78</v>
      </c>
      <c r="L829" s="6">
        <v>26</v>
      </c>
      <c r="M829" s="7">
        <v>55230</v>
      </c>
      <c r="N829" s="8">
        <v>0.08</v>
      </c>
      <c r="O829" s="9">
        <v>33800</v>
      </c>
    </row>
    <row r="830" spans="1:15" ht="18" x14ac:dyDescent="0.35">
      <c r="A830" s="4" t="s">
        <v>937</v>
      </c>
      <c r="B830" s="5">
        <v>45697</v>
      </c>
      <c r="C830" s="6" t="s">
        <v>48</v>
      </c>
      <c r="D830" s="6" t="s">
        <v>49</v>
      </c>
      <c r="E830" s="6" t="s">
        <v>28</v>
      </c>
      <c r="F830" s="6" t="s">
        <v>39</v>
      </c>
      <c r="G830" s="6" t="s">
        <v>54</v>
      </c>
      <c r="H830" s="6" t="s">
        <v>55</v>
      </c>
      <c r="I830" s="6" t="s">
        <v>148</v>
      </c>
      <c r="J830" s="6" t="s">
        <v>57</v>
      </c>
      <c r="K830" s="6" t="s">
        <v>24</v>
      </c>
      <c r="L830" s="6">
        <v>6</v>
      </c>
      <c r="M830" s="7">
        <v>4680</v>
      </c>
      <c r="N830" s="8">
        <v>0.08</v>
      </c>
      <c r="O830" s="9">
        <v>3250</v>
      </c>
    </row>
    <row r="831" spans="1:15" ht="18" x14ac:dyDescent="0.35">
      <c r="A831" s="4" t="s">
        <v>938</v>
      </c>
      <c r="B831" s="5">
        <v>45697</v>
      </c>
      <c r="C831" s="6" t="s">
        <v>26</v>
      </c>
      <c r="D831" s="6" t="s">
        <v>53</v>
      </c>
      <c r="E831" s="6" t="s">
        <v>84</v>
      </c>
      <c r="F831" s="6" t="s">
        <v>19</v>
      </c>
      <c r="G831" s="6" t="s">
        <v>30</v>
      </c>
      <c r="H831" s="6" t="s">
        <v>61</v>
      </c>
      <c r="I831" s="6" t="s">
        <v>186</v>
      </c>
      <c r="J831" s="6" t="s">
        <v>23</v>
      </c>
      <c r="K831" s="6" t="s">
        <v>24</v>
      </c>
      <c r="L831" s="6">
        <v>14</v>
      </c>
      <c r="M831" s="7">
        <v>6999</v>
      </c>
      <c r="N831" s="8">
        <v>0.18</v>
      </c>
      <c r="O831" s="9">
        <v>4320</v>
      </c>
    </row>
    <row r="832" spans="1:15" ht="18" x14ac:dyDescent="0.35">
      <c r="A832" s="4" t="s">
        <v>939</v>
      </c>
      <c r="B832" s="5">
        <v>45697</v>
      </c>
      <c r="C832" s="6" t="s">
        <v>36</v>
      </c>
      <c r="D832" s="6" t="s">
        <v>37</v>
      </c>
      <c r="E832" s="6" t="s">
        <v>50</v>
      </c>
      <c r="F832" s="6" t="s">
        <v>29</v>
      </c>
      <c r="G832" s="6" t="s">
        <v>30</v>
      </c>
      <c r="H832" s="6" t="s">
        <v>61</v>
      </c>
      <c r="I832" s="6" t="s">
        <v>96</v>
      </c>
      <c r="J832" s="6" t="s">
        <v>23</v>
      </c>
      <c r="K832" s="6" t="s">
        <v>34</v>
      </c>
      <c r="L832" s="6">
        <v>8</v>
      </c>
      <c r="M832" s="7">
        <v>25110</v>
      </c>
      <c r="N832" s="8">
        <v>0.15</v>
      </c>
      <c r="O832" s="9">
        <v>16730</v>
      </c>
    </row>
    <row r="833" spans="1:15" ht="18" x14ac:dyDescent="0.35">
      <c r="A833" s="4" t="s">
        <v>940</v>
      </c>
      <c r="B833" s="5">
        <v>45698</v>
      </c>
      <c r="C833" s="6" t="s">
        <v>48</v>
      </c>
      <c r="D833" s="6" t="s">
        <v>136</v>
      </c>
      <c r="E833" s="6" t="s">
        <v>18</v>
      </c>
      <c r="F833" s="6" t="s">
        <v>29</v>
      </c>
      <c r="G833" s="6" t="s">
        <v>40</v>
      </c>
      <c r="H833" s="6" t="s">
        <v>41</v>
      </c>
      <c r="I833" s="6" t="s">
        <v>119</v>
      </c>
      <c r="J833" s="6" t="s">
        <v>23</v>
      </c>
      <c r="K833" s="6" t="s">
        <v>24</v>
      </c>
      <c r="L833" s="6">
        <v>16</v>
      </c>
      <c r="M833" s="7">
        <v>48990</v>
      </c>
      <c r="N833" s="8">
        <v>0.15</v>
      </c>
      <c r="O833" s="9">
        <v>30100</v>
      </c>
    </row>
    <row r="834" spans="1:15" ht="18" x14ac:dyDescent="0.35">
      <c r="A834" s="4" t="s">
        <v>941</v>
      </c>
      <c r="B834" s="5">
        <v>45698</v>
      </c>
      <c r="C834" s="6" t="s">
        <v>48</v>
      </c>
      <c r="D834" s="6" t="s">
        <v>93</v>
      </c>
      <c r="E834" s="6" t="s">
        <v>84</v>
      </c>
      <c r="F834" s="6" t="s">
        <v>19</v>
      </c>
      <c r="G834" s="6" t="s">
        <v>70</v>
      </c>
      <c r="H834" s="6" t="s">
        <v>71</v>
      </c>
      <c r="I834" s="6" t="s">
        <v>72</v>
      </c>
      <c r="J834" s="6" t="s">
        <v>23</v>
      </c>
      <c r="K834" s="6" t="s">
        <v>78</v>
      </c>
      <c r="L834" s="6">
        <v>35</v>
      </c>
      <c r="M834" s="7">
        <v>3499</v>
      </c>
      <c r="N834" s="8">
        <v>0.2</v>
      </c>
      <c r="O834" s="9">
        <v>2190</v>
      </c>
    </row>
    <row r="835" spans="1:15" ht="18" x14ac:dyDescent="0.35">
      <c r="A835" s="4" t="s">
        <v>942</v>
      </c>
      <c r="B835" s="5">
        <v>45699</v>
      </c>
      <c r="C835" s="6" t="s">
        <v>16</v>
      </c>
      <c r="D835" s="6" t="s">
        <v>98</v>
      </c>
      <c r="E835" s="6" t="s">
        <v>105</v>
      </c>
      <c r="F835" s="6" t="s">
        <v>39</v>
      </c>
      <c r="G835" s="6" t="s">
        <v>20</v>
      </c>
      <c r="H835" s="6" t="s">
        <v>21</v>
      </c>
      <c r="I835" s="6" t="s">
        <v>22</v>
      </c>
      <c r="J835" s="6" t="s">
        <v>57</v>
      </c>
      <c r="K835" s="6" t="s">
        <v>34</v>
      </c>
      <c r="L835" s="6">
        <v>40</v>
      </c>
      <c r="M835" s="7">
        <v>4499</v>
      </c>
      <c r="N835" s="8">
        <v>0.2</v>
      </c>
      <c r="O835" s="9">
        <v>2910</v>
      </c>
    </row>
    <row r="836" spans="1:15" ht="18" x14ac:dyDescent="0.35">
      <c r="A836" s="4" t="s">
        <v>943</v>
      </c>
      <c r="B836" s="5">
        <v>45699</v>
      </c>
      <c r="C836" s="6" t="s">
        <v>48</v>
      </c>
      <c r="D836" s="6" t="s">
        <v>136</v>
      </c>
      <c r="E836" s="6" t="s">
        <v>105</v>
      </c>
      <c r="F836" s="6" t="s">
        <v>39</v>
      </c>
      <c r="G836" s="6" t="s">
        <v>40</v>
      </c>
      <c r="H836" s="6" t="s">
        <v>41</v>
      </c>
      <c r="I836" s="6" t="s">
        <v>156</v>
      </c>
      <c r="J836" s="6" t="s">
        <v>33</v>
      </c>
      <c r="K836" s="6" t="s">
        <v>66</v>
      </c>
      <c r="L836" s="6">
        <v>24</v>
      </c>
      <c r="M836" s="7">
        <v>48500</v>
      </c>
      <c r="N836" s="8">
        <v>0.12</v>
      </c>
      <c r="O836" s="9">
        <v>30200</v>
      </c>
    </row>
    <row r="837" spans="1:15" ht="18" x14ac:dyDescent="0.35">
      <c r="A837" s="4" t="s">
        <v>944</v>
      </c>
      <c r="B837" s="5">
        <v>45700</v>
      </c>
      <c r="C837" s="6" t="s">
        <v>82</v>
      </c>
      <c r="D837" s="6" t="s">
        <v>183</v>
      </c>
      <c r="E837" s="6" t="s">
        <v>105</v>
      </c>
      <c r="F837" s="6" t="s">
        <v>19</v>
      </c>
      <c r="G837" s="6" t="s">
        <v>70</v>
      </c>
      <c r="H837" s="6" t="s">
        <v>71</v>
      </c>
      <c r="I837" s="6" t="s">
        <v>72</v>
      </c>
      <c r="J837" s="6" t="s">
        <v>57</v>
      </c>
      <c r="K837" s="6" t="s">
        <v>24</v>
      </c>
      <c r="L837" s="6">
        <v>19</v>
      </c>
      <c r="M837" s="7">
        <v>3499</v>
      </c>
      <c r="N837" s="8">
        <v>0.12</v>
      </c>
      <c r="O837" s="9">
        <v>2190</v>
      </c>
    </row>
    <row r="838" spans="1:15" ht="18" x14ac:dyDescent="0.35">
      <c r="A838" s="4" t="s">
        <v>945</v>
      </c>
      <c r="B838" s="5">
        <v>45701</v>
      </c>
      <c r="C838" s="6" t="s">
        <v>82</v>
      </c>
      <c r="D838" s="6" t="s">
        <v>100</v>
      </c>
      <c r="E838" s="6" t="s">
        <v>18</v>
      </c>
      <c r="F838" s="6" t="s">
        <v>19</v>
      </c>
      <c r="G838" s="6" t="s">
        <v>54</v>
      </c>
      <c r="H838" s="6" t="s">
        <v>129</v>
      </c>
      <c r="I838" s="6" t="s">
        <v>130</v>
      </c>
      <c r="J838" s="6" t="s">
        <v>23</v>
      </c>
      <c r="K838" s="6" t="s">
        <v>34</v>
      </c>
      <c r="L838" s="6">
        <v>30</v>
      </c>
      <c r="M838" s="7">
        <v>27890</v>
      </c>
      <c r="N838" s="8">
        <v>0.1</v>
      </c>
      <c r="O838" s="9">
        <v>18800</v>
      </c>
    </row>
    <row r="839" spans="1:15" ht="18" x14ac:dyDescent="0.35">
      <c r="A839" s="4" t="s">
        <v>946</v>
      </c>
      <c r="B839" s="5">
        <v>45701</v>
      </c>
      <c r="C839" s="6" t="s">
        <v>26</v>
      </c>
      <c r="D839" s="6" t="s">
        <v>27</v>
      </c>
      <c r="E839" s="6" t="s">
        <v>75</v>
      </c>
      <c r="F839" s="6" t="s">
        <v>19</v>
      </c>
      <c r="G839" s="6" t="s">
        <v>40</v>
      </c>
      <c r="H839" s="6" t="s">
        <v>76</v>
      </c>
      <c r="I839" s="6" t="s">
        <v>113</v>
      </c>
      <c r="J839" s="6" t="s">
        <v>23</v>
      </c>
      <c r="K839" s="6" t="s">
        <v>34</v>
      </c>
      <c r="L839" s="6">
        <v>20</v>
      </c>
      <c r="M839" s="7">
        <v>22999</v>
      </c>
      <c r="N839" s="8">
        <v>0.2</v>
      </c>
      <c r="O839" s="9">
        <v>15100</v>
      </c>
    </row>
    <row r="840" spans="1:15" ht="18" x14ac:dyDescent="0.35">
      <c r="A840" s="4" t="s">
        <v>947</v>
      </c>
      <c r="B840" s="5">
        <v>45701</v>
      </c>
      <c r="C840" s="6" t="s">
        <v>16</v>
      </c>
      <c r="D840" s="6" t="s">
        <v>98</v>
      </c>
      <c r="E840" s="6" t="s">
        <v>50</v>
      </c>
      <c r="F840" s="6" t="s">
        <v>29</v>
      </c>
      <c r="G840" s="6" t="s">
        <v>30</v>
      </c>
      <c r="H840" s="6" t="s">
        <v>61</v>
      </c>
      <c r="I840" s="6" t="s">
        <v>62</v>
      </c>
      <c r="J840" s="6" t="s">
        <v>23</v>
      </c>
      <c r="K840" s="6" t="s">
        <v>34</v>
      </c>
      <c r="L840" s="6">
        <v>16</v>
      </c>
      <c r="M840" s="7">
        <v>12490</v>
      </c>
      <c r="N840" s="8">
        <v>0.08</v>
      </c>
      <c r="O840" s="9">
        <v>7900</v>
      </c>
    </row>
    <row r="841" spans="1:15" ht="18" x14ac:dyDescent="0.35">
      <c r="A841" s="4" t="s">
        <v>948</v>
      </c>
      <c r="B841" s="5">
        <v>45702</v>
      </c>
      <c r="C841" s="6" t="s">
        <v>36</v>
      </c>
      <c r="D841" s="6" t="s">
        <v>37</v>
      </c>
      <c r="E841" s="6" t="s">
        <v>60</v>
      </c>
      <c r="F841" s="6" t="s">
        <v>39</v>
      </c>
      <c r="G841" s="6" t="s">
        <v>20</v>
      </c>
      <c r="H841" s="6" t="s">
        <v>21</v>
      </c>
      <c r="I841" s="6" t="s">
        <v>115</v>
      </c>
      <c r="J841" s="6" t="s">
        <v>33</v>
      </c>
      <c r="K841" s="6" t="s">
        <v>24</v>
      </c>
      <c r="L841" s="6">
        <v>36</v>
      </c>
      <c r="M841" s="7">
        <v>6499</v>
      </c>
      <c r="N841" s="8">
        <v>0.2</v>
      </c>
      <c r="O841" s="9">
        <v>4210</v>
      </c>
    </row>
    <row r="842" spans="1:15" ht="18" x14ac:dyDescent="0.35">
      <c r="A842" s="4" t="s">
        <v>949</v>
      </c>
      <c r="B842" s="5">
        <v>45703</v>
      </c>
      <c r="C842" s="6" t="s">
        <v>82</v>
      </c>
      <c r="D842" s="6" t="s">
        <v>87</v>
      </c>
      <c r="E842" s="6" t="s">
        <v>101</v>
      </c>
      <c r="F842" s="6" t="s">
        <v>39</v>
      </c>
      <c r="G842" s="6" t="s">
        <v>30</v>
      </c>
      <c r="H842" s="6" t="s">
        <v>31</v>
      </c>
      <c r="I842" s="6" t="s">
        <v>106</v>
      </c>
      <c r="J842" s="6" t="s">
        <v>57</v>
      </c>
      <c r="K842" s="6" t="s">
        <v>66</v>
      </c>
      <c r="L842" s="6">
        <v>27</v>
      </c>
      <c r="M842" s="7">
        <v>52990</v>
      </c>
      <c r="N842" s="8">
        <v>0.2</v>
      </c>
      <c r="O842" s="9">
        <v>35100</v>
      </c>
    </row>
    <row r="843" spans="1:15" ht="18" x14ac:dyDescent="0.35">
      <c r="A843" s="4" t="s">
        <v>950</v>
      </c>
      <c r="B843" s="5">
        <v>45704</v>
      </c>
      <c r="C843" s="6" t="s">
        <v>48</v>
      </c>
      <c r="D843" s="6" t="s">
        <v>49</v>
      </c>
      <c r="E843" s="6" t="s">
        <v>75</v>
      </c>
      <c r="F843" s="6" t="s">
        <v>39</v>
      </c>
      <c r="G843" s="6" t="s">
        <v>54</v>
      </c>
      <c r="H843" s="6" t="s">
        <v>55</v>
      </c>
      <c r="I843" s="6" t="s">
        <v>108</v>
      </c>
      <c r="J843" s="6" t="s">
        <v>33</v>
      </c>
      <c r="K843" s="6" t="s">
        <v>24</v>
      </c>
      <c r="L843" s="6">
        <v>6</v>
      </c>
      <c r="M843" s="7">
        <v>5890</v>
      </c>
      <c r="N843" s="8">
        <v>0.18</v>
      </c>
      <c r="O843" s="9">
        <v>3980</v>
      </c>
    </row>
    <row r="844" spans="1:15" ht="18" x14ac:dyDescent="0.35">
      <c r="A844" s="4" t="s">
        <v>951</v>
      </c>
      <c r="B844" s="5">
        <v>45706</v>
      </c>
      <c r="C844" s="6" t="s">
        <v>82</v>
      </c>
      <c r="D844" s="6" t="s">
        <v>83</v>
      </c>
      <c r="E844" s="6" t="s">
        <v>75</v>
      </c>
      <c r="F844" s="6" t="s">
        <v>19</v>
      </c>
      <c r="G844" s="6" t="s">
        <v>70</v>
      </c>
      <c r="H844" s="6" t="s">
        <v>71</v>
      </c>
      <c r="I844" s="6" t="s">
        <v>80</v>
      </c>
      <c r="J844" s="6" t="s">
        <v>23</v>
      </c>
      <c r="K844" s="6" t="s">
        <v>78</v>
      </c>
      <c r="L844" s="6">
        <v>29</v>
      </c>
      <c r="M844" s="7">
        <v>1299</v>
      </c>
      <c r="N844" s="8">
        <v>0.2</v>
      </c>
      <c r="O844" s="9">
        <v>720</v>
      </c>
    </row>
    <row r="845" spans="1:15" ht="18" x14ac:dyDescent="0.35">
      <c r="A845" s="4" t="s">
        <v>952</v>
      </c>
      <c r="B845" s="5">
        <v>45706</v>
      </c>
      <c r="C845" s="6" t="s">
        <v>16</v>
      </c>
      <c r="D845" s="6" t="s">
        <v>17</v>
      </c>
      <c r="E845" s="6" t="s">
        <v>69</v>
      </c>
      <c r="F845" s="6" t="s">
        <v>29</v>
      </c>
      <c r="G845" s="6" t="s">
        <v>70</v>
      </c>
      <c r="H845" s="6" t="s">
        <v>71</v>
      </c>
      <c r="I845" s="6" t="s">
        <v>72</v>
      </c>
      <c r="J845" s="6" t="s">
        <v>23</v>
      </c>
      <c r="K845" s="6" t="s">
        <v>24</v>
      </c>
      <c r="L845" s="6">
        <v>5</v>
      </c>
      <c r="M845" s="7">
        <v>3499</v>
      </c>
      <c r="N845" s="8">
        <v>0.12</v>
      </c>
      <c r="O845" s="9">
        <v>2190</v>
      </c>
    </row>
    <row r="846" spans="1:15" ht="18" x14ac:dyDescent="0.35">
      <c r="A846" s="4" t="s">
        <v>953</v>
      </c>
      <c r="B846" s="5">
        <v>45708</v>
      </c>
      <c r="C846" s="6" t="s">
        <v>26</v>
      </c>
      <c r="D846" s="6" t="s">
        <v>53</v>
      </c>
      <c r="E846" s="6" t="s">
        <v>50</v>
      </c>
      <c r="F846" s="6" t="s">
        <v>19</v>
      </c>
      <c r="G846" s="6" t="s">
        <v>30</v>
      </c>
      <c r="H846" s="6" t="s">
        <v>31</v>
      </c>
      <c r="I846" s="6" t="s">
        <v>106</v>
      </c>
      <c r="J846" s="6" t="s">
        <v>23</v>
      </c>
      <c r="K846" s="6" t="s">
        <v>78</v>
      </c>
      <c r="L846" s="6">
        <v>14</v>
      </c>
      <c r="M846" s="7">
        <v>52990</v>
      </c>
      <c r="N846" s="8">
        <v>0.18</v>
      </c>
      <c r="O846" s="9">
        <v>35100</v>
      </c>
    </row>
    <row r="847" spans="1:15" ht="18" x14ac:dyDescent="0.35">
      <c r="A847" s="4" t="s">
        <v>954</v>
      </c>
      <c r="B847" s="5">
        <v>45708</v>
      </c>
      <c r="C847" s="6" t="s">
        <v>26</v>
      </c>
      <c r="D847" s="6" t="s">
        <v>53</v>
      </c>
      <c r="E847" s="6" t="s">
        <v>69</v>
      </c>
      <c r="F847" s="6" t="s">
        <v>39</v>
      </c>
      <c r="G847" s="6" t="s">
        <v>54</v>
      </c>
      <c r="H847" s="6" t="s">
        <v>90</v>
      </c>
      <c r="I847" s="6" t="s">
        <v>258</v>
      </c>
      <c r="J847" s="6" t="s">
        <v>23</v>
      </c>
      <c r="K847" s="6" t="s">
        <v>24</v>
      </c>
      <c r="L847" s="6">
        <v>28</v>
      </c>
      <c r="M847" s="7">
        <v>29010</v>
      </c>
      <c r="N847" s="8">
        <v>0.08</v>
      </c>
      <c r="O847" s="9">
        <v>19150</v>
      </c>
    </row>
    <row r="848" spans="1:15" ht="18" x14ac:dyDescent="0.35">
      <c r="A848" s="4" t="s">
        <v>955</v>
      </c>
      <c r="B848" s="5">
        <v>45708</v>
      </c>
      <c r="C848" s="6" t="s">
        <v>82</v>
      </c>
      <c r="D848" s="6" t="s">
        <v>100</v>
      </c>
      <c r="E848" s="6" t="s">
        <v>69</v>
      </c>
      <c r="F848" s="6" t="s">
        <v>19</v>
      </c>
      <c r="G848" s="6" t="s">
        <v>40</v>
      </c>
      <c r="H848" s="6" t="s">
        <v>64</v>
      </c>
      <c r="I848" s="6" t="s">
        <v>159</v>
      </c>
      <c r="J848" s="6" t="s">
        <v>57</v>
      </c>
      <c r="K848" s="6" t="s">
        <v>66</v>
      </c>
      <c r="L848" s="6">
        <v>12</v>
      </c>
      <c r="M848" s="7">
        <v>3299</v>
      </c>
      <c r="N848" s="8">
        <v>0.18</v>
      </c>
      <c r="O848" s="9">
        <v>2050</v>
      </c>
    </row>
    <row r="849" spans="1:15" ht="18" x14ac:dyDescent="0.35">
      <c r="A849" s="4" t="s">
        <v>956</v>
      </c>
      <c r="B849" s="5">
        <v>45708</v>
      </c>
      <c r="C849" s="6" t="s">
        <v>36</v>
      </c>
      <c r="D849" s="6" t="s">
        <v>37</v>
      </c>
      <c r="E849" s="6" t="s">
        <v>69</v>
      </c>
      <c r="F849" s="6" t="s">
        <v>39</v>
      </c>
      <c r="G849" s="6" t="s">
        <v>70</v>
      </c>
      <c r="H849" s="6" t="s">
        <v>71</v>
      </c>
      <c r="I849" s="6" t="s">
        <v>88</v>
      </c>
      <c r="J849" s="6" t="s">
        <v>57</v>
      </c>
      <c r="K849" s="6" t="s">
        <v>66</v>
      </c>
      <c r="L849" s="6">
        <v>3</v>
      </c>
      <c r="M849" s="7">
        <v>999</v>
      </c>
      <c r="N849" s="8">
        <v>0.08</v>
      </c>
      <c r="O849" s="9">
        <v>540</v>
      </c>
    </row>
    <row r="850" spans="1:15" ht="18" x14ac:dyDescent="0.35">
      <c r="A850" s="4" t="s">
        <v>957</v>
      </c>
      <c r="B850" s="5">
        <v>45709</v>
      </c>
      <c r="C850" s="6" t="s">
        <v>26</v>
      </c>
      <c r="D850" s="6" t="s">
        <v>27</v>
      </c>
      <c r="E850" s="6" t="s">
        <v>28</v>
      </c>
      <c r="F850" s="6" t="s">
        <v>29</v>
      </c>
      <c r="G850" s="6" t="s">
        <v>20</v>
      </c>
      <c r="H850" s="6" t="s">
        <v>21</v>
      </c>
      <c r="I850" s="6" t="s">
        <v>115</v>
      </c>
      <c r="J850" s="6" t="s">
        <v>57</v>
      </c>
      <c r="K850" s="6" t="s">
        <v>78</v>
      </c>
      <c r="L850" s="6">
        <v>38</v>
      </c>
      <c r="M850" s="7">
        <v>6499</v>
      </c>
      <c r="N850" s="8">
        <v>0.18</v>
      </c>
      <c r="O850" s="9">
        <v>4210</v>
      </c>
    </row>
    <row r="851" spans="1:15" ht="18" x14ac:dyDescent="0.35">
      <c r="A851" s="4" t="s">
        <v>958</v>
      </c>
      <c r="B851" s="5">
        <v>45709</v>
      </c>
      <c r="C851" s="6" t="s">
        <v>48</v>
      </c>
      <c r="D851" s="6" t="s">
        <v>136</v>
      </c>
      <c r="E851" s="6" t="s">
        <v>101</v>
      </c>
      <c r="F851" s="6" t="s">
        <v>19</v>
      </c>
      <c r="G851" s="6" t="s">
        <v>54</v>
      </c>
      <c r="H851" s="6" t="s">
        <v>55</v>
      </c>
      <c r="I851" s="6" t="s">
        <v>148</v>
      </c>
      <c r="J851" s="6" t="s">
        <v>57</v>
      </c>
      <c r="K851" s="6" t="s">
        <v>24</v>
      </c>
      <c r="L851" s="6">
        <v>14</v>
      </c>
      <c r="M851" s="7">
        <v>4680</v>
      </c>
      <c r="N851" s="8">
        <v>0.12</v>
      </c>
      <c r="O851" s="9">
        <v>3250</v>
      </c>
    </row>
    <row r="852" spans="1:15" ht="18" x14ac:dyDescent="0.35">
      <c r="A852" s="4" t="s">
        <v>959</v>
      </c>
      <c r="B852" s="5">
        <v>45709</v>
      </c>
      <c r="C852" s="6" t="s">
        <v>36</v>
      </c>
      <c r="D852" s="6" t="s">
        <v>59</v>
      </c>
      <c r="E852" s="6" t="s">
        <v>101</v>
      </c>
      <c r="F852" s="6" t="s">
        <v>19</v>
      </c>
      <c r="G852" s="6" t="s">
        <v>70</v>
      </c>
      <c r="H852" s="6" t="s">
        <v>71</v>
      </c>
      <c r="I852" s="6" t="s">
        <v>88</v>
      </c>
      <c r="J852" s="6" t="s">
        <v>23</v>
      </c>
      <c r="K852" s="6" t="s">
        <v>24</v>
      </c>
      <c r="L852" s="6">
        <v>3</v>
      </c>
      <c r="M852" s="7">
        <v>999</v>
      </c>
      <c r="N852" s="8">
        <v>0.12</v>
      </c>
      <c r="O852" s="9">
        <v>540</v>
      </c>
    </row>
    <row r="853" spans="1:15" ht="18" x14ac:dyDescent="0.35">
      <c r="A853" s="4" t="s">
        <v>960</v>
      </c>
      <c r="B853" s="5">
        <v>45709</v>
      </c>
      <c r="C853" s="6" t="s">
        <v>36</v>
      </c>
      <c r="D853" s="6" t="s">
        <v>44</v>
      </c>
      <c r="E853" s="6" t="s">
        <v>18</v>
      </c>
      <c r="F853" s="6" t="s">
        <v>39</v>
      </c>
      <c r="G853" s="6" t="s">
        <v>30</v>
      </c>
      <c r="H853" s="6" t="s">
        <v>61</v>
      </c>
      <c r="I853" s="6" t="s">
        <v>96</v>
      </c>
      <c r="J853" s="6" t="s">
        <v>33</v>
      </c>
      <c r="K853" s="6" t="s">
        <v>24</v>
      </c>
      <c r="L853" s="6">
        <v>20</v>
      </c>
      <c r="M853" s="7">
        <v>25110</v>
      </c>
      <c r="N853" s="8">
        <v>0.08</v>
      </c>
      <c r="O853" s="9">
        <v>16730</v>
      </c>
    </row>
    <row r="854" spans="1:15" ht="18" x14ac:dyDescent="0.35">
      <c r="A854" s="4" t="s">
        <v>961</v>
      </c>
      <c r="B854" s="5">
        <v>45711</v>
      </c>
      <c r="C854" s="6" t="s">
        <v>26</v>
      </c>
      <c r="D854" s="6" t="s">
        <v>74</v>
      </c>
      <c r="E854" s="6" t="s">
        <v>50</v>
      </c>
      <c r="F854" s="6" t="s">
        <v>39</v>
      </c>
      <c r="G854" s="6" t="s">
        <v>30</v>
      </c>
      <c r="H854" s="6" t="s">
        <v>31</v>
      </c>
      <c r="I854" s="6" t="s">
        <v>106</v>
      </c>
      <c r="J854" s="6" t="s">
        <v>57</v>
      </c>
      <c r="K854" s="6" t="s">
        <v>34</v>
      </c>
      <c r="L854" s="6">
        <v>22</v>
      </c>
      <c r="M854" s="7">
        <v>52990</v>
      </c>
      <c r="N854" s="8">
        <v>0.08</v>
      </c>
      <c r="O854" s="9">
        <v>35100</v>
      </c>
    </row>
    <row r="855" spans="1:15" ht="18" x14ac:dyDescent="0.35">
      <c r="A855" s="4" t="s">
        <v>962</v>
      </c>
      <c r="B855" s="5">
        <v>45711</v>
      </c>
      <c r="C855" s="6" t="s">
        <v>48</v>
      </c>
      <c r="D855" s="6" t="s">
        <v>93</v>
      </c>
      <c r="E855" s="6" t="s">
        <v>75</v>
      </c>
      <c r="F855" s="6" t="s">
        <v>29</v>
      </c>
      <c r="G855" s="6" t="s">
        <v>40</v>
      </c>
      <c r="H855" s="6" t="s">
        <v>64</v>
      </c>
      <c r="I855" s="6" t="s">
        <v>65</v>
      </c>
      <c r="J855" s="6" t="s">
        <v>57</v>
      </c>
      <c r="K855" s="6" t="s">
        <v>34</v>
      </c>
      <c r="L855" s="6">
        <v>13</v>
      </c>
      <c r="M855" s="7">
        <v>1930</v>
      </c>
      <c r="N855" s="8">
        <v>0.12</v>
      </c>
      <c r="O855" s="9">
        <v>1120</v>
      </c>
    </row>
    <row r="856" spans="1:15" ht="18" x14ac:dyDescent="0.35">
      <c r="A856" s="4" t="s">
        <v>963</v>
      </c>
      <c r="B856" s="5">
        <v>45711</v>
      </c>
      <c r="C856" s="6" t="s">
        <v>36</v>
      </c>
      <c r="D856" s="6" t="s">
        <v>121</v>
      </c>
      <c r="E856" s="6" t="s">
        <v>60</v>
      </c>
      <c r="F856" s="6" t="s">
        <v>29</v>
      </c>
      <c r="G856" s="6" t="s">
        <v>40</v>
      </c>
      <c r="H856" s="6" t="s">
        <v>64</v>
      </c>
      <c r="I856" s="6" t="s">
        <v>65</v>
      </c>
      <c r="J856" s="6" t="s">
        <v>23</v>
      </c>
      <c r="K856" s="6" t="s">
        <v>34</v>
      </c>
      <c r="L856" s="6">
        <v>19</v>
      </c>
      <c r="M856" s="7">
        <v>1930</v>
      </c>
      <c r="N856" s="8">
        <v>0.15</v>
      </c>
      <c r="O856" s="9">
        <v>1120</v>
      </c>
    </row>
    <row r="857" spans="1:15" ht="18" x14ac:dyDescent="0.35">
      <c r="A857" s="4" t="s">
        <v>964</v>
      </c>
      <c r="B857" s="5">
        <v>45712</v>
      </c>
      <c r="C857" s="6" t="s">
        <v>82</v>
      </c>
      <c r="D857" s="6" t="s">
        <v>183</v>
      </c>
      <c r="E857" s="6" t="s">
        <v>101</v>
      </c>
      <c r="F857" s="6" t="s">
        <v>19</v>
      </c>
      <c r="G857" s="6" t="s">
        <v>20</v>
      </c>
      <c r="H857" s="6" t="s">
        <v>45</v>
      </c>
      <c r="I857" s="6" t="s">
        <v>46</v>
      </c>
      <c r="J857" s="6" t="s">
        <v>33</v>
      </c>
      <c r="K857" s="6" t="s">
        <v>24</v>
      </c>
      <c r="L857" s="6">
        <v>17</v>
      </c>
      <c r="M857" s="7">
        <v>1899</v>
      </c>
      <c r="N857" s="8">
        <v>0.15</v>
      </c>
      <c r="O857" s="9">
        <v>1080</v>
      </c>
    </row>
    <row r="858" spans="1:15" ht="18" x14ac:dyDescent="0.35">
      <c r="A858" s="4" t="s">
        <v>965</v>
      </c>
      <c r="B858" s="5">
        <v>45712</v>
      </c>
      <c r="C858" s="6" t="s">
        <v>16</v>
      </c>
      <c r="D858" s="6" t="s">
        <v>111</v>
      </c>
      <c r="E858" s="6" t="s">
        <v>38</v>
      </c>
      <c r="F858" s="6" t="s">
        <v>19</v>
      </c>
      <c r="G858" s="6" t="s">
        <v>70</v>
      </c>
      <c r="H858" s="6" t="s">
        <v>71</v>
      </c>
      <c r="I858" s="6" t="s">
        <v>80</v>
      </c>
      <c r="J858" s="6" t="s">
        <v>23</v>
      </c>
      <c r="K858" s="6" t="s">
        <v>24</v>
      </c>
      <c r="L858" s="6">
        <v>27</v>
      </c>
      <c r="M858" s="7">
        <v>1299</v>
      </c>
      <c r="N858" s="8">
        <v>0.18</v>
      </c>
      <c r="O858" s="9">
        <v>720</v>
      </c>
    </row>
    <row r="859" spans="1:15" ht="18" x14ac:dyDescent="0.35">
      <c r="A859" s="4" t="s">
        <v>966</v>
      </c>
      <c r="B859" s="5">
        <v>45713</v>
      </c>
      <c r="C859" s="6" t="s">
        <v>26</v>
      </c>
      <c r="D859" s="6" t="s">
        <v>53</v>
      </c>
      <c r="E859" s="6" t="s">
        <v>84</v>
      </c>
      <c r="F859" s="6" t="s">
        <v>39</v>
      </c>
      <c r="G859" s="6" t="s">
        <v>20</v>
      </c>
      <c r="H859" s="6" t="s">
        <v>21</v>
      </c>
      <c r="I859" s="6" t="s">
        <v>115</v>
      </c>
      <c r="J859" s="6" t="s">
        <v>23</v>
      </c>
      <c r="K859" s="6" t="s">
        <v>24</v>
      </c>
      <c r="L859" s="6">
        <v>31</v>
      </c>
      <c r="M859" s="7">
        <v>6499</v>
      </c>
      <c r="N859" s="8">
        <v>0.12</v>
      </c>
      <c r="O859" s="9">
        <v>4210</v>
      </c>
    </row>
    <row r="860" spans="1:15" ht="18" x14ac:dyDescent="0.35">
      <c r="A860" s="4" t="s">
        <v>967</v>
      </c>
      <c r="B860" s="5">
        <v>45714</v>
      </c>
      <c r="C860" s="6" t="s">
        <v>48</v>
      </c>
      <c r="D860" s="6" t="s">
        <v>68</v>
      </c>
      <c r="E860" s="6" t="s">
        <v>60</v>
      </c>
      <c r="F860" s="6" t="s">
        <v>39</v>
      </c>
      <c r="G860" s="6" t="s">
        <v>70</v>
      </c>
      <c r="H860" s="6" t="s">
        <v>71</v>
      </c>
      <c r="I860" s="6" t="s">
        <v>88</v>
      </c>
      <c r="J860" s="6" t="s">
        <v>33</v>
      </c>
      <c r="K860" s="6" t="s">
        <v>34</v>
      </c>
      <c r="L860" s="6">
        <v>30</v>
      </c>
      <c r="M860" s="7">
        <v>999</v>
      </c>
      <c r="N860" s="8">
        <v>0.2</v>
      </c>
      <c r="O860" s="9">
        <v>540</v>
      </c>
    </row>
    <row r="861" spans="1:15" ht="18" x14ac:dyDescent="0.35">
      <c r="A861" s="4" t="s">
        <v>968</v>
      </c>
      <c r="B861" s="5">
        <v>45714</v>
      </c>
      <c r="C861" s="6" t="s">
        <v>36</v>
      </c>
      <c r="D861" s="6" t="s">
        <v>37</v>
      </c>
      <c r="E861" s="6" t="s">
        <v>28</v>
      </c>
      <c r="F861" s="6" t="s">
        <v>29</v>
      </c>
      <c r="G861" s="6" t="s">
        <v>30</v>
      </c>
      <c r="H861" s="6" t="s">
        <v>61</v>
      </c>
      <c r="I861" s="6" t="s">
        <v>96</v>
      </c>
      <c r="J861" s="6" t="s">
        <v>57</v>
      </c>
      <c r="K861" s="6" t="s">
        <v>34</v>
      </c>
      <c r="L861" s="6">
        <v>26</v>
      </c>
      <c r="M861" s="7">
        <v>25110</v>
      </c>
      <c r="N861" s="8">
        <v>0.08</v>
      </c>
      <c r="O861" s="9">
        <v>16730</v>
      </c>
    </row>
    <row r="862" spans="1:15" ht="18" x14ac:dyDescent="0.35">
      <c r="A862" s="4" t="s">
        <v>969</v>
      </c>
      <c r="B862" s="5">
        <v>45714</v>
      </c>
      <c r="C862" s="6" t="s">
        <v>82</v>
      </c>
      <c r="D862" s="6" t="s">
        <v>183</v>
      </c>
      <c r="E862" s="6" t="s">
        <v>18</v>
      </c>
      <c r="F862" s="6" t="s">
        <v>19</v>
      </c>
      <c r="G862" s="6" t="s">
        <v>40</v>
      </c>
      <c r="H862" s="6" t="s">
        <v>41</v>
      </c>
      <c r="I862" s="6" t="s">
        <v>156</v>
      </c>
      <c r="J862" s="6" t="s">
        <v>57</v>
      </c>
      <c r="K862" s="6" t="s">
        <v>78</v>
      </c>
      <c r="L862" s="6">
        <v>31</v>
      </c>
      <c r="M862" s="7">
        <v>48500</v>
      </c>
      <c r="N862" s="8">
        <v>0.08</v>
      </c>
      <c r="O862" s="9">
        <v>30200</v>
      </c>
    </row>
    <row r="863" spans="1:15" ht="18" x14ac:dyDescent="0.35">
      <c r="A863" s="4" t="s">
        <v>970</v>
      </c>
      <c r="B863" s="5">
        <v>45714</v>
      </c>
      <c r="C863" s="6" t="s">
        <v>36</v>
      </c>
      <c r="D863" s="6" t="s">
        <v>121</v>
      </c>
      <c r="E863" s="6" t="s">
        <v>38</v>
      </c>
      <c r="F863" s="6" t="s">
        <v>39</v>
      </c>
      <c r="G863" s="6" t="s">
        <v>70</v>
      </c>
      <c r="H863" s="6" t="s">
        <v>71</v>
      </c>
      <c r="I863" s="6" t="s">
        <v>72</v>
      </c>
      <c r="J863" s="6" t="s">
        <v>23</v>
      </c>
      <c r="K863" s="6" t="s">
        <v>24</v>
      </c>
      <c r="L863" s="6">
        <v>35</v>
      </c>
      <c r="M863" s="7">
        <v>3499</v>
      </c>
      <c r="N863" s="8">
        <v>0.18</v>
      </c>
      <c r="O863" s="9">
        <v>2190</v>
      </c>
    </row>
    <row r="864" spans="1:15" ht="18" x14ac:dyDescent="0.35">
      <c r="A864" s="4" t="s">
        <v>971</v>
      </c>
      <c r="B864" s="5">
        <v>45714</v>
      </c>
      <c r="C864" s="6" t="s">
        <v>26</v>
      </c>
      <c r="D864" s="6" t="s">
        <v>74</v>
      </c>
      <c r="E864" s="6" t="s">
        <v>18</v>
      </c>
      <c r="F864" s="6" t="s">
        <v>39</v>
      </c>
      <c r="G864" s="6" t="s">
        <v>70</v>
      </c>
      <c r="H864" s="6" t="s">
        <v>71</v>
      </c>
      <c r="I864" s="6" t="s">
        <v>80</v>
      </c>
      <c r="J864" s="6" t="s">
        <v>33</v>
      </c>
      <c r="K864" s="6" t="s">
        <v>34</v>
      </c>
      <c r="L864" s="6">
        <v>33</v>
      </c>
      <c r="M864" s="7">
        <v>1299</v>
      </c>
      <c r="N864" s="8">
        <v>0.18</v>
      </c>
      <c r="O864" s="9">
        <v>720</v>
      </c>
    </row>
    <row r="865" spans="1:15" ht="18" x14ac:dyDescent="0.35">
      <c r="A865" s="4" t="s">
        <v>972</v>
      </c>
      <c r="B865" s="5">
        <v>45714</v>
      </c>
      <c r="C865" s="6" t="s">
        <v>48</v>
      </c>
      <c r="D865" s="6" t="s">
        <v>93</v>
      </c>
      <c r="E865" s="6" t="s">
        <v>60</v>
      </c>
      <c r="F865" s="6" t="s">
        <v>19</v>
      </c>
      <c r="G865" s="6" t="s">
        <v>30</v>
      </c>
      <c r="H865" s="6" t="s">
        <v>61</v>
      </c>
      <c r="I865" s="6" t="s">
        <v>96</v>
      </c>
      <c r="J865" s="6" t="s">
        <v>57</v>
      </c>
      <c r="K865" s="6" t="s">
        <v>78</v>
      </c>
      <c r="L865" s="6">
        <v>22</v>
      </c>
      <c r="M865" s="7">
        <v>25110</v>
      </c>
      <c r="N865" s="8">
        <v>0.12</v>
      </c>
      <c r="O865" s="9">
        <v>16730</v>
      </c>
    </row>
    <row r="866" spans="1:15" ht="18" x14ac:dyDescent="0.35">
      <c r="A866" s="4" t="s">
        <v>973</v>
      </c>
      <c r="B866" s="5">
        <v>45715</v>
      </c>
      <c r="C866" s="6" t="s">
        <v>48</v>
      </c>
      <c r="D866" s="6" t="s">
        <v>68</v>
      </c>
      <c r="E866" s="6" t="s">
        <v>60</v>
      </c>
      <c r="F866" s="6" t="s">
        <v>39</v>
      </c>
      <c r="G866" s="6" t="s">
        <v>30</v>
      </c>
      <c r="H866" s="6" t="s">
        <v>61</v>
      </c>
      <c r="I866" s="6" t="s">
        <v>186</v>
      </c>
      <c r="J866" s="6" t="s">
        <v>57</v>
      </c>
      <c r="K866" s="6" t="s">
        <v>34</v>
      </c>
      <c r="L866" s="6">
        <v>11</v>
      </c>
      <c r="M866" s="7">
        <v>6999</v>
      </c>
      <c r="N866" s="8">
        <v>0.1</v>
      </c>
      <c r="O866" s="9">
        <v>4320</v>
      </c>
    </row>
    <row r="867" spans="1:15" ht="18" x14ac:dyDescent="0.35">
      <c r="A867" s="4" t="s">
        <v>974</v>
      </c>
      <c r="B867" s="5">
        <v>45715</v>
      </c>
      <c r="C867" s="6" t="s">
        <v>26</v>
      </c>
      <c r="D867" s="6" t="s">
        <v>163</v>
      </c>
      <c r="E867" s="6" t="s">
        <v>50</v>
      </c>
      <c r="F867" s="6" t="s">
        <v>29</v>
      </c>
      <c r="G867" s="6" t="s">
        <v>20</v>
      </c>
      <c r="H867" s="6" t="s">
        <v>21</v>
      </c>
      <c r="I867" s="6" t="s">
        <v>51</v>
      </c>
      <c r="J867" s="6" t="s">
        <v>57</v>
      </c>
      <c r="K867" s="6" t="s">
        <v>24</v>
      </c>
      <c r="L867" s="6">
        <v>22</v>
      </c>
      <c r="M867" s="7">
        <v>5999</v>
      </c>
      <c r="N867" s="8">
        <v>0.1</v>
      </c>
      <c r="O867" s="9">
        <v>3890</v>
      </c>
    </row>
    <row r="868" spans="1:15" ht="18" x14ac:dyDescent="0.35">
      <c r="A868" s="4" t="s">
        <v>975</v>
      </c>
      <c r="B868" s="5">
        <v>45715</v>
      </c>
      <c r="C868" s="6" t="s">
        <v>16</v>
      </c>
      <c r="D868" s="6" t="s">
        <v>126</v>
      </c>
      <c r="E868" s="6" t="s">
        <v>28</v>
      </c>
      <c r="F868" s="6" t="s">
        <v>39</v>
      </c>
      <c r="G868" s="6" t="s">
        <v>20</v>
      </c>
      <c r="H868" s="6" t="s">
        <v>45</v>
      </c>
      <c r="I868" s="6" t="s">
        <v>196</v>
      </c>
      <c r="J868" s="6" t="s">
        <v>57</v>
      </c>
      <c r="K868" s="6" t="s">
        <v>24</v>
      </c>
      <c r="L868" s="6">
        <v>7</v>
      </c>
      <c r="M868" s="7">
        <v>2499</v>
      </c>
      <c r="N868" s="8">
        <v>0.08</v>
      </c>
      <c r="O868" s="9">
        <v>1510</v>
      </c>
    </row>
    <row r="869" spans="1:15" ht="18" x14ac:dyDescent="0.35">
      <c r="A869" s="4" t="s">
        <v>976</v>
      </c>
      <c r="B869" s="5">
        <v>45715</v>
      </c>
      <c r="C869" s="6" t="s">
        <v>16</v>
      </c>
      <c r="D869" s="6" t="s">
        <v>111</v>
      </c>
      <c r="E869" s="6" t="s">
        <v>69</v>
      </c>
      <c r="F869" s="6" t="s">
        <v>29</v>
      </c>
      <c r="G869" s="6" t="s">
        <v>54</v>
      </c>
      <c r="H869" s="6" t="s">
        <v>55</v>
      </c>
      <c r="I869" s="6" t="s">
        <v>108</v>
      </c>
      <c r="J869" s="6" t="s">
        <v>57</v>
      </c>
      <c r="K869" s="6" t="s">
        <v>34</v>
      </c>
      <c r="L869" s="6">
        <v>17</v>
      </c>
      <c r="M869" s="7">
        <v>5890</v>
      </c>
      <c r="N869" s="8">
        <v>0.15</v>
      </c>
      <c r="O869" s="9">
        <v>3980</v>
      </c>
    </row>
    <row r="870" spans="1:15" ht="18" x14ac:dyDescent="0.35">
      <c r="A870" s="4" t="s">
        <v>977</v>
      </c>
      <c r="B870" s="5">
        <v>45716</v>
      </c>
      <c r="C870" s="6" t="s">
        <v>36</v>
      </c>
      <c r="D870" s="6" t="s">
        <v>44</v>
      </c>
      <c r="E870" s="6" t="s">
        <v>38</v>
      </c>
      <c r="F870" s="6" t="s">
        <v>19</v>
      </c>
      <c r="G870" s="6" t="s">
        <v>40</v>
      </c>
      <c r="H870" s="6" t="s">
        <v>64</v>
      </c>
      <c r="I870" s="6" t="s">
        <v>65</v>
      </c>
      <c r="J870" s="6" t="s">
        <v>23</v>
      </c>
      <c r="K870" s="6" t="s">
        <v>24</v>
      </c>
      <c r="L870" s="6">
        <v>8</v>
      </c>
      <c r="M870" s="7">
        <v>1930</v>
      </c>
      <c r="N870" s="8">
        <v>0.08</v>
      </c>
      <c r="O870" s="9">
        <v>1120</v>
      </c>
    </row>
    <row r="871" spans="1:15" ht="18" x14ac:dyDescent="0.35">
      <c r="A871" s="4" t="s">
        <v>978</v>
      </c>
      <c r="B871" s="5">
        <v>45717</v>
      </c>
      <c r="C871" s="6" t="s">
        <v>82</v>
      </c>
      <c r="D871" s="6" t="s">
        <v>183</v>
      </c>
      <c r="E871" s="6" t="s">
        <v>38</v>
      </c>
      <c r="F871" s="6" t="s">
        <v>29</v>
      </c>
      <c r="G871" s="6" t="s">
        <v>20</v>
      </c>
      <c r="H871" s="6" t="s">
        <v>45</v>
      </c>
      <c r="I871" s="6" t="s">
        <v>196</v>
      </c>
      <c r="J871" s="6" t="s">
        <v>33</v>
      </c>
      <c r="K871" s="6" t="s">
        <v>24</v>
      </c>
      <c r="L871" s="6">
        <v>27</v>
      </c>
      <c r="M871" s="7">
        <v>2499</v>
      </c>
      <c r="N871" s="8">
        <v>0.12</v>
      </c>
      <c r="O871" s="9">
        <v>1510</v>
      </c>
    </row>
    <row r="872" spans="1:15" ht="18" x14ac:dyDescent="0.35">
      <c r="A872" s="4" t="s">
        <v>979</v>
      </c>
      <c r="B872" s="5">
        <v>45717</v>
      </c>
      <c r="C872" s="6" t="s">
        <v>36</v>
      </c>
      <c r="D872" s="6" t="s">
        <v>37</v>
      </c>
      <c r="E872" s="6" t="s">
        <v>60</v>
      </c>
      <c r="F872" s="6" t="s">
        <v>19</v>
      </c>
      <c r="G872" s="6" t="s">
        <v>40</v>
      </c>
      <c r="H872" s="6" t="s">
        <v>76</v>
      </c>
      <c r="I872" s="6" t="s">
        <v>77</v>
      </c>
      <c r="J872" s="6" t="s">
        <v>23</v>
      </c>
      <c r="K872" s="6" t="s">
        <v>34</v>
      </c>
      <c r="L872" s="6">
        <v>11</v>
      </c>
      <c r="M872" s="7">
        <v>52990</v>
      </c>
      <c r="N872" s="8">
        <v>0.12</v>
      </c>
      <c r="O872" s="9">
        <v>39500</v>
      </c>
    </row>
    <row r="873" spans="1:15" ht="18" x14ac:dyDescent="0.35">
      <c r="A873" s="4" t="s">
        <v>980</v>
      </c>
      <c r="B873" s="5">
        <v>45717</v>
      </c>
      <c r="C873" s="6" t="s">
        <v>48</v>
      </c>
      <c r="D873" s="6" t="s">
        <v>49</v>
      </c>
      <c r="E873" s="6" t="s">
        <v>50</v>
      </c>
      <c r="F873" s="6" t="s">
        <v>29</v>
      </c>
      <c r="G873" s="6" t="s">
        <v>30</v>
      </c>
      <c r="H873" s="6" t="s">
        <v>61</v>
      </c>
      <c r="I873" s="6" t="s">
        <v>62</v>
      </c>
      <c r="J873" s="6" t="s">
        <v>33</v>
      </c>
      <c r="K873" s="6" t="s">
        <v>66</v>
      </c>
      <c r="L873" s="6">
        <v>22</v>
      </c>
      <c r="M873" s="7">
        <v>12490</v>
      </c>
      <c r="N873" s="8">
        <v>0.12</v>
      </c>
      <c r="O873" s="9">
        <v>7900</v>
      </c>
    </row>
    <row r="874" spans="1:15" ht="18" x14ac:dyDescent="0.35">
      <c r="A874" s="4" t="s">
        <v>981</v>
      </c>
      <c r="B874" s="5">
        <v>45718</v>
      </c>
      <c r="C874" s="6" t="s">
        <v>48</v>
      </c>
      <c r="D874" s="6" t="s">
        <v>136</v>
      </c>
      <c r="E874" s="6" t="s">
        <v>69</v>
      </c>
      <c r="F874" s="6" t="s">
        <v>19</v>
      </c>
      <c r="G874" s="6" t="s">
        <v>54</v>
      </c>
      <c r="H874" s="6" t="s">
        <v>55</v>
      </c>
      <c r="I874" s="6" t="s">
        <v>148</v>
      </c>
      <c r="J874" s="6" t="s">
        <v>57</v>
      </c>
      <c r="K874" s="6" t="s">
        <v>34</v>
      </c>
      <c r="L874" s="6">
        <v>12</v>
      </c>
      <c r="M874" s="7">
        <v>4680</v>
      </c>
      <c r="N874" s="8">
        <v>0.05</v>
      </c>
      <c r="O874" s="9">
        <v>3250</v>
      </c>
    </row>
    <row r="875" spans="1:15" ht="18" x14ac:dyDescent="0.35">
      <c r="A875" s="4" t="s">
        <v>982</v>
      </c>
      <c r="B875" s="5">
        <v>45719</v>
      </c>
      <c r="C875" s="6" t="s">
        <v>26</v>
      </c>
      <c r="D875" s="6" t="s">
        <v>74</v>
      </c>
      <c r="E875" s="6" t="s">
        <v>75</v>
      </c>
      <c r="F875" s="6" t="s">
        <v>39</v>
      </c>
      <c r="G875" s="6" t="s">
        <v>54</v>
      </c>
      <c r="H875" s="6" t="s">
        <v>129</v>
      </c>
      <c r="I875" s="6" t="s">
        <v>145</v>
      </c>
      <c r="J875" s="6" t="s">
        <v>33</v>
      </c>
      <c r="K875" s="6" t="s">
        <v>78</v>
      </c>
      <c r="L875" s="6">
        <v>27</v>
      </c>
      <c r="M875" s="7">
        <v>31490</v>
      </c>
      <c r="N875" s="8">
        <v>0.05</v>
      </c>
      <c r="O875" s="9">
        <v>21300</v>
      </c>
    </row>
    <row r="876" spans="1:15" ht="18" x14ac:dyDescent="0.35">
      <c r="A876" s="4" t="s">
        <v>983</v>
      </c>
      <c r="B876" s="5">
        <v>45719</v>
      </c>
      <c r="C876" s="6" t="s">
        <v>26</v>
      </c>
      <c r="D876" s="6" t="s">
        <v>27</v>
      </c>
      <c r="E876" s="6" t="s">
        <v>84</v>
      </c>
      <c r="F876" s="6" t="s">
        <v>19</v>
      </c>
      <c r="G876" s="6" t="s">
        <v>54</v>
      </c>
      <c r="H876" s="6" t="s">
        <v>90</v>
      </c>
      <c r="I876" s="6" t="s">
        <v>134</v>
      </c>
      <c r="J876" s="6" t="s">
        <v>33</v>
      </c>
      <c r="K876" s="6" t="s">
        <v>24</v>
      </c>
      <c r="L876" s="6">
        <v>18</v>
      </c>
      <c r="M876" s="7">
        <v>32800</v>
      </c>
      <c r="N876" s="8">
        <v>0.15</v>
      </c>
      <c r="O876" s="9">
        <v>23100</v>
      </c>
    </row>
    <row r="877" spans="1:15" ht="18" x14ac:dyDescent="0.35">
      <c r="A877" s="4" t="s">
        <v>984</v>
      </c>
      <c r="B877" s="5">
        <v>45719</v>
      </c>
      <c r="C877" s="6" t="s">
        <v>82</v>
      </c>
      <c r="D877" s="6" t="s">
        <v>83</v>
      </c>
      <c r="E877" s="6" t="s">
        <v>69</v>
      </c>
      <c r="F877" s="6" t="s">
        <v>19</v>
      </c>
      <c r="G877" s="6" t="s">
        <v>70</v>
      </c>
      <c r="H877" s="6" t="s">
        <v>71</v>
      </c>
      <c r="I877" s="6" t="s">
        <v>72</v>
      </c>
      <c r="J877" s="6" t="s">
        <v>23</v>
      </c>
      <c r="K877" s="6" t="s">
        <v>24</v>
      </c>
      <c r="L877" s="6">
        <v>7</v>
      </c>
      <c r="M877" s="7">
        <v>3499</v>
      </c>
      <c r="N877" s="8">
        <v>0.2</v>
      </c>
      <c r="O877" s="9">
        <v>2190</v>
      </c>
    </row>
    <row r="878" spans="1:15" ht="18" x14ac:dyDescent="0.35">
      <c r="A878" s="4" t="s">
        <v>985</v>
      </c>
      <c r="B878" s="5">
        <v>45720</v>
      </c>
      <c r="C878" s="6" t="s">
        <v>48</v>
      </c>
      <c r="D878" s="6" t="s">
        <v>68</v>
      </c>
      <c r="E878" s="6" t="s">
        <v>84</v>
      </c>
      <c r="F878" s="6" t="s">
        <v>29</v>
      </c>
      <c r="G878" s="6" t="s">
        <v>40</v>
      </c>
      <c r="H878" s="6" t="s">
        <v>64</v>
      </c>
      <c r="I878" s="6" t="s">
        <v>153</v>
      </c>
      <c r="J878" s="6" t="s">
        <v>33</v>
      </c>
      <c r="K878" s="6" t="s">
        <v>24</v>
      </c>
      <c r="L878" s="6">
        <v>30</v>
      </c>
      <c r="M878" s="7">
        <v>4490</v>
      </c>
      <c r="N878" s="8">
        <v>0.15</v>
      </c>
      <c r="O878" s="9">
        <v>2950</v>
      </c>
    </row>
    <row r="879" spans="1:15" ht="18" x14ac:dyDescent="0.35">
      <c r="A879" s="4" t="s">
        <v>986</v>
      </c>
      <c r="B879" s="5">
        <v>45721</v>
      </c>
      <c r="C879" s="6" t="s">
        <v>26</v>
      </c>
      <c r="D879" s="6" t="s">
        <v>163</v>
      </c>
      <c r="E879" s="6" t="s">
        <v>84</v>
      </c>
      <c r="F879" s="6" t="s">
        <v>29</v>
      </c>
      <c r="G879" s="6" t="s">
        <v>40</v>
      </c>
      <c r="H879" s="6" t="s">
        <v>64</v>
      </c>
      <c r="I879" s="6" t="s">
        <v>153</v>
      </c>
      <c r="J879" s="6" t="s">
        <v>23</v>
      </c>
      <c r="K879" s="6" t="s">
        <v>24</v>
      </c>
      <c r="L879" s="6">
        <v>36</v>
      </c>
      <c r="M879" s="7">
        <v>4490</v>
      </c>
      <c r="N879" s="8">
        <v>0.18</v>
      </c>
      <c r="O879" s="9">
        <v>2950</v>
      </c>
    </row>
    <row r="880" spans="1:15" ht="18" x14ac:dyDescent="0.35">
      <c r="A880" s="4" t="s">
        <v>987</v>
      </c>
      <c r="B880" s="5">
        <v>45722</v>
      </c>
      <c r="C880" s="6" t="s">
        <v>36</v>
      </c>
      <c r="D880" s="6" t="s">
        <v>121</v>
      </c>
      <c r="E880" s="6" t="s">
        <v>84</v>
      </c>
      <c r="F880" s="6" t="s">
        <v>29</v>
      </c>
      <c r="G880" s="6" t="s">
        <v>40</v>
      </c>
      <c r="H880" s="6" t="s">
        <v>64</v>
      </c>
      <c r="I880" s="6" t="s">
        <v>153</v>
      </c>
      <c r="J880" s="6" t="s">
        <v>33</v>
      </c>
      <c r="K880" s="6" t="s">
        <v>78</v>
      </c>
      <c r="L880" s="6">
        <v>13</v>
      </c>
      <c r="M880" s="7">
        <v>4490</v>
      </c>
      <c r="N880" s="8">
        <v>0.15</v>
      </c>
      <c r="O880" s="9">
        <v>2950</v>
      </c>
    </row>
    <row r="881" spans="1:15" ht="18" x14ac:dyDescent="0.35">
      <c r="A881" s="4" t="s">
        <v>988</v>
      </c>
      <c r="B881" s="5">
        <v>45722</v>
      </c>
      <c r="C881" s="6" t="s">
        <v>36</v>
      </c>
      <c r="D881" s="6" t="s">
        <v>44</v>
      </c>
      <c r="E881" s="6" t="s">
        <v>28</v>
      </c>
      <c r="F881" s="6" t="s">
        <v>39</v>
      </c>
      <c r="G881" s="6" t="s">
        <v>54</v>
      </c>
      <c r="H881" s="6" t="s">
        <v>90</v>
      </c>
      <c r="I881" s="6" t="s">
        <v>134</v>
      </c>
      <c r="J881" s="6" t="s">
        <v>23</v>
      </c>
      <c r="K881" s="6" t="s">
        <v>78</v>
      </c>
      <c r="L881" s="6">
        <v>10</v>
      </c>
      <c r="M881" s="7">
        <v>32800</v>
      </c>
      <c r="N881" s="8">
        <v>0.18</v>
      </c>
      <c r="O881" s="9">
        <v>23100</v>
      </c>
    </row>
    <row r="882" spans="1:15" ht="18" x14ac:dyDescent="0.35">
      <c r="A882" s="4" t="s">
        <v>989</v>
      </c>
      <c r="B882" s="5">
        <v>45722</v>
      </c>
      <c r="C882" s="6" t="s">
        <v>26</v>
      </c>
      <c r="D882" s="6" t="s">
        <v>53</v>
      </c>
      <c r="E882" s="6" t="s">
        <v>28</v>
      </c>
      <c r="F882" s="6" t="s">
        <v>19</v>
      </c>
      <c r="G882" s="6" t="s">
        <v>40</v>
      </c>
      <c r="H882" s="6" t="s">
        <v>64</v>
      </c>
      <c r="I882" s="6" t="s">
        <v>159</v>
      </c>
      <c r="J882" s="6" t="s">
        <v>57</v>
      </c>
      <c r="K882" s="6" t="s">
        <v>78</v>
      </c>
      <c r="L882" s="6">
        <v>1</v>
      </c>
      <c r="M882" s="7">
        <v>3299</v>
      </c>
      <c r="N882" s="8">
        <v>0.12</v>
      </c>
      <c r="O882" s="9">
        <v>2050</v>
      </c>
    </row>
    <row r="883" spans="1:15" ht="18" x14ac:dyDescent="0.35">
      <c r="A883" s="4" t="s">
        <v>990</v>
      </c>
      <c r="B883" s="5">
        <v>45722</v>
      </c>
      <c r="C883" s="6" t="s">
        <v>82</v>
      </c>
      <c r="D883" s="6" t="s">
        <v>87</v>
      </c>
      <c r="E883" s="6" t="s">
        <v>38</v>
      </c>
      <c r="F883" s="6" t="s">
        <v>39</v>
      </c>
      <c r="G883" s="6" t="s">
        <v>40</v>
      </c>
      <c r="H883" s="6" t="s">
        <v>41</v>
      </c>
      <c r="I883" s="6" t="s">
        <v>119</v>
      </c>
      <c r="J883" s="6" t="s">
        <v>33</v>
      </c>
      <c r="K883" s="6" t="s">
        <v>24</v>
      </c>
      <c r="L883" s="6">
        <v>5</v>
      </c>
      <c r="M883" s="7">
        <v>48990</v>
      </c>
      <c r="N883" s="8">
        <v>0.05</v>
      </c>
      <c r="O883" s="9">
        <v>30100</v>
      </c>
    </row>
    <row r="884" spans="1:15" ht="18" x14ac:dyDescent="0.35">
      <c r="A884" s="4" t="s">
        <v>991</v>
      </c>
      <c r="B884" s="5">
        <v>45722</v>
      </c>
      <c r="C884" s="6" t="s">
        <v>36</v>
      </c>
      <c r="D884" s="6" t="s">
        <v>44</v>
      </c>
      <c r="E884" s="6" t="s">
        <v>84</v>
      </c>
      <c r="F884" s="6" t="s">
        <v>39</v>
      </c>
      <c r="G884" s="6" t="s">
        <v>30</v>
      </c>
      <c r="H884" s="6" t="s">
        <v>31</v>
      </c>
      <c r="I884" s="6" t="s">
        <v>85</v>
      </c>
      <c r="J884" s="6" t="s">
        <v>57</v>
      </c>
      <c r="K884" s="6" t="s">
        <v>34</v>
      </c>
      <c r="L884" s="6">
        <v>2</v>
      </c>
      <c r="M884" s="7">
        <v>43500</v>
      </c>
      <c r="N884" s="8">
        <v>0.15</v>
      </c>
      <c r="O884" s="9">
        <v>29520</v>
      </c>
    </row>
    <row r="885" spans="1:15" ht="18" x14ac:dyDescent="0.35">
      <c r="A885" s="4" t="s">
        <v>992</v>
      </c>
      <c r="B885" s="5">
        <v>45723</v>
      </c>
      <c r="C885" s="6" t="s">
        <v>36</v>
      </c>
      <c r="D885" s="6" t="s">
        <v>59</v>
      </c>
      <c r="E885" s="6" t="s">
        <v>105</v>
      </c>
      <c r="F885" s="6" t="s">
        <v>19</v>
      </c>
      <c r="G885" s="6" t="s">
        <v>20</v>
      </c>
      <c r="H885" s="6" t="s">
        <v>45</v>
      </c>
      <c r="I885" s="6" t="s">
        <v>46</v>
      </c>
      <c r="J885" s="6" t="s">
        <v>33</v>
      </c>
      <c r="K885" s="6" t="s">
        <v>24</v>
      </c>
      <c r="L885" s="6">
        <v>3</v>
      </c>
      <c r="M885" s="7">
        <v>1899</v>
      </c>
      <c r="N885" s="8">
        <v>0.05</v>
      </c>
      <c r="O885" s="9">
        <v>1080</v>
      </c>
    </row>
    <row r="886" spans="1:15" ht="18" x14ac:dyDescent="0.35">
      <c r="A886" s="4" t="s">
        <v>993</v>
      </c>
      <c r="B886" s="5">
        <v>45723</v>
      </c>
      <c r="C886" s="6" t="s">
        <v>16</v>
      </c>
      <c r="D886" s="6" t="s">
        <v>126</v>
      </c>
      <c r="E886" s="6" t="s">
        <v>28</v>
      </c>
      <c r="F886" s="6" t="s">
        <v>39</v>
      </c>
      <c r="G886" s="6" t="s">
        <v>70</v>
      </c>
      <c r="H886" s="6" t="s">
        <v>71</v>
      </c>
      <c r="I886" s="6" t="s">
        <v>80</v>
      </c>
      <c r="J886" s="6" t="s">
        <v>57</v>
      </c>
      <c r="K886" s="6" t="s">
        <v>66</v>
      </c>
      <c r="L886" s="6">
        <v>5</v>
      </c>
      <c r="M886" s="7">
        <v>1299</v>
      </c>
      <c r="N886" s="8">
        <v>0.12</v>
      </c>
      <c r="O886" s="9">
        <v>720</v>
      </c>
    </row>
    <row r="887" spans="1:15" ht="18" x14ac:dyDescent="0.35">
      <c r="A887" s="4" t="s">
        <v>994</v>
      </c>
      <c r="B887" s="5">
        <v>45723</v>
      </c>
      <c r="C887" s="6" t="s">
        <v>16</v>
      </c>
      <c r="D887" s="6" t="s">
        <v>111</v>
      </c>
      <c r="E887" s="6" t="s">
        <v>84</v>
      </c>
      <c r="F887" s="6" t="s">
        <v>19</v>
      </c>
      <c r="G887" s="6" t="s">
        <v>40</v>
      </c>
      <c r="H887" s="6" t="s">
        <v>64</v>
      </c>
      <c r="I887" s="6" t="s">
        <v>159</v>
      </c>
      <c r="J887" s="6" t="s">
        <v>23</v>
      </c>
      <c r="K887" s="6" t="s">
        <v>24</v>
      </c>
      <c r="L887" s="6">
        <v>2</v>
      </c>
      <c r="M887" s="7">
        <v>3299</v>
      </c>
      <c r="N887" s="8">
        <v>0.2</v>
      </c>
      <c r="O887" s="9">
        <v>2050</v>
      </c>
    </row>
    <row r="888" spans="1:15" ht="18" x14ac:dyDescent="0.35">
      <c r="A888" s="4" t="s">
        <v>995</v>
      </c>
      <c r="B888" s="5">
        <v>45724</v>
      </c>
      <c r="C888" s="6" t="s">
        <v>26</v>
      </c>
      <c r="D888" s="6" t="s">
        <v>53</v>
      </c>
      <c r="E888" s="6" t="s">
        <v>50</v>
      </c>
      <c r="F888" s="6" t="s">
        <v>29</v>
      </c>
      <c r="G888" s="6" t="s">
        <v>70</v>
      </c>
      <c r="H888" s="6" t="s">
        <v>71</v>
      </c>
      <c r="I888" s="6" t="s">
        <v>88</v>
      </c>
      <c r="J888" s="6" t="s">
        <v>33</v>
      </c>
      <c r="K888" s="6" t="s">
        <v>78</v>
      </c>
      <c r="L888" s="6">
        <v>40</v>
      </c>
      <c r="M888" s="7">
        <v>999</v>
      </c>
      <c r="N888" s="8">
        <v>0.1</v>
      </c>
      <c r="O888" s="9">
        <v>540</v>
      </c>
    </row>
    <row r="889" spans="1:15" ht="18" x14ac:dyDescent="0.35">
      <c r="A889" s="4" t="s">
        <v>996</v>
      </c>
      <c r="B889" s="5">
        <v>45724</v>
      </c>
      <c r="C889" s="6" t="s">
        <v>36</v>
      </c>
      <c r="D889" s="6" t="s">
        <v>121</v>
      </c>
      <c r="E889" s="6" t="s">
        <v>69</v>
      </c>
      <c r="F889" s="6" t="s">
        <v>39</v>
      </c>
      <c r="G889" s="6" t="s">
        <v>54</v>
      </c>
      <c r="H889" s="6" t="s">
        <v>55</v>
      </c>
      <c r="I889" s="6" t="s">
        <v>56</v>
      </c>
      <c r="J889" s="6" t="s">
        <v>57</v>
      </c>
      <c r="K889" s="6" t="s">
        <v>34</v>
      </c>
      <c r="L889" s="6">
        <v>16</v>
      </c>
      <c r="M889" s="7">
        <v>7299</v>
      </c>
      <c r="N889" s="8">
        <v>0.2</v>
      </c>
      <c r="O889" s="9">
        <v>5010</v>
      </c>
    </row>
    <row r="890" spans="1:15" ht="18" x14ac:dyDescent="0.35">
      <c r="A890" s="4" t="s">
        <v>997</v>
      </c>
      <c r="B890" s="5">
        <v>45725</v>
      </c>
      <c r="C890" s="6" t="s">
        <v>26</v>
      </c>
      <c r="D890" s="6" t="s">
        <v>27</v>
      </c>
      <c r="E890" s="6" t="s">
        <v>75</v>
      </c>
      <c r="F890" s="6" t="s">
        <v>19</v>
      </c>
      <c r="G890" s="6" t="s">
        <v>40</v>
      </c>
      <c r="H890" s="6" t="s">
        <v>64</v>
      </c>
      <c r="I890" s="6" t="s">
        <v>153</v>
      </c>
      <c r="J890" s="6" t="s">
        <v>33</v>
      </c>
      <c r="K890" s="6" t="s">
        <v>66</v>
      </c>
      <c r="L890" s="6">
        <v>12</v>
      </c>
      <c r="M890" s="7">
        <v>4490</v>
      </c>
      <c r="N890" s="8">
        <v>0.2</v>
      </c>
      <c r="O890" s="9">
        <v>2950</v>
      </c>
    </row>
    <row r="891" spans="1:15" ht="18" x14ac:dyDescent="0.35">
      <c r="A891" s="4" t="s">
        <v>998</v>
      </c>
      <c r="B891" s="5">
        <v>45726</v>
      </c>
      <c r="C891" s="6" t="s">
        <v>36</v>
      </c>
      <c r="D891" s="6" t="s">
        <v>37</v>
      </c>
      <c r="E891" s="6" t="s">
        <v>75</v>
      </c>
      <c r="F891" s="6" t="s">
        <v>39</v>
      </c>
      <c r="G891" s="6" t="s">
        <v>30</v>
      </c>
      <c r="H891" s="6" t="s">
        <v>31</v>
      </c>
      <c r="I891" s="6" t="s">
        <v>32</v>
      </c>
      <c r="J891" s="6" t="s">
        <v>33</v>
      </c>
      <c r="K891" s="6" t="s">
        <v>66</v>
      </c>
      <c r="L891" s="6">
        <v>36</v>
      </c>
      <c r="M891" s="7">
        <v>38990</v>
      </c>
      <c r="N891" s="8">
        <v>0.1</v>
      </c>
      <c r="O891" s="9">
        <v>25400</v>
      </c>
    </row>
    <row r="892" spans="1:15" ht="18" x14ac:dyDescent="0.35">
      <c r="A892" s="4" t="s">
        <v>999</v>
      </c>
      <c r="B892" s="5">
        <v>45726</v>
      </c>
      <c r="C892" s="6" t="s">
        <v>26</v>
      </c>
      <c r="D892" s="6" t="s">
        <v>163</v>
      </c>
      <c r="E892" s="6" t="s">
        <v>50</v>
      </c>
      <c r="F892" s="6" t="s">
        <v>39</v>
      </c>
      <c r="G892" s="6" t="s">
        <v>40</v>
      </c>
      <c r="H892" s="6" t="s">
        <v>41</v>
      </c>
      <c r="I892" s="6" t="s">
        <v>42</v>
      </c>
      <c r="J892" s="6" t="s">
        <v>33</v>
      </c>
      <c r="K892" s="6" t="s">
        <v>66</v>
      </c>
      <c r="L892" s="6">
        <v>29</v>
      </c>
      <c r="M892" s="7">
        <v>55230</v>
      </c>
      <c r="N892" s="8">
        <v>0.12</v>
      </c>
      <c r="O892" s="9">
        <v>33800</v>
      </c>
    </row>
    <row r="893" spans="1:15" ht="18" x14ac:dyDescent="0.35">
      <c r="A893" s="4" t="s">
        <v>1000</v>
      </c>
      <c r="B893" s="5">
        <v>45726</v>
      </c>
      <c r="C893" s="6" t="s">
        <v>16</v>
      </c>
      <c r="D893" s="6" t="s">
        <v>98</v>
      </c>
      <c r="E893" s="6" t="s">
        <v>101</v>
      </c>
      <c r="F893" s="6" t="s">
        <v>39</v>
      </c>
      <c r="G893" s="6" t="s">
        <v>30</v>
      </c>
      <c r="H893" s="6" t="s">
        <v>61</v>
      </c>
      <c r="I893" s="6" t="s">
        <v>62</v>
      </c>
      <c r="J893" s="6" t="s">
        <v>23</v>
      </c>
      <c r="K893" s="6" t="s">
        <v>34</v>
      </c>
      <c r="L893" s="6">
        <v>28</v>
      </c>
      <c r="M893" s="7">
        <v>12490</v>
      </c>
      <c r="N893" s="8">
        <v>0.18</v>
      </c>
      <c r="O893" s="9">
        <v>7900</v>
      </c>
    </row>
    <row r="894" spans="1:15" ht="18" x14ac:dyDescent="0.35">
      <c r="A894" s="4" t="s">
        <v>1001</v>
      </c>
      <c r="B894" s="5">
        <v>45726</v>
      </c>
      <c r="C894" s="6" t="s">
        <v>48</v>
      </c>
      <c r="D894" s="6" t="s">
        <v>136</v>
      </c>
      <c r="E894" s="6" t="s">
        <v>50</v>
      </c>
      <c r="F894" s="6" t="s">
        <v>19</v>
      </c>
      <c r="G894" s="6" t="s">
        <v>40</v>
      </c>
      <c r="H894" s="6" t="s">
        <v>64</v>
      </c>
      <c r="I894" s="6" t="s">
        <v>65</v>
      </c>
      <c r="J894" s="6" t="s">
        <v>33</v>
      </c>
      <c r="K894" s="6" t="s">
        <v>24</v>
      </c>
      <c r="L894" s="6">
        <v>10</v>
      </c>
      <c r="M894" s="7">
        <v>1930</v>
      </c>
      <c r="N894" s="8">
        <v>0.1</v>
      </c>
      <c r="O894" s="9">
        <v>1120</v>
      </c>
    </row>
    <row r="895" spans="1:15" ht="18" x14ac:dyDescent="0.35">
      <c r="A895" s="4" t="s">
        <v>1002</v>
      </c>
      <c r="B895" s="5">
        <v>45727</v>
      </c>
      <c r="C895" s="6" t="s">
        <v>82</v>
      </c>
      <c r="D895" s="6" t="s">
        <v>83</v>
      </c>
      <c r="E895" s="6" t="s">
        <v>69</v>
      </c>
      <c r="F895" s="6" t="s">
        <v>19</v>
      </c>
      <c r="G895" s="6" t="s">
        <v>54</v>
      </c>
      <c r="H895" s="6" t="s">
        <v>129</v>
      </c>
      <c r="I895" s="6" t="s">
        <v>145</v>
      </c>
      <c r="J895" s="6" t="s">
        <v>23</v>
      </c>
      <c r="K895" s="6" t="s">
        <v>34</v>
      </c>
      <c r="L895" s="6">
        <v>8</v>
      </c>
      <c r="M895" s="7">
        <v>31490</v>
      </c>
      <c r="N895" s="8">
        <v>0.18</v>
      </c>
      <c r="O895" s="9">
        <v>21300</v>
      </c>
    </row>
    <row r="896" spans="1:15" ht="18" x14ac:dyDescent="0.35">
      <c r="A896" s="4" t="s">
        <v>1003</v>
      </c>
      <c r="B896" s="5">
        <v>45727</v>
      </c>
      <c r="C896" s="6" t="s">
        <v>36</v>
      </c>
      <c r="D896" s="6" t="s">
        <v>37</v>
      </c>
      <c r="E896" s="6" t="s">
        <v>84</v>
      </c>
      <c r="F896" s="6" t="s">
        <v>39</v>
      </c>
      <c r="G896" s="6" t="s">
        <v>30</v>
      </c>
      <c r="H896" s="6" t="s">
        <v>31</v>
      </c>
      <c r="I896" s="6" t="s">
        <v>85</v>
      </c>
      <c r="J896" s="6" t="s">
        <v>57</v>
      </c>
      <c r="K896" s="6" t="s">
        <v>66</v>
      </c>
      <c r="L896" s="6">
        <v>33</v>
      </c>
      <c r="M896" s="7">
        <v>43500</v>
      </c>
      <c r="N896" s="8">
        <v>0.18</v>
      </c>
      <c r="O896" s="9">
        <v>29520</v>
      </c>
    </row>
    <row r="897" spans="1:15" ht="18" x14ac:dyDescent="0.35">
      <c r="A897" s="4" t="s">
        <v>1004</v>
      </c>
      <c r="B897" s="5">
        <v>45728</v>
      </c>
      <c r="C897" s="6" t="s">
        <v>36</v>
      </c>
      <c r="D897" s="6" t="s">
        <v>44</v>
      </c>
      <c r="E897" s="6" t="s">
        <v>84</v>
      </c>
      <c r="F897" s="6" t="s">
        <v>29</v>
      </c>
      <c r="G897" s="6" t="s">
        <v>30</v>
      </c>
      <c r="H897" s="6" t="s">
        <v>61</v>
      </c>
      <c r="I897" s="6" t="s">
        <v>62</v>
      </c>
      <c r="J897" s="6" t="s">
        <v>57</v>
      </c>
      <c r="K897" s="6" t="s">
        <v>34</v>
      </c>
      <c r="L897" s="6">
        <v>11</v>
      </c>
      <c r="M897" s="7">
        <v>12490</v>
      </c>
      <c r="N897" s="8">
        <v>0.15</v>
      </c>
      <c r="O897" s="9">
        <v>7900</v>
      </c>
    </row>
    <row r="898" spans="1:15" ht="18" x14ac:dyDescent="0.35">
      <c r="A898" s="4" t="s">
        <v>1005</v>
      </c>
      <c r="B898" s="5">
        <v>45728</v>
      </c>
      <c r="C898" s="6" t="s">
        <v>16</v>
      </c>
      <c r="D898" s="6" t="s">
        <v>17</v>
      </c>
      <c r="E898" s="6" t="s">
        <v>28</v>
      </c>
      <c r="F898" s="6" t="s">
        <v>39</v>
      </c>
      <c r="G898" s="6" t="s">
        <v>70</v>
      </c>
      <c r="H898" s="6" t="s">
        <v>71</v>
      </c>
      <c r="I898" s="6" t="s">
        <v>72</v>
      </c>
      <c r="J898" s="6" t="s">
        <v>57</v>
      </c>
      <c r="K898" s="6" t="s">
        <v>24</v>
      </c>
      <c r="L898" s="6">
        <v>39</v>
      </c>
      <c r="M898" s="7">
        <v>3499</v>
      </c>
      <c r="N898" s="8">
        <v>0.1</v>
      </c>
      <c r="O898" s="9">
        <v>2190</v>
      </c>
    </row>
    <row r="899" spans="1:15" ht="18" x14ac:dyDescent="0.35">
      <c r="A899" s="4" t="s">
        <v>1006</v>
      </c>
      <c r="B899" s="5">
        <v>45729</v>
      </c>
      <c r="C899" s="6" t="s">
        <v>16</v>
      </c>
      <c r="D899" s="6" t="s">
        <v>98</v>
      </c>
      <c r="E899" s="6" t="s">
        <v>60</v>
      </c>
      <c r="F899" s="6" t="s">
        <v>39</v>
      </c>
      <c r="G899" s="6" t="s">
        <v>70</v>
      </c>
      <c r="H899" s="6" t="s">
        <v>71</v>
      </c>
      <c r="I899" s="6" t="s">
        <v>72</v>
      </c>
      <c r="J899" s="6" t="s">
        <v>33</v>
      </c>
      <c r="K899" s="6" t="s">
        <v>34</v>
      </c>
      <c r="L899" s="6">
        <v>8</v>
      </c>
      <c r="M899" s="7">
        <v>3499</v>
      </c>
      <c r="N899" s="8">
        <v>0.2</v>
      </c>
      <c r="O899" s="9">
        <v>2190</v>
      </c>
    </row>
    <row r="900" spans="1:15" ht="18" x14ac:dyDescent="0.35">
      <c r="A900" s="4" t="s">
        <v>1007</v>
      </c>
      <c r="B900" s="5">
        <v>45729</v>
      </c>
      <c r="C900" s="6" t="s">
        <v>16</v>
      </c>
      <c r="D900" s="6" t="s">
        <v>17</v>
      </c>
      <c r="E900" s="6" t="s">
        <v>69</v>
      </c>
      <c r="F900" s="6" t="s">
        <v>39</v>
      </c>
      <c r="G900" s="6" t="s">
        <v>20</v>
      </c>
      <c r="H900" s="6" t="s">
        <v>21</v>
      </c>
      <c r="I900" s="6" t="s">
        <v>51</v>
      </c>
      <c r="J900" s="6" t="s">
        <v>57</v>
      </c>
      <c r="K900" s="6" t="s">
        <v>78</v>
      </c>
      <c r="L900" s="6">
        <v>2</v>
      </c>
      <c r="M900" s="7">
        <v>5999</v>
      </c>
      <c r="N900" s="8">
        <v>0.1</v>
      </c>
      <c r="O900" s="9">
        <v>3890</v>
      </c>
    </row>
    <row r="901" spans="1:15" ht="18" x14ac:dyDescent="0.35">
      <c r="A901" s="4" t="s">
        <v>1008</v>
      </c>
      <c r="B901" s="5">
        <v>45729</v>
      </c>
      <c r="C901" s="6" t="s">
        <v>26</v>
      </c>
      <c r="D901" s="6" t="s">
        <v>53</v>
      </c>
      <c r="E901" s="6" t="s">
        <v>84</v>
      </c>
      <c r="F901" s="6" t="s">
        <v>39</v>
      </c>
      <c r="G901" s="6" t="s">
        <v>40</v>
      </c>
      <c r="H901" s="6" t="s">
        <v>64</v>
      </c>
      <c r="I901" s="6" t="s">
        <v>153</v>
      </c>
      <c r="J901" s="6" t="s">
        <v>33</v>
      </c>
      <c r="K901" s="6" t="s">
        <v>24</v>
      </c>
      <c r="L901" s="6">
        <v>3</v>
      </c>
      <c r="M901" s="7">
        <v>4490</v>
      </c>
      <c r="N901" s="8">
        <v>0.2</v>
      </c>
      <c r="O901" s="9">
        <v>2950</v>
      </c>
    </row>
    <row r="902" spans="1:15" ht="18" x14ac:dyDescent="0.35">
      <c r="A902" s="4" t="s">
        <v>1009</v>
      </c>
      <c r="B902" s="5">
        <v>45730</v>
      </c>
      <c r="C902" s="6" t="s">
        <v>82</v>
      </c>
      <c r="D902" s="6" t="s">
        <v>100</v>
      </c>
      <c r="E902" s="6" t="s">
        <v>101</v>
      </c>
      <c r="F902" s="6" t="s">
        <v>39</v>
      </c>
      <c r="G902" s="6" t="s">
        <v>20</v>
      </c>
      <c r="H902" s="6" t="s">
        <v>45</v>
      </c>
      <c r="I902" s="6" t="s">
        <v>46</v>
      </c>
      <c r="J902" s="6" t="s">
        <v>23</v>
      </c>
      <c r="K902" s="6" t="s">
        <v>78</v>
      </c>
      <c r="L902" s="6">
        <v>14</v>
      </c>
      <c r="M902" s="7">
        <v>1899</v>
      </c>
      <c r="N902" s="8">
        <v>0.2</v>
      </c>
      <c r="O902" s="9">
        <v>1080</v>
      </c>
    </row>
    <row r="903" spans="1:15" ht="18" x14ac:dyDescent="0.35">
      <c r="A903" s="4" t="s">
        <v>1010</v>
      </c>
      <c r="B903" s="5">
        <v>45731</v>
      </c>
      <c r="C903" s="6" t="s">
        <v>16</v>
      </c>
      <c r="D903" s="6" t="s">
        <v>126</v>
      </c>
      <c r="E903" s="6" t="s">
        <v>28</v>
      </c>
      <c r="F903" s="6" t="s">
        <v>39</v>
      </c>
      <c r="G903" s="6" t="s">
        <v>40</v>
      </c>
      <c r="H903" s="6" t="s">
        <v>64</v>
      </c>
      <c r="I903" s="6" t="s">
        <v>159</v>
      </c>
      <c r="J903" s="6" t="s">
        <v>57</v>
      </c>
      <c r="K903" s="6" t="s">
        <v>78</v>
      </c>
      <c r="L903" s="6">
        <v>13</v>
      </c>
      <c r="M903" s="7">
        <v>3299</v>
      </c>
      <c r="N903" s="8">
        <v>0.18</v>
      </c>
      <c r="O903" s="9">
        <v>2050</v>
      </c>
    </row>
    <row r="904" spans="1:15" ht="18" x14ac:dyDescent="0.35">
      <c r="A904" s="4" t="s">
        <v>1011</v>
      </c>
      <c r="B904" s="5">
        <v>45731</v>
      </c>
      <c r="C904" s="6" t="s">
        <v>48</v>
      </c>
      <c r="D904" s="6" t="s">
        <v>93</v>
      </c>
      <c r="E904" s="6" t="s">
        <v>18</v>
      </c>
      <c r="F904" s="6" t="s">
        <v>19</v>
      </c>
      <c r="G904" s="6" t="s">
        <v>30</v>
      </c>
      <c r="H904" s="6" t="s">
        <v>31</v>
      </c>
      <c r="I904" s="6" t="s">
        <v>106</v>
      </c>
      <c r="J904" s="6" t="s">
        <v>33</v>
      </c>
      <c r="K904" s="6" t="s">
        <v>66</v>
      </c>
      <c r="L904" s="6">
        <v>20</v>
      </c>
      <c r="M904" s="7">
        <v>52990</v>
      </c>
      <c r="N904" s="8">
        <v>0.1</v>
      </c>
      <c r="O904" s="9">
        <v>35100</v>
      </c>
    </row>
    <row r="905" spans="1:15" ht="18" x14ac:dyDescent="0.35">
      <c r="A905" s="4" t="s">
        <v>1012</v>
      </c>
      <c r="B905" s="5">
        <v>45731</v>
      </c>
      <c r="C905" s="6" t="s">
        <v>26</v>
      </c>
      <c r="D905" s="6" t="s">
        <v>163</v>
      </c>
      <c r="E905" s="6" t="s">
        <v>101</v>
      </c>
      <c r="F905" s="6" t="s">
        <v>39</v>
      </c>
      <c r="G905" s="6" t="s">
        <v>30</v>
      </c>
      <c r="H905" s="6" t="s">
        <v>61</v>
      </c>
      <c r="I905" s="6" t="s">
        <v>62</v>
      </c>
      <c r="J905" s="6" t="s">
        <v>33</v>
      </c>
      <c r="K905" s="6" t="s">
        <v>24</v>
      </c>
      <c r="L905" s="6">
        <v>18</v>
      </c>
      <c r="M905" s="7">
        <v>12490</v>
      </c>
      <c r="N905" s="8">
        <v>0.18</v>
      </c>
      <c r="O905" s="9">
        <v>7900</v>
      </c>
    </row>
    <row r="906" spans="1:15" ht="18" x14ac:dyDescent="0.35">
      <c r="A906" s="4" t="s">
        <v>1013</v>
      </c>
      <c r="B906" s="5">
        <v>45731</v>
      </c>
      <c r="C906" s="6" t="s">
        <v>26</v>
      </c>
      <c r="D906" s="6" t="s">
        <v>53</v>
      </c>
      <c r="E906" s="6" t="s">
        <v>28</v>
      </c>
      <c r="F906" s="6" t="s">
        <v>19</v>
      </c>
      <c r="G906" s="6" t="s">
        <v>70</v>
      </c>
      <c r="H906" s="6" t="s">
        <v>71</v>
      </c>
      <c r="I906" s="6" t="s">
        <v>72</v>
      </c>
      <c r="J906" s="6" t="s">
        <v>33</v>
      </c>
      <c r="K906" s="6" t="s">
        <v>78</v>
      </c>
      <c r="L906" s="6">
        <v>33</v>
      </c>
      <c r="M906" s="7">
        <v>3499</v>
      </c>
      <c r="N906" s="8">
        <v>0.12</v>
      </c>
      <c r="O906" s="9">
        <v>2190</v>
      </c>
    </row>
    <row r="907" spans="1:15" ht="18" x14ac:dyDescent="0.35">
      <c r="A907" s="4" t="s">
        <v>1014</v>
      </c>
      <c r="B907" s="5">
        <v>45731</v>
      </c>
      <c r="C907" s="6" t="s">
        <v>26</v>
      </c>
      <c r="D907" s="6" t="s">
        <v>163</v>
      </c>
      <c r="E907" s="6" t="s">
        <v>105</v>
      </c>
      <c r="F907" s="6" t="s">
        <v>39</v>
      </c>
      <c r="G907" s="6" t="s">
        <v>20</v>
      </c>
      <c r="H907" s="6" t="s">
        <v>45</v>
      </c>
      <c r="I907" s="6" t="s">
        <v>46</v>
      </c>
      <c r="J907" s="6" t="s">
        <v>57</v>
      </c>
      <c r="K907" s="6" t="s">
        <v>78</v>
      </c>
      <c r="L907" s="6">
        <v>24</v>
      </c>
      <c r="M907" s="7">
        <v>1899</v>
      </c>
      <c r="N907" s="8">
        <v>0.08</v>
      </c>
      <c r="O907" s="9">
        <v>1080</v>
      </c>
    </row>
    <row r="908" spans="1:15" ht="18" x14ac:dyDescent="0.35">
      <c r="A908" s="4" t="s">
        <v>1015</v>
      </c>
      <c r="B908" s="5">
        <v>45732</v>
      </c>
      <c r="C908" s="6" t="s">
        <v>16</v>
      </c>
      <c r="D908" s="6" t="s">
        <v>126</v>
      </c>
      <c r="E908" s="6" t="s">
        <v>84</v>
      </c>
      <c r="F908" s="6" t="s">
        <v>19</v>
      </c>
      <c r="G908" s="6" t="s">
        <v>70</v>
      </c>
      <c r="H908" s="6" t="s">
        <v>71</v>
      </c>
      <c r="I908" s="6" t="s">
        <v>72</v>
      </c>
      <c r="J908" s="6" t="s">
        <v>33</v>
      </c>
      <c r="K908" s="6" t="s">
        <v>78</v>
      </c>
      <c r="L908" s="6">
        <v>6</v>
      </c>
      <c r="M908" s="7">
        <v>3499</v>
      </c>
      <c r="N908" s="8">
        <v>0.18</v>
      </c>
      <c r="O908" s="9">
        <v>2190</v>
      </c>
    </row>
    <row r="909" spans="1:15" ht="18" x14ac:dyDescent="0.35">
      <c r="A909" s="4" t="s">
        <v>1016</v>
      </c>
      <c r="B909" s="5">
        <v>45733</v>
      </c>
      <c r="C909" s="6" t="s">
        <v>36</v>
      </c>
      <c r="D909" s="6" t="s">
        <v>121</v>
      </c>
      <c r="E909" s="6" t="s">
        <v>18</v>
      </c>
      <c r="F909" s="6" t="s">
        <v>19</v>
      </c>
      <c r="G909" s="6" t="s">
        <v>70</v>
      </c>
      <c r="H909" s="6" t="s">
        <v>71</v>
      </c>
      <c r="I909" s="6" t="s">
        <v>80</v>
      </c>
      <c r="J909" s="6" t="s">
        <v>57</v>
      </c>
      <c r="K909" s="6" t="s">
        <v>78</v>
      </c>
      <c r="L909" s="6">
        <v>7</v>
      </c>
      <c r="M909" s="7">
        <v>1299</v>
      </c>
      <c r="N909" s="8">
        <v>0.12</v>
      </c>
      <c r="O909" s="9">
        <v>720</v>
      </c>
    </row>
    <row r="910" spans="1:15" ht="18" x14ac:dyDescent="0.35">
      <c r="A910" s="4" t="s">
        <v>1017</v>
      </c>
      <c r="B910" s="5">
        <v>45734</v>
      </c>
      <c r="C910" s="6" t="s">
        <v>16</v>
      </c>
      <c r="D910" s="6" t="s">
        <v>126</v>
      </c>
      <c r="E910" s="6" t="s">
        <v>105</v>
      </c>
      <c r="F910" s="6" t="s">
        <v>29</v>
      </c>
      <c r="G910" s="6" t="s">
        <v>40</v>
      </c>
      <c r="H910" s="6" t="s">
        <v>76</v>
      </c>
      <c r="I910" s="6" t="s">
        <v>113</v>
      </c>
      <c r="J910" s="6" t="s">
        <v>23</v>
      </c>
      <c r="K910" s="6" t="s">
        <v>78</v>
      </c>
      <c r="L910" s="6">
        <v>7</v>
      </c>
      <c r="M910" s="7">
        <v>22999</v>
      </c>
      <c r="N910" s="8">
        <v>0.15</v>
      </c>
      <c r="O910" s="9">
        <v>15100</v>
      </c>
    </row>
    <row r="911" spans="1:15" ht="18" x14ac:dyDescent="0.35">
      <c r="A911" s="4" t="s">
        <v>1018</v>
      </c>
      <c r="B911" s="5">
        <v>45735</v>
      </c>
      <c r="C911" s="6" t="s">
        <v>36</v>
      </c>
      <c r="D911" s="6" t="s">
        <v>121</v>
      </c>
      <c r="E911" s="6" t="s">
        <v>84</v>
      </c>
      <c r="F911" s="6" t="s">
        <v>39</v>
      </c>
      <c r="G911" s="6" t="s">
        <v>70</v>
      </c>
      <c r="H911" s="6" t="s">
        <v>71</v>
      </c>
      <c r="I911" s="6" t="s">
        <v>72</v>
      </c>
      <c r="J911" s="6" t="s">
        <v>23</v>
      </c>
      <c r="K911" s="6" t="s">
        <v>66</v>
      </c>
      <c r="L911" s="6">
        <v>21</v>
      </c>
      <c r="M911" s="7">
        <v>3499</v>
      </c>
      <c r="N911" s="8">
        <v>0.05</v>
      </c>
      <c r="O911" s="9">
        <v>2190</v>
      </c>
    </row>
    <row r="912" spans="1:15" ht="18" x14ac:dyDescent="0.35">
      <c r="A912" s="4" t="s">
        <v>1019</v>
      </c>
      <c r="B912" s="5">
        <v>45735</v>
      </c>
      <c r="C912" s="6" t="s">
        <v>16</v>
      </c>
      <c r="D912" s="6" t="s">
        <v>126</v>
      </c>
      <c r="E912" s="6" t="s">
        <v>101</v>
      </c>
      <c r="F912" s="6" t="s">
        <v>29</v>
      </c>
      <c r="G912" s="6" t="s">
        <v>20</v>
      </c>
      <c r="H912" s="6" t="s">
        <v>21</v>
      </c>
      <c r="I912" s="6" t="s">
        <v>22</v>
      </c>
      <c r="J912" s="6" t="s">
        <v>33</v>
      </c>
      <c r="K912" s="6" t="s">
        <v>24</v>
      </c>
      <c r="L912" s="6">
        <v>27</v>
      </c>
      <c r="M912" s="7">
        <v>4499</v>
      </c>
      <c r="N912" s="8">
        <v>0.2</v>
      </c>
      <c r="O912" s="9">
        <v>2910</v>
      </c>
    </row>
    <row r="913" spans="1:15" ht="18" x14ac:dyDescent="0.35">
      <c r="A913" s="4" t="s">
        <v>1020</v>
      </c>
      <c r="B913" s="5">
        <v>45735</v>
      </c>
      <c r="C913" s="6" t="s">
        <v>82</v>
      </c>
      <c r="D913" s="6" t="s">
        <v>100</v>
      </c>
      <c r="E913" s="6" t="s">
        <v>105</v>
      </c>
      <c r="F913" s="6" t="s">
        <v>29</v>
      </c>
      <c r="G913" s="6" t="s">
        <v>54</v>
      </c>
      <c r="H913" s="6" t="s">
        <v>90</v>
      </c>
      <c r="I913" s="6" t="s">
        <v>134</v>
      </c>
      <c r="J913" s="6" t="s">
        <v>57</v>
      </c>
      <c r="K913" s="6" t="s">
        <v>24</v>
      </c>
      <c r="L913" s="6">
        <v>38</v>
      </c>
      <c r="M913" s="7">
        <v>32800</v>
      </c>
      <c r="N913" s="8">
        <v>0.18</v>
      </c>
      <c r="O913" s="9">
        <v>23100</v>
      </c>
    </row>
    <row r="914" spans="1:15" ht="18" x14ac:dyDescent="0.35">
      <c r="A914" s="4" t="s">
        <v>1021</v>
      </c>
      <c r="B914" s="5">
        <v>45735</v>
      </c>
      <c r="C914" s="6" t="s">
        <v>36</v>
      </c>
      <c r="D914" s="6" t="s">
        <v>44</v>
      </c>
      <c r="E914" s="6" t="s">
        <v>75</v>
      </c>
      <c r="F914" s="6" t="s">
        <v>19</v>
      </c>
      <c r="G914" s="6" t="s">
        <v>40</v>
      </c>
      <c r="H914" s="6" t="s">
        <v>64</v>
      </c>
      <c r="I914" s="6" t="s">
        <v>159</v>
      </c>
      <c r="J914" s="6" t="s">
        <v>23</v>
      </c>
      <c r="K914" s="6" t="s">
        <v>24</v>
      </c>
      <c r="L914" s="6">
        <v>26</v>
      </c>
      <c r="M914" s="7">
        <v>3299</v>
      </c>
      <c r="N914" s="8">
        <v>0.08</v>
      </c>
      <c r="O914" s="9">
        <v>2050</v>
      </c>
    </row>
    <row r="915" spans="1:15" ht="18" x14ac:dyDescent="0.35">
      <c r="A915" s="4" t="s">
        <v>1022</v>
      </c>
      <c r="B915" s="5">
        <v>45736</v>
      </c>
      <c r="C915" s="6" t="s">
        <v>26</v>
      </c>
      <c r="D915" s="6" t="s">
        <v>74</v>
      </c>
      <c r="E915" s="6" t="s">
        <v>60</v>
      </c>
      <c r="F915" s="6" t="s">
        <v>19</v>
      </c>
      <c r="G915" s="6" t="s">
        <v>40</v>
      </c>
      <c r="H915" s="6" t="s">
        <v>76</v>
      </c>
      <c r="I915" s="6" t="s">
        <v>113</v>
      </c>
      <c r="J915" s="6" t="s">
        <v>33</v>
      </c>
      <c r="K915" s="6" t="s">
        <v>24</v>
      </c>
      <c r="L915" s="6">
        <v>39</v>
      </c>
      <c r="M915" s="7">
        <v>22999</v>
      </c>
      <c r="N915" s="8">
        <v>0.15</v>
      </c>
      <c r="O915" s="9">
        <v>15100</v>
      </c>
    </row>
    <row r="916" spans="1:15" ht="18" x14ac:dyDescent="0.35">
      <c r="A916" s="4" t="s">
        <v>1023</v>
      </c>
      <c r="B916" s="5">
        <v>45736</v>
      </c>
      <c r="C916" s="6" t="s">
        <v>48</v>
      </c>
      <c r="D916" s="6" t="s">
        <v>93</v>
      </c>
      <c r="E916" s="6" t="s">
        <v>18</v>
      </c>
      <c r="F916" s="6" t="s">
        <v>39</v>
      </c>
      <c r="G916" s="6" t="s">
        <v>20</v>
      </c>
      <c r="H916" s="6" t="s">
        <v>45</v>
      </c>
      <c r="I916" s="6" t="s">
        <v>46</v>
      </c>
      <c r="J916" s="6" t="s">
        <v>23</v>
      </c>
      <c r="K916" s="6" t="s">
        <v>66</v>
      </c>
      <c r="L916" s="6">
        <v>40</v>
      </c>
      <c r="M916" s="7">
        <v>1899</v>
      </c>
      <c r="N916" s="8">
        <v>0.12</v>
      </c>
      <c r="O916" s="9">
        <v>1080</v>
      </c>
    </row>
    <row r="917" spans="1:15" ht="18" x14ac:dyDescent="0.35">
      <c r="A917" s="4" t="s">
        <v>1024</v>
      </c>
      <c r="B917" s="5">
        <v>45737</v>
      </c>
      <c r="C917" s="6" t="s">
        <v>48</v>
      </c>
      <c r="D917" s="6" t="s">
        <v>136</v>
      </c>
      <c r="E917" s="6" t="s">
        <v>38</v>
      </c>
      <c r="F917" s="6" t="s">
        <v>19</v>
      </c>
      <c r="G917" s="6" t="s">
        <v>30</v>
      </c>
      <c r="H917" s="6" t="s">
        <v>31</v>
      </c>
      <c r="I917" s="6" t="s">
        <v>32</v>
      </c>
      <c r="J917" s="6" t="s">
        <v>57</v>
      </c>
      <c r="K917" s="6" t="s">
        <v>66</v>
      </c>
      <c r="L917" s="6">
        <v>30</v>
      </c>
      <c r="M917" s="7">
        <v>38990</v>
      </c>
      <c r="N917" s="8">
        <v>0.05</v>
      </c>
      <c r="O917" s="9">
        <v>25400</v>
      </c>
    </row>
    <row r="918" spans="1:15" ht="18" x14ac:dyDescent="0.35">
      <c r="A918" s="4" t="s">
        <v>1025</v>
      </c>
      <c r="B918" s="5">
        <v>45737</v>
      </c>
      <c r="C918" s="6" t="s">
        <v>82</v>
      </c>
      <c r="D918" s="6" t="s">
        <v>183</v>
      </c>
      <c r="E918" s="6" t="s">
        <v>101</v>
      </c>
      <c r="F918" s="6" t="s">
        <v>19</v>
      </c>
      <c r="G918" s="6" t="s">
        <v>70</v>
      </c>
      <c r="H918" s="6" t="s">
        <v>71</v>
      </c>
      <c r="I918" s="6" t="s">
        <v>72</v>
      </c>
      <c r="J918" s="6" t="s">
        <v>23</v>
      </c>
      <c r="K918" s="6" t="s">
        <v>24</v>
      </c>
      <c r="L918" s="6">
        <v>23</v>
      </c>
      <c r="M918" s="7">
        <v>3499</v>
      </c>
      <c r="N918" s="8">
        <v>0.18</v>
      </c>
      <c r="O918" s="9">
        <v>2190</v>
      </c>
    </row>
    <row r="919" spans="1:15" ht="18" x14ac:dyDescent="0.35">
      <c r="A919" s="4" t="s">
        <v>1026</v>
      </c>
      <c r="B919" s="5">
        <v>45737</v>
      </c>
      <c r="C919" s="6" t="s">
        <v>16</v>
      </c>
      <c r="D919" s="6" t="s">
        <v>111</v>
      </c>
      <c r="E919" s="6" t="s">
        <v>38</v>
      </c>
      <c r="F919" s="6" t="s">
        <v>19</v>
      </c>
      <c r="G919" s="6" t="s">
        <v>40</v>
      </c>
      <c r="H919" s="6" t="s">
        <v>64</v>
      </c>
      <c r="I919" s="6" t="s">
        <v>159</v>
      </c>
      <c r="J919" s="6" t="s">
        <v>23</v>
      </c>
      <c r="K919" s="6" t="s">
        <v>24</v>
      </c>
      <c r="L919" s="6">
        <v>37</v>
      </c>
      <c r="M919" s="7">
        <v>3299</v>
      </c>
      <c r="N919" s="8">
        <v>0.18</v>
      </c>
      <c r="O919" s="9">
        <v>2050</v>
      </c>
    </row>
    <row r="920" spans="1:15" ht="18" x14ac:dyDescent="0.35">
      <c r="A920" s="4" t="s">
        <v>1027</v>
      </c>
      <c r="B920" s="5">
        <v>45738</v>
      </c>
      <c r="C920" s="6" t="s">
        <v>48</v>
      </c>
      <c r="D920" s="6" t="s">
        <v>49</v>
      </c>
      <c r="E920" s="6" t="s">
        <v>38</v>
      </c>
      <c r="F920" s="6" t="s">
        <v>29</v>
      </c>
      <c r="G920" s="6" t="s">
        <v>70</v>
      </c>
      <c r="H920" s="6" t="s">
        <v>71</v>
      </c>
      <c r="I920" s="6" t="s">
        <v>80</v>
      </c>
      <c r="J920" s="6" t="s">
        <v>23</v>
      </c>
      <c r="K920" s="6" t="s">
        <v>24</v>
      </c>
      <c r="L920" s="6">
        <v>14</v>
      </c>
      <c r="M920" s="7">
        <v>1299</v>
      </c>
      <c r="N920" s="8">
        <v>0.1</v>
      </c>
      <c r="O920" s="9">
        <v>720</v>
      </c>
    </row>
    <row r="921" spans="1:15" ht="18" x14ac:dyDescent="0.35">
      <c r="A921" s="4" t="s">
        <v>1028</v>
      </c>
      <c r="B921" s="5">
        <v>45738</v>
      </c>
      <c r="C921" s="6" t="s">
        <v>48</v>
      </c>
      <c r="D921" s="6" t="s">
        <v>136</v>
      </c>
      <c r="E921" s="6" t="s">
        <v>101</v>
      </c>
      <c r="F921" s="6" t="s">
        <v>39</v>
      </c>
      <c r="G921" s="6" t="s">
        <v>40</v>
      </c>
      <c r="H921" s="6" t="s">
        <v>76</v>
      </c>
      <c r="I921" s="6" t="s">
        <v>139</v>
      </c>
      <c r="J921" s="6" t="s">
        <v>23</v>
      </c>
      <c r="K921" s="6" t="s">
        <v>24</v>
      </c>
      <c r="L921" s="6">
        <v>5</v>
      </c>
      <c r="M921" s="7">
        <v>25999</v>
      </c>
      <c r="N921" s="8">
        <v>0.1</v>
      </c>
      <c r="O921" s="9">
        <v>17800</v>
      </c>
    </row>
    <row r="922" spans="1:15" ht="18" x14ac:dyDescent="0.35">
      <c r="A922" s="4" t="s">
        <v>1029</v>
      </c>
      <c r="B922" s="5">
        <v>45738</v>
      </c>
      <c r="C922" s="6" t="s">
        <v>26</v>
      </c>
      <c r="D922" s="6" t="s">
        <v>27</v>
      </c>
      <c r="E922" s="6" t="s">
        <v>75</v>
      </c>
      <c r="F922" s="6" t="s">
        <v>39</v>
      </c>
      <c r="G922" s="6" t="s">
        <v>54</v>
      </c>
      <c r="H922" s="6" t="s">
        <v>129</v>
      </c>
      <c r="I922" s="6" t="s">
        <v>130</v>
      </c>
      <c r="J922" s="6" t="s">
        <v>57</v>
      </c>
      <c r="K922" s="6" t="s">
        <v>24</v>
      </c>
      <c r="L922" s="6">
        <v>40</v>
      </c>
      <c r="M922" s="7">
        <v>27890</v>
      </c>
      <c r="N922" s="8">
        <v>0.12</v>
      </c>
      <c r="O922" s="9">
        <v>18800</v>
      </c>
    </row>
    <row r="923" spans="1:15" ht="18" x14ac:dyDescent="0.35">
      <c r="A923" s="4" t="s">
        <v>1030</v>
      </c>
      <c r="B923" s="5">
        <v>45739</v>
      </c>
      <c r="C923" s="6" t="s">
        <v>48</v>
      </c>
      <c r="D923" s="6" t="s">
        <v>49</v>
      </c>
      <c r="E923" s="6" t="s">
        <v>69</v>
      </c>
      <c r="F923" s="6" t="s">
        <v>19</v>
      </c>
      <c r="G923" s="6" t="s">
        <v>54</v>
      </c>
      <c r="H923" s="6" t="s">
        <v>90</v>
      </c>
      <c r="I923" s="6" t="s">
        <v>258</v>
      </c>
      <c r="J923" s="6" t="s">
        <v>33</v>
      </c>
      <c r="K923" s="6" t="s">
        <v>24</v>
      </c>
      <c r="L923" s="6">
        <v>32</v>
      </c>
      <c r="M923" s="7">
        <v>29010</v>
      </c>
      <c r="N923" s="8">
        <v>0.12</v>
      </c>
      <c r="O923" s="9">
        <v>19150</v>
      </c>
    </row>
    <row r="924" spans="1:15" ht="18" x14ac:dyDescent="0.35">
      <c r="A924" s="4" t="s">
        <v>1031</v>
      </c>
      <c r="B924" s="5">
        <v>45740</v>
      </c>
      <c r="C924" s="6" t="s">
        <v>48</v>
      </c>
      <c r="D924" s="6" t="s">
        <v>136</v>
      </c>
      <c r="E924" s="6" t="s">
        <v>101</v>
      </c>
      <c r="F924" s="6" t="s">
        <v>39</v>
      </c>
      <c r="G924" s="6" t="s">
        <v>20</v>
      </c>
      <c r="H924" s="6" t="s">
        <v>21</v>
      </c>
      <c r="I924" s="6" t="s">
        <v>51</v>
      </c>
      <c r="J924" s="6" t="s">
        <v>33</v>
      </c>
      <c r="K924" s="6" t="s">
        <v>78</v>
      </c>
      <c r="L924" s="6">
        <v>38</v>
      </c>
      <c r="M924" s="7">
        <v>5999</v>
      </c>
      <c r="N924" s="8">
        <v>0.18</v>
      </c>
      <c r="O924" s="9">
        <v>3890</v>
      </c>
    </row>
    <row r="925" spans="1:15" ht="18" x14ac:dyDescent="0.35">
      <c r="A925" s="4" t="s">
        <v>1032</v>
      </c>
      <c r="B925" s="5">
        <v>45740</v>
      </c>
      <c r="C925" s="6" t="s">
        <v>82</v>
      </c>
      <c r="D925" s="6" t="s">
        <v>183</v>
      </c>
      <c r="E925" s="6" t="s">
        <v>18</v>
      </c>
      <c r="F925" s="6" t="s">
        <v>19</v>
      </c>
      <c r="G925" s="6" t="s">
        <v>40</v>
      </c>
      <c r="H925" s="6" t="s">
        <v>41</v>
      </c>
      <c r="I925" s="6" t="s">
        <v>42</v>
      </c>
      <c r="J925" s="6" t="s">
        <v>57</v>
      </c>
      <c r="K925" s="6" t="s">
        <v>66</v>
      </c>
      <c r="L925" s="6">
        <v>22</v>
      </c>
      <c r="M925" s="7">
        <v>55230</v>
      </c>
      <c r="N925" s="8">
        <v>0.05</v>
      </c>
      <c r="O925" s="9">
        <v>33800</v>
      </c>
    </row>
    <row r="926" spans="1:15" ht="18" x14ac:dyDescent="0.35">
      <c r="A926" s="4" t="s">
        <v>1033</v>
      </c>
      <c r="B926" s="5">
        <v>45740</v>
      </c>
      <c r="C926" s="6" t="s">
        <v>36</v>
      </c>
      <c r="D926" s="6" t="s">
        <v>121</v>
      </c>
      <c r="E926" s="6" t="s">
        <v>18</v>
      </c>
      <c r="F926" s="6" t="s">
        <v>19</v>
      </c>
      <c r="G926" s="6" t="s">
        <v>20</v>
      </c>
      <c r="H926" s="6" t="s">
        <v>45</v>
      </c>
      <c r="I926" s="6" t="s">
        <v>196</v>
      </c>
      <c r="J926" s="6" t="s">
        <v>57</v>
      </c>
      <c r="K926" s="6" t="s">
        <v>24</v>
      </c>
      <c r="L926" s="6">
        <v>13</v>
      </c>
      <c r="M926" s="7">
        <v>2499</v>
      </c>
      <c r="N926" s="8">
        <v>0.18</v>
      </c>
      <c r="O926" s="9">
        <v>1510</v>
      </c>
    </row>
    <row r="927" spans="1:15" ht="18" x14ac:dyDescent="0.35">
      <c r="A927" s="4" t="s">
        <v>1034</v>
      </c>
      <c r="B927" s="5">
        <v>45740</v>
      </c>
      <c r="C927" s="6" t="s">
        <v>36</v>
      </c>
      <c r="D927" s="6" t="s">
        <v>121</v>
      </c>
      <c r="E927" s="6" t="s">
        <v>105</v>
      </c>
      <c r="F927" s="6" t="s">
        <v>39</v>
      </c>
      <c r="G927" s="6" t="s">
        <v>54</v>
      </c>
      <c r="H927" s="6" t="s">
        <v>55</v>
      </c>
      <c r="I927" s="6" t="s">
        <v>108</v>
      </c>
      <c r="J927" s="6" t="s">
        <v>57</v>
      </c>
      <c r="K927" s="6" t="s">
        <v>66</v>
      </c>
      <c r="L927" s="6">
        <v>15</v>
      </c>
      <c r="M927" s="7">
        <v>5890</v>
      </c>
      <c r="N927" s="8">
        <v>0.1</v>
      </c>
      <c r="O927" s="9">
        <v>3980</v>
      </c>
    </row>
    <row r="928" spans="1:15" ht="18" x14ac:dyDescent="0.35">
      <c r="A928" s="4" t="s">
        <v>1035</v>
      </c>
      <c r="B928" s="5">
        <v>45740</v>
      </c>
      <c r="C928" s="6" t="s">
        <v>16</v>
      </c>
      <c r="D928" s="6" t="s">
        <v>111</v>
      </c>
      <c r="E928" s="6" t="s">
        <v>105</v>
      </c>
      <c r="F928" s="6" t="s">
        <v>29</v>
      </c>
      <c r="G928" s="6" t="s">
        <v>30</v>
      </c>
      <c r="H928" s="6" t="s">
        <v>31</v>
      </c>
      <c r="I928" s="6" t="s">
        <v>85</v>
      </c>
      <c r="J928" s="6" t="s">
        <v>57</v>
      </c>
      <c r="K928" s="6" t="s">
        <v>34</v>
      </c>
      <c r="L928" s="6">
        <v>17</v>
      </c>
      <c r="M928" s="7">
        <v>43500</v>
      </c>
      <c r="N928" s="8">
        <v>0.2</v>
      </c>
      <c r="O928" s="9">
        <v>29520</v>
      </c>
    </row>
    <row r="929" spans="1:15" ht="18" x14ac:dyDescent="0.35">
      <c r="A929" s="4" t="s">
        <v>1036</v>
      </c>
      <c r="B929" s="5">
        <v>45741</v>
      </c>
      <c r="C929" s="6" t="s">
        <v>36</v>
      </c>
      <c r="D929" s="6" t="s">
        <v>44</v>
      </c>
      <c r="E929" s="6" t="s">
        <v>101</v>
      </c>
      <c r="F929" s="6" t="s">
        <v>39</v>
      </c>
      <c r="G929" s="6" t="s">
        <v>20</v>
      </c>
      <c r="H929" s="6" t="s">
        <v>45</v>
      </c>
      <c r="I929" s="6" t="s">
        <v>103</v>
      </c>
      <c r="J929" s="6" t="s">
        <v>23</v>
      </c>
      <c r="K929" s="6" t="s">
        <v>34</v>
      </c>
      <c r="L929" s="6">
        <v>27</v>
      </c>
      <c r="M929" s="7">
        <v>1599</v>
      </c>
      <c r="N929" s="8">
        <v>0.2</v>
      </c>
      <c r="O929" s="9">
        <v>920</v>
      </c>
    </row>
    <row r="930" spans="1:15" ht="18" x14ac:dyDescent="0.35">
      <c r="A930" s="4" t="s">
        <v>1037</v>
      </c>
      <c r="B930" s="5">
        <v>45741</v>
      </c>
      <c r="C930" s="6" t="s">
        <v>48</v>
      </c>
      <c r="D930" s="6" t="s">
        <v>93</v>
      </c>
      <c r="E930" s="6" t="s">
        <v>101</v>
      </c>
      <c r="F930" s="6" t="s">
        <v>39</v>
      </c>
      <c r="G930" s="6" t="s">
        <v>20</v>
      </c>
      <c r="H930" s="6" t="s">
        <v>45</v>
      </c>
      <c r="I930" s="6" t="s">
        <v>196</v>
      </c>
      <c r="J930" s="6" t="s">
        <v>23</v>
      </c>
      <c r="K930" s="6" t="s">
        <v>78</v>
      </c>
      <c r="L930" s="6">
        <v>34</v>
      </c>
      <c r="M930" s="7">
        <v>2499</v>
      </c>
      <c r="N930" s="8">
        <v>0.1</v>
      </c>
      <c r="O930" s="9">
        <v>1510</v>
      </c>
    </row>
    <row r="931" spans="1:15" ht="18" x14ac:dyDescent="0.35">
      <c r="A931" s="4" t="s">
        <v>1038</v>
      </c>
      <c r="B931" s="5">
        <v>45741</v>
      </c>
      <c r="C931" s="6" t="s">
        <v>26</v>
      </c>
      <c r="D931" s="6" t="s">
        <v>53</v>
      </c>
      <c r="E931" s="6" t="s">
        <v>60</v>
      </c>
      <c r="F931" s="6" t="s">
        <v>39</v>
      </c>
      <c r="G931" s="6" t="s">
        <v>54</v>
      </c>
      <c r="H931" s="6" t="s">
        <v>129</v>
      </c>
      <c r="I931" s="6" t="s">
        <v>130</v>
      </c>
      <c r="J931" s="6" t="s">
        <v>33</v>
      </c>
      <c r="K931" s="6" t="s">
        <v>24</v>
      </c>
      <c r="L931" s="6">
        <v>8</v>
      </c>
      <c r="M931" s="7">
        <v>27890</v>
      </c>
      <c r="N931" s="8">
        <v>0.2</v>
      </c>
      <c r="O931" s="9">
        <v>18800</v>
      </c>
    </row>
    <row r="932" spans="1:15" ht="18" x14ac:dyDescent="0.35">
      <c r="A932" s="4" t="s">
        <v>1039</v>
      </c>
      <c r="B932" s="5">
        <v>45742</v>
      </c>
      <c r="C932" s="6" t="s">
        <v>16</v>
      </c>
      <c r="D932" s="6" t="s">
        <v>98</v>
      </c>
      <c r="E932" s="6" t="s">
        <v>101</v>
      </c>
      <c r="F932" s="6" t="s">
        <v>19</v>
      </c>
      <c r="G932" s="6" t="s">
        <v>30</v>
      </c>
      <c r="H932" s="6" t="s">
        <v>61</v>
      </c>
      <c r="I932" s="6" t="s">
        <v>62</v>
      </c>
      <c r="J932" s="6" t="s">
        <v>33</v>
      </c>
      <c r="K932" s="6" t="s">
        <v>24</v>
      </c>
      <c r="L932" s="6">
        <v>16</v>
      </c>
      <c r="M932" s="7">
        <v>12490</v>
      </c>
      <c r="N932" s="8">
        <v>0.05</v>
      </c>
      <c r="O932" s="9">
        <v>7900</v>
      </c>
    </row>
    <row r="933" spans="1:15" ht="18" x14ac:dyDescent="0.35">
      <c r="A933" s="4" t="s">
        <v>1040</v>
      </c>
      <c r="B933" s="5">
        <v>45742</v>
      </c>
      <c r="C933" s="6" t="s">
        <v>48</v>
      </c>
      <c r="D933" s="6" t="s">
        <v>68</v>
      </c>
      <c r="E933" s="6" t="s">
        <v>60</v>
      </c>
      <c r="F933" s="6" t="s">
        <v>29</v>
      </c>
      <c r="G933" s="6" t="s">
        <v>30</v>
      </c>
      <c r="H933" s="6" t="s">
        <v>31</v>
      </c>
      <c r="I933" s="6" t="s">
        <v>85</v>
      </c>
      <c r="J933" s="6" t="s">
        <v>23</v>
      </c>
      <c r="K933" s="6" t="s">
        <v>34</v>
      </c>
      <c r="L933" s="6">
        <v>8</v>
      </c>
      <c r="M933" s="7">
        <v>43500</v>
      </c>
      <c r="N933" s="8">
        <v>0.05</v>
      </c>
      <c r="O933" s="9">
        <v>29520</v>
      </c>
    </row>
    <row r="934" spans="1:15" ht="18" x14ac:dyDescent="0.35">
      <c r="A934" s="4" t="s">
        <v>1041</v>
      </c>
      <c r="B934" s="5">
        <v>45743</v>
      </c>
      <c r="C934" s="6" t="s">
        <v>16</v>
      </c>
      <c r="D934" s="6" t="s">
        <v>17</v>
      </c>
      <c r="E934" s="6" t="s">
        <v>38</v>
      </c>
      <c r="F934" s="6" t="s">
        <v>39</v>
      </c>
      <c r="G934" s="6" t="s">
        <v>20</v>
      </c>
      <c r="H934" s="6" t="s">
        <v>21</v>
      </c>
      <c r="I934" s="6" t="s">
        <v>22</v>
      </c>
      <c r="J934" s="6" t="s">
        <v>33</v>
      </c>
      <c r="K934" s="6" t="s">
        <v>34</v>
      </c>
      <c r="L934" s="6">
        <v>40</v>
      </c>
      <c r="M934" s="7">
        <v>4499</v>
      </c>
      <c r="N934" s="8">
        <v>0.05</v>
      </c>
      <c r="O934" s="9">
        <v>2910</v>
      </c>
    </row>
    <row r="935" spans="1:15" ht="18" x14ac:dyDescent="0.35">
      <c r="A935" s="4" t="s">
        <v>1042</v>
      </c>
      <c r="B935" s="5">
        <v>45744</v>
      </c>
      <c r="C935" s="6" t="s">
        <v>48</v>
      </c>
      <c r="D935" s="6" t="s">
        <v>68</v>
      </c>
      <c r="E935" s="6" t="s">
        <v>101</v>
      </c>
      <c r="F935" s="6" t="s">
        <v>29</v>
      </c>
      <c r="G935" s="6" t="s">
        <v>20</v>
      </c>
      <c r="H935" s="6" t="s">
        <v>45</v>
      </c>
      <c r="I935" s="6" t="s">
        <v>46</v>
      </c>
      <c r="J935" s="6" t="s">
        <v>23</v>
      </c>
      <c r="K935" s="6" t="s">
        <v>34</v>
      </c>
      <c r="L935" s="6">
        <v>28</v>
      </c>
      <c r="M935" s="7">
        <v>1899</v>
      </c>
      <c r="N935" s="8">
        <v>0.15</v>
      </c>
      <c r="O935" s="9">
        <v>1080</v>
      </c>
    </row>
    <row r="936" spans="1:15" ht="18" x14ac:dyDescent="0.35">
      <c r="A936" s="4" t="s">
        <v>1043</v>
      </c>
      <c r="B936" s="5">
        <v>45745</v>
      </c>
      <c r="C936" s="6" t="s">
        <v>82</v>
      </c>
      <c r="D936" s="6" t="s">
        <v>100</v>
      </c>
      <c r="E936" s="6" t="s">
        <v>75</v>
      </c>
      <c r="F936" s="6" t="s">
        <v>19</v>
      </c>
      <c r="G936" s="6" t="s">
        <v>20</v>
      </c>
      <c r="H936" s="6" t="s">
        <v>21</v>
      </c>
      <c r="I936" s="6" t="s">
        <v>51</v>
      </c>
      <c r="J936" s="6" t="s">
        <v>57</v>
      </c>
      <c r="K936" s="6" t="s">
        <v>24</v>
      </c>
      <c r="L936" s="6">
        <v>8</v>
      </c>
      <c r="M936" s="7">
        <v>5999</v>
      </c>
      <c r="N936" s="8">
        <v>0.12</v>
      </c>
      <c r="O936" s="9">
        <v>3890</v>
      </c>
    </row>
    <row r="937" spans="1:15" ht="18" x14ac:dyDescent="0.35">
      <c r="A937" s="4" t="s">
        <v>1044</v>
      </c>
      <c r="B937" s="5">
        <v>45746</v>
      </c>
      <c r="C937" s="6" t="s">
        <v>16</v>
      </c>
      <c r="D937" s="6" t="s">
        <v>126</v>
      </c>
      <c r="E937" s="6" t="s">
        <v>75</v>
      </c>
      <c r="F937" s="6" t="s">
        <v>19</v>
      </c>
      <c r="G937" s="6" t="s">
        <v>40</v>
      </c>
      <c r="H937" s="6" t="s">
        <v>41</v>
      </c>
      <c r="I937" s="6" t="s">
        <v>156</v>
      </c>
      <c r="J937" s="6" t="s">
        <v>23</v>
      </c>
      <c r="K937" s="6" t="s">
        <v>24</v>
      </c>
      <c r="L937" s="6">
        <v>39</v>
      </c>
      <c r="M937" s="7">
        <v>48500</v>
      </c>
      <c r="N937" s="8">
        <v>0.2</v>
      </c>
      <c r="O937" s="9">
        <v>30200</v>
      </c>
    </row>
    <row r="938" spans="1:15" ht="18" x14ac:dyDescent="0.35">
      <c r="A938" s="4" t="s">
        <v>1045</v>
      </c>
      <c r="B938" s="5">
        <v>45746</v>
      </c>
      <c r="C938" s="6" t="s">
        <v>16</v>
      </c>
      <c r="D938" s="6" t="s">
        <v>111</v>
      </c>
      <c r="E938" s="6" t="s">
        <v>75</v>
      </c>
      <c r="F938" s="6" t="s">
        <v>39</v>
      </c>
      <c r="G938" s="6" t="s">
        <v>40</v>
      </c>
      <c r="H938" s="6" t="s">
        <v>64</v>
      </c>
      <c r="I938" s="6" t="s">
        <v>159</v>
      </c>
      <c r="J938" s="6" t="s">
        <v>23</v>
      </c>
      <c r="K938" s="6" t="s">
        <v>66</v>
      </c>
      <c r="L938" s="6">
        <v>30</v>
      </c>
      <c r="M938" s="7">
        <v>3299</v>
      </c>
      <c r="N938" s="8">
        <v>0.12</v>
      </c>
      <c r="O938" s="9">
        <v>2050</v>
      </c>
    </row>
    <row r="939" spans="1:15" ht="18" x14ac:dyDescent="0.35">
      <c r="A939" s="4" t="s">
        <v>1046</v>
      </c>
      <c r="B939" s="5">
        <v>45746</v>
      </c>
      <c r="C939" s="6" t="s">
        <v>48</v>
      </c>
      <c r="D939" s="6" t="s">
        <v>68</v>
      </c>
      <c r="E939" s="6" t="s">
        <v>60</v>
      </c>
      <c r="F939" s="6" t="s">
        <v>19</v>
      </c>
      <c r="G939" s="6" t="s">
        <v>20</v>
      </c>
      <c r="H939" s="6" t="s">
        <v>45</v>
      </c>
      <c r="I939" s="6" t="s">
        <v>46</v>
      </c>
      <c r="J939" s="6" t="s">
        <v>57</v>
      </c>
      <c r="K939" s="6" t="s">
        <v>24</v>
      </c>
      <c r="L939" s="6">
        <v>10</v>
      </c>
      <c r="M939" s="7">
        <v>1899</v>
      </c>
      <c r="N939" s="8">
        <v>0.08</v>
      </c>
      <c r="O939" s="9">
        <v>1080</v>
      </c>
    </row>
    <row r="940" spans="1:15" ht="18" x14ac:dyDescent="0.35">
      <c r="A940" s="4" t="s">
        <v>1047</v>
      </c>
      <c r="B940" s="5">
        <v>45747</v>
      </c>
      <c r="C940" s="6" t="s">
        <v>36</v>
      </c>
      <c r="D940" s="6" t="s">
        <v>44</v>
      </c>
      <c r="E940" s="6" t="s">
        <v>60</v>
      </c>
      <c r="F940" s="6" t="s">
        <v>39</v>
      </c>
      <c r="G940" s="6" t="s">
        <v>54</v>
      </c>
      <c r="H940" s="6" t="s">
        <v>129</v>
      </c>
      <c r="I940" s="6" t="s">
        <v>130</v>
      </c>
      <c r="J940" s="6" t="s">
        <v>23</v>
      </c>
      <c r="K940" s="6" t="s">
        <v>66</v>
      </c>
      <c r="L940" s="6">
        <v>39</v>
      </c>
      <c r="M940" s="7">
        <v>27890</v>
      </c>
      <c r="N940" s="8">
        <v>0.15</v>
      </c>
      <c r="O940" s="9">
        <v>18800</v>
      </c>
    </row>
    <row r="941" spans="1:15" ht="18" x14ac:dyDescent="0.35">
      <c r="A941" s="4" t="s">
        <v>1048</v>
      </c>
      <c r="B941" s="5">
        <v>45747</v>
      </c>
      <c r="C941" s="6" t="s">
        <v>36</v>
      </c>
      <c r="D941" s="6" t="s">
        <v>37</v>
      </c>
      <c r="E941" s="6" t="s">
        <v>84</v>
      </c>
      <c r="F941" s="6" t="s">
        <v>19</v>
      </c>
      <c r="G941" s="6" t="s">
        <v>20</v>
      </c>
      <c r="H941" s="6" t="s">
        <v>45</v>
      </c>
      <c r="I941" s="6" t="s">
        <v>196</v>
      </c>
      <c r="J941" s="6" t="s">
        <v>23</v>
      </c>
      <c r="K941" s="6" t="s">
        <v>24</v>
      </c>
      <c r="L941" s="6">
        <v>26</v>
      </c>
      <c r="M941" s="7">
        <v>2499</v>
      </c>
      <c r="N941" s="8">
        <v>0.15</v>
      </c>
      <c r="O941" s="9">
        <v>1510</v>
      </c>
    </row>
    <row r="942" spans="1:15" ht="18" x14ac:dyDescent="0.35">
      <c r="A942" s="4" t="s">
        <v>1049</v>
      </c>
      <c r="B942" s="5">
        <v>45747</v>
      </c>
      <c r="C942" s="6" t="s">
        <v>36</v>
      </c>
      <c r="D942" s="6" t="s">
        <v>121</v>
      </c>
      <c r="E942" s="6" t="s">
        <v>101</v>
      </c>
      <c r="F942" s="6" t="s">
        <v>29</v>
      </c>
      <c r="G942" s="6" t="s">
        <v>70</v>
      </c>
      <c r="H942" s="6" t="s">
        <v>71</v>
      </c>
      <c r="I942" s="6" t="s">
        <v>88</v>
      </c>
      <c r="J942" s="6" t="s">
        <v>23</v>
      </c>
      <c r="K942" s="6" t="s">
        <v>34</v>
      </c>
      <c r="L942" s="6">
        <v>9</v>
      </c>
      <c r="M942" s="7">
        <v>999</v>
      </c>
      <c r="N942" s="8">
        <v>0.1</v>
      </c>
      <c r="O942" s="9">
        <v>540</v>
      </c>
    </row>
    <row r="943" spans="1:15" ht="18" x14ac:dyDescent="0.35">
      <c r="A943" s="4" t="s">
        <v>1050</v>
      </c>
      <c r="B943" s="5">
        <v>45747</v>
      </c>
      <c r="C943" s="6" t="s">
        <v>26</v>
      </c>
      <c r="D943" s="6" t="s">
        <v>163</v>
      </c>
      <c r="E943" s="6" t="s">
        <v>18</v>
      </c>
      <c r="F943" s="6" t="s">
        <v>39</v>
      </c>
      <c r="G943" s="6" t="s">
        <v>70</v>
      </c>
      <c r="H943" s="6" t="s">
        <v>71</v>
      </c>
      <c r="I943" s="6" t="s">
        <v>88</v>
      </c>
      <c r="J943" s="6" t="s">
        <v>57</v>
      </c>
      <c r="K943" s="6" t="s">
        <v>24</v>
      </c>
      <c r="L943" s="6">
        <v>34</v>
      </c>
      <c r="M943" s="7">
        <v>999</v>
      </c>
      <c r="N943" s="8">
        <v>0.08</v>
      </c>
      <c r="O943" s="9">
        <v>540</v>
      </c>
    </row>
    <row r="944" spans="1:15" ht="18" x14ac:dyDescent="0.35">
      <c r="A944" s="4" t="s">
        <v>1051</v>
      </c>
      <c r="B944" s="5">
        <v>45748</v>
      </c>
      <c r="C944" s="6" t="s">
        <v>48</v>
      </c>
      <c r="D944" s="6" t="s">
        <v>49</v>
      </c>
      <c r="E944" s="6" t="s">
        <v>84</v>
      </c>
      <c r="F944" s="6" t="s">
        <v>39</v>
      </c>
      <c r="G944" s="6" t="s">
        <v>20</v>
      </c>
      <c r="H944" s="6" t="s">
        <v>45</v>
      </c>
      <c r="I944" s="6" t="s">
        <v>196</v>
      </c>
      <c r="J944" s="6" t="s">
        <v>57</v>
      </c>
      <c r="K944" s="6" t="s">
        <v>66</v>
      </c>
      <c r="L944" s="6">
        <v>28</v>
      </c>
      <c r="M944" s="7">
        <v>2499</v>
      </c>
      <c r="N944" s="8">
        <v>0.08</v>
      </c>
      <c r="O944" s="9">
        <v>1510</v>
      </c>
    </row>
    <row r="945" spans="1:15" ht="18" x14ac:dyDescent="0.35">
      <c r="A945" s="4" t="s">
        <v>1052</v>
      </c>
      <c r="B945" s="5">
        <v>45748</v>
      </c>
      <c r="C945" s="6" t="s">
        <v>82</v>
      </c>
      <c r="D945" s="6" t="s">
        <v>100</v>
      </c>
      <c r="E945" s="6" t="s">
        <v>18</v>
      </c>
      <c r="F945" s="6" t="s">
        <v>39</v>
      </c>
      <c r="G945" s="6" t="s">
        <v>20</v>
      </c>
      <c r="H945" s="6" t="s">
        <v>21</v>
      </c>
      <c r="I945" s="6" t="s">
        <v>22</v>
      </c>
      <c r="J945" s="6" t="s">
        <v>57</v>
      </c>
      <c r="K945" s="6" t="s">
        <v>24</v>
      </c>
      <c r="L945" s="6">
        <v>20</v>
      </c>
      <c r="M945" s="7">
        <v>4499</v>
      </c>
      <c r="N945" s="8">
        <v>0.08</v>
      </c>
      <c r="O945" s="9">
        <v>2910</v>
      </c>
    </row>
    <row r="946" spans="1:15" ht="18" x14ac:dyDescent="0.35">
      <c r="A946" s="4" t="s">
        <v>1053</v>
      </c>
      <c r="B946" s="5">
        <v>45749</v>
      </c>
      <c r="C946" s="6" t="s">
        <v>26</v>
      </c>
      <c r="D946" s="6" t="s">
        <v>163</v>
      </c>
      <c r="E946" s="6" t="s">
        <v>75</v>
      </c>
      <c r="F946" s="6" t="s">
        <v>39</v>
      </c>
      <c r="G946" s="6" t="s">
        <v>70</v>
      </c>
      <c r="H946" s="6" t="s">
        <v>71</v>
      </c>
      <c r="I946" s="6" t="s">
        <v>72</v>
      </c>
      <c r="J946" s="6" t="s">
        <v>57</v>
      </c>
      <c r="K946" s="6" t="s">
        <v>34</v>
      </c>
      <c r="L946" s="6">
        <v>21</v>
      </c>
      <c r="M946" s="7">
        <v>3499</v>
      </c>
      <c r="N946" s="8">
        <v>0.2</v>
      </c>
      <c r="O946" s="9">
        <v>2190</v>
      </c>
    </row>
    <row r="947" spans="1:15" ht="18" x14ac:dyDescent="0.35">
      <c r="A947" s="4" t="s">
        <v>1054</v>
      </c>
      <c r="B947" s="5">
        <v>45749</v>
      </c>
      <c r="C947" s="6" t="s">
        <v>16</v>
      </c>
      <c r="D947" s="6" t="s">
        <v>126</v>
      </c>
      <c r="E947" s="6" t="s">
        <v>105</v>
      </c>
      <c r="F947" s="6" t="s">
        <v>39</v>
      </c>
      <c r="G947" s="6" t="s">
        <v>20</v>
      </c>
      <c r="H947" s="6" t="s">
        <v>21</v>
      </c>
      <c r="I947" s="6" t="s">
        <v>22</v>
      </c>
      <c r="J947" s="6" t="s">
        <v>23</v>
      </c>
      <c r="K947" s="6" t="s">
        <v>24</v>
      </c>
      <c r="L947" s="6">
        <v>25</v>
      </c>
      <c r="M947" s="7">
        <v>4499</v>
      </c>
      <c r="N947" s="8">
        <v>0.1</v>
      </c>
      <c r="O947" s="9">
        <v>2910</v>
      </c>
    </row>
    <row r="948" spans="1:15" ht="18" x14ac:dyDescent="0.35">
      <c r="A948" s="4" t="s">
        <v>1055</v>
      </c>
      <c r="B948" s="5">
        <v>45749</v>
      </c>
      <c r="C948" s="6" t="s">
        <v>82</v>
      </c>
      <c r="D948" s="6" t="s">
        <v>87</v>
      </c>
      <c r="E948" s="6" t="s">
        <v>60</v>
      </c>
      <c r="F948" s="6" t="s">
        <v>19</v>
      </c>
      <c r="G948" s="6" t="s">
        <v>30</v>
      </c>
      <c r="H948" s="6" t="s">
        <v>31</v>
      </c>
      <c r="I948" s="6" t="s">
        <v>106</v>
      </c>
      <c r="J948" s="6" t="s">
        <v>57</v>
      </c>
      <c r="K948" s="6" t="s">
        <v>24</v>
      </c>
      <c r="L948" s="6">
        <v>17</v>
      </c>
      <c r="M948" s="7">
        <v>52990</v>
      </c>
      <c r="N948" s="8">
        <v>0.12</v>
      </c>
      <c r="O948" s="9">
        <v>35100</v>
      </c>
    </row>
    <row r="949" spans="1:15" ht="18" x14ac:dyDescent="0.35">
      <c r="A949" s="4" t="s">
        <v>1056</v>
      </c>
      <c r="B949" s="5">
        <v>45750</v>
      </c>
      <c r="C949" s="6" t="s">
        <v>48</v>
      </c>
      <c r="D949" s="6" t="s">
        <v>68</v>
      </c>
      <c r="E949" s="6" t="s">
        <v>84</v>
      </c>
      <c r="F949" s="6" t="s">
        <v>29</v>
      </c>
      <c r="G949" s="6" t="s">
        <v>70</v>
      </c>
      <c r="H949" s="6" t="s">
        <v>71</v>
      </c>
      <c r="I949" s="6" t="s">
        <v>80</v>
      </c>
      <c r="J949" s="6" t="s">
        <v>57</v>
      </c>
      <c r="K949" s="6" t="s">
        <v>78</v>
      </c>
      <c r="L949" s="6">
        <v>22</v>
      </c>
      <c r="M949" s="7">
        <v>1299</v>
      </c>
      <c r="N949" s="8">
        <v>0.15</v>
      </c>
      <c r="O949" s="9">
        <v>720</v>
      </c>
    </row>
    <row r="950" spans="1:15" ht="18" x14ac:dyDescent="0.35">
      <c r="A950" s="4" t="s">
        <v>1057</v>
      </c>
      <c r="B950" s="5">
        <v>45751</v>
      </c>
      <c r="C950" s="6" t="s">
        <v>36</v>
      </c>
      <c r="D950" s="6" t="s">
        <v>59</v>
      </c>
      <c r="E950" s="6" t="s">
        <v>69</v>
      </c>
      <c r="F950" s="6" t="s">
        <v>19</v>
      </c>
      <c r="G950" s="6" t="s">
        <v>40</v>
      </c>
      <c r="H950" s="6" t="s">
        <v>41</v>
      </c>
      <c r="I950" s="6" t="s">
        <v>156</v>
      </c>
      <c r="J950" s="6" t="s">
        <v>23</v>
      </c>
      <c r="K950" s="6" t="s">
        <v>24</v>
      </c>
      <c r="L950" s="6">
        <v>19</v>
      </c>
      <c r="M950" s="7">
        <v>48500</v>
      </c>
      <c r="N950" s="8">
        <v>0.08</v>
      </c>
      <c r="O950" s="9">
        <v>30200</v>
      </c>
    </row>
    <row r="951" spans="1:15" ht="18" x14ac:dyDescent="0.35">
      <c r="A951" s="4" t="s">
        <v>1058</v>
      </c>
      <c r="B951" s="5">
        <v>45751</v>
      </c>
      <c r="C951" s="6" t="s">
        <v>36</v>
      </c>
      <c r="D951" s="6" t="s">
        <v>59</v>
      </c>
      <c r="E951" s="6" t="s">
        <v>84</v>
      </c>
      <c r="F951" s="6" t="s">
        <v>19</v>
      </c>
      <c r="G951" s="6" t="s">
        <v>20</v>
      </c>
      <c r="H951" s="6" t="s">
        <v>21</v>
      </c>
      <c r="I951" s="6" t="s">
        <v>22</v>
      </c>
      <c r="J951" s="6" t="s">
        <v>57</v>
      </c>
      <c r="K951" s="6" t="s">
        <v>24</v>
      </c>
      <c r="L951" s="6">
        <v>8</v>
      </c>
      <c r="M951" s="7">
        <v>4499</v>
      </c>
      <c r="N951" s="8">
        <v>0.05</v>
      </c>
      <c r="O951" s="9">
        <v>2910</v>
      </c>
    </row>
    <row r="952" spans="1:15" ht="18" x14ac:dyDescent="0.35">
      <c r="A952" s="4" t="s">
        <v>1059</v>
      </c>
      <c r="B952" s="5">
        <v>45753</v>
      </c>
      <c r="C952" s="6" t="s">
        <v>16</v>
      </c>
      <c r="D952" s="6" t="s">
        <v>111</v>
      </c>
      <c r="E952" s="6" t="s">
        <v>84</v>
      </c>
      <c r="F952" s="6" t="s">
        <v>39</v>
      </c>
      <c r="G952" s="6" t="s">
        <v>40</v>
      </c>
      <c r="H952" s="6" t="s">
        <v>64</v>
      </c>
      <c r="I952" s="6" t="s">
        <v>159</v>
      </c>
      <c r="J952" s="6" t="s">
        <v>57</v>
      </c>
      <c r="K952" s="6" t="s">
        <v>78</v>
      </c>
      <c r="L952" s="6">
        <v>32</v>
      </c>
      <c r="M952" s="7">
        <v>3299</v>
      </c>
      <c r="N952" s="8">
        <v>0.18</v>
      </c>
      <c r="O952" s="9">
        <v>2050</v>
      </c>
    </row>
    <row r="953" spans="1:15" ht="18" x14ac:dyDescent="0.35">
      <c r="A953" s="4" t="s">
        <v>1060</v>
      </c>
      <c r="B953" s="5">
        <v>45754</v>
      </c>
      <c r="C953" s="6" t="s">
        <v>26</v>
      </c>
      <c r="D953" s="6" t="s">
        <v>53</v>
      </c>
      <c r="E953" s="6" t="s">
        <v>38</v>
      </c>
      <c r="F953" s="6" t="s">
        <v>29</v>
      </c>
      <c r="G953" s="6" t="s">
        <v>40</v>
      </c>
      <c r="H953" s="6" t="s">
        <v>41</v>
      </c>
      <c r="I953" s="6" t="s">
        <v>156</v>
      </c>
      <c r="J953" s="6" t="s">
        <v>57</v>
      </c>
      <c r="K953" s="6" t="s">
        <v>24</v>
      </c>
      <c r="L953" s="6">
        <v>35</v>
      </c>
      <c r="M953" s="7">
        <v>48500</v>
      </c>
      <c r="N953" s="8">
        <v>0.15</v>
      </c>
      <c r="O953" s="9">
        <v>30200</v>
      </c>
    </row>
    <row r="954" spans="1:15" ht="18" x14ac:dyDescent="0.35">
      <c r="A954" s="4" t="s">
        <v>1061</v>
      </c>
      <c r="B954" s="5">
        <v>45754</v>
      </c>
      <c r="C954" s="6" t="s">
        <v>48</v>
      </c>
      <c r="D954" s="6" t="s">
        <v>68</v>
      </c>
      <c r="E954" s="6" t="s">
        <v>101</v>
      </c>
      <c r="F954" s="6" t="s">
        <v>39</v>
      </c>
      <c r="G954" s="6" t="s">
        <v>20</v>
      </c>
      <c r="H954" s="6" t="s">
        <v>21</v>
      </c>
      <c r="I954" s="6" t="s">
        <v>51</v>
      </c>
      <c r="J954" s="6" t="s">
        <v>33</v>
      </c>
      <c r="K954" s="6" t="s">
        <v>66</v>
      </c>
      <c r="L954" s="6">
        <v>18</v>
      </c>
      <c r="M954" s="7">
        <v>5999</v>
      </c>
      <c r="N954" s="8">
        <v>0.2</v>
      </c>
      <c r="O954" s="9">
        <v>3890</v>
      </c>
    </row>
    <row r="955" spans="1:15" ht="18" x14ac:dyDescent="0.35">
      <c r="A955" s="4" t="s">
        <v>1062</v>
      </c>
      <c r="B955" s="5">
        <v>45755</v>
      </c>
      <c r="C955" s="6" t="s">
        <v>48</v>
      </c>
      <c r="D955" s="6" t="s">
        <v>68</v>
      </c>
      <c r="E955" s="6" t="s">
        <v>69</v>
      </c>
      <c r="F955" s="6" t="s">
        <v>39</v>
      </c>
      <c r="G955" s="6" t="s">
        <v>70</v>
      </c>
      <c r="H955" s="6" t="s">
        <v>71</v>
      </c>
      <c r="I955" s="6" t="s">
        <v>72</v>
      </c>
      <c r="J955" s="6" t="s">
        <v>33</v>
      </c>
      <c r="K955" s="6" t="s">
        <v>66</v>
      </c>
      <c r="L955" s="6">
        <v>34</v>
      </c>
      <c r="M955" s="7">
        <v>3499</v>
      </c>
      <c r="N955" s="8">
        <v>0.12</v>
      </c>
      <c r="O955" s="9">
        <v>2190</v>
      </c>
    </row>
    <row r="956" spans="1:15" ht="18" x14ac:dyDescent="0.35">
      <c r="A956" s="4" t="s">
        <v>1063</v>
      </c>
      <c r="B956" s="5">
        <v>45756</v>
      </c>
      <c r="C956" s="6" t="s">
        <v>82</v>
      </c>
      <c r="D956" s="6" t="s">
        <v>100</v>
      </c>
      <c r="E956" s="6" t="s">
        <v>105</v>
      </c>
      <c r="F956" s="6" t="s">
        <v>29</v>
      </c>
      <c r="G956" s="6" t="s">
        <v>54</v>
      </c>
      <c r="H956" s="6" t="s">
        <v>55</v>
      </c>
      <c r="I956" s="6" t="s">
        <v>148</v>
      </c>
      <c r="J956" s="6" t="s">
        <v>57</v>
      </c>
      <c r="K956" s="6" t="s">
        <v>24</v>
      </c>
      <c r="L956" s="6">
        <v>1</v>
      </c>
      <c r="M956" s="7">
        <v>4680</v>
      </c>
      <c r="N956" s="8">
        <v>0.1</v>
      </c>
      <c r="O956" s="9">
        <v>3250</v>
      </c>
    </row>
    <row r="957" spans="1:15" ht="18" x14ac:dyDescent="0.35">
      <c r="A957" s="4" t="s">
        <v>1064</v>
      </c>
      <c r="B957" s="5">
        <v>45756</v>
      </c>
      <c r="C957" s="6" t="s">
        <v>82</v>
      </c>
      <c r="D957" s="6" t="s">
        <v>87</v>
      </c>
      <c r="E957" s="6" t="s">
        <v>38</v>
      </c>
      <c r="F957" s="6" t="s">
        <v>19</v>
      </c>
      <c r="G957" s="6" t="s">
        <v>54</v>
      </c>
      <c r="H957" s="6" t="s">
        <v>90</v>
      </c>
      <c r="I957" s="6" t="s">
        <v>91</v>
      </c>
      <c r="J957" s="6" t="s">
        <v>33</v>
      </c>
      <c r="K957" s="6" t="s">
        <v>24</v>
      </c>
      <c r="L957" s="6">
        <v>32</v>
      </c>
      <c r="M957" s="7">
        <v>31990</v>
      </c>
      <c r="N957" s="8">
        <v>0.05</v>
      </c>
      <c r="O957" s="9">
        <v>21800</v>
      </c>
    </row>
    <row r="958" spans="1:15" ht="18" x14ac:dyDescent="0.35">
      <c r="A958" s="4" t="s">
        <v>1065</v>
      </c>
      <c r="B958" s="5">
        <v>45756</v>
      </c>
      <c r="C958" s="6" t="s">
        <v>48</v>
      </c>
      <c r="D958" s="6" t="s">
        <v>68</v>
      </c>
      <c r="E958" s="6" t="s">
        <v>105</v>
      </c>
      <c r="F958" s="6" t="s">
        <v>19</v>
      </c>
      <c r="G958" s="6" t="s">
        <v>70</v>
      </c>
      <c r="H958" s="6" t="s">
        <v>71</v>
      </c>
      <c r="I958" s="6" t="s">
        <v>80</v>
      </c>
      <c r="J958" s="6" t="s">
        <v>23</v>
      </c>
      <c r="K958" s="6" t="s">
        <v>66</v>
      </c>
      <c r="L958" s="6">
        <v>17</v>
      </c>
      <c r="M958" s="7">
        <v>1299</v>
      </c>
      <c r="N958" s="8">
        <v>0.05</v>
      </c>
      <c r="O958" s="9">
        <v>720</v>
      </c>
    </row>
    <row r="959" spans="1:15" ht="18" x14ac:dyDescent="0.35">
      <c r="A959" s="4" t="s">
        <v>1066</v>
      </c>
      <c r="B959" s="5">
        <v>45757</v>
      </c>
      <c r="C959" s="6" t="s">
        <v>26</v>
      </c>
      <c r="D959" s="6" t="s">
        <v>74</v>
      </c>
      <c r="E959" s="6" t="s">
        <v>105</v>
      </c>
      <c r="F959" s="6" t="s">
        <v>19</v>
      </c>
      <c r="G959" s="6" t="s">
        <v>20</v>
      </c>
      <c r="H959" s="6" t="s">
        <v>21</v>
      </c>
      <c r="I959" s="6" t="s">
        <v>22</v>
      </c>
      <c r="J959" s="6" t="s">
        <v>23</v>
      </c>
      <c r="K959" s="6" t="s">
        <v>24</v>
      </c>
      <c r="L959" s="6">
        <v>19</v>
      </c>
      <c r="M959" s="7">
        <v>4499</v>
      </c>
      <c r="N959" s="8">
        <v>0.18</v>
      </c>
      <c r="O959" s="9">
        <v>2910</v>
      </c>
    </row>
    <row r="960" spans="1:15" ht="18" x14ac:dyDescent="0.35">
      <c r="A960" s="4" t="s">
        <v>1067</v>
      </c>
      <c r="B960" s="5">
        <v>45757</v>
      </c>
      <c r="C960" s="6" t="s">
        <v>26</v>
      </c>
      <c r="D960" s="6" t="s">
        <v>27</v>
      </c>
      <c r="E960" s="6" t="s">
        <v>75</v>
      </c>
      <c r="F960" s="6" t="s">
        <v>19</v>
      </c>
      <c r="G960" s="6" t="s">
        <v>40</v>
      </c>
      <c r="H960" s="6" t="s">
        <v>76</v>
      </c>
      <c r="I960" s="6" t="s">
        <v>139</v>
      </c>
      <c r="J960" s="6" t="s">
        <v>57</v>
      </c>
      <c r="K960" s="6" t="s">
        <v>24</v>
      </c>
      <c r="L960" s="6">
        <v>26</v>
      </c>
      <c r="M960" s="7">
        <v>25999</v>
      </c>
      <c r="N960" s="8">
        <v>0.15</v>
      </c>
      <c r="O960" s="9">
        <v>17800</v>
      </c>
    </row>
    <row r="961" spans="1:15" ht="18" x14ac:dyDescent="0.35">
      <c r="A961" s="4" t="s">
        <v>1068</v>
      </c>
      <c r="B961" s="5">
        <v>45757</v>
      </c>
      <c r="C961" s="6" t="s">
        <v>48</v>
      </c>
      <c r="D961" s="6" t="s">
        <v>93</v>
      </c>
      <c r="E961" s="6" t="s">
        <v>84</v>
      </c>
      <c r="F961" s="6" t="s">
        <v>29</v>
      </c>
      <c r="G961" s="6" t="s">
        <v>20</v>
      </c>
      <c r="H961" s="6" t="s">
        <v>21</v>
      </c>
      <c r="I961" s="6" t="s">
        <v>51</v>
      </c>
      <c r="J961" s="6" t="s">
        <v>33</v>
      </c>
      <c r="K961" s="6" t="s">
        <v>78</v>
      </c>
      <c r="L961" s="6">
        <v>18</v>
      </c>
      <c r="M961" s="7">
        <v>5999</v>
      </c>
      <c r="N961" s="8">
        <v>0.2</v>
      </c>
      <c r="O961" s="9">
        <v>3890</v>
      </c>
    </row>
    <row r="962" spans="1:15" ht="18" x14ac:dyDescent="0.35">
      <c r="A962" s="4" t="s">
        <v>1069</v>
      </c>
      <c r="B962" s="5">
        <v>45758</v>
      </c>
      <c r="C962" s="6" t="s">
        <v>48</v>
      </c>
      <c r="D962" s="6" t="s">
        <v>68</v>
      </c>
      <c r="E962" s="6" t="s">
        <v>18</v>
      </c>
      <c r="F962" s="6" t="s">
        <v>29</v>
      </c>
      <c r="G962" s="6" t="s">
        <v>40</v>
      </c>
      <c r="H962" s="6" t="s">
        <v>41</v>
      </c>
      <c r="I962" s="6" t="s">
        <v>42</v>
      </c>
      <c r="J962" s="6" t="s">
        <v>33</v>
      </c>
      <c r="K962" s="6" t="s">
        <v>78</v>
      </c>
      <c r="L962" s="6">
        <v>13</v>
      </c>
      <c r="M962" s="7">
        <v>55230</v>
      </c>
      <c r="N962" s="8">
        <v>0.1</v>
      </c>
      <c r="O962" s="9">
        <v>33800</v>
      </c>
    </row>
    <row r="963" spans="1:15" ht="18" x14ac:dyDescent="0.35">
      <c r="A963" s="4" t="s">
        <v>1070</v>
      </c>
      <c r="B963" s="5">
        <v>45758</v>
      </c>
      <c r="C963" s="6" t="s">
        <v>82</v>
      </c>
      <c r="D963" s="6" t="s">
        <v>83</v>
      </c>
      <c r="E963" s="6" t="s">
        <v>101</v>
      </c>
      <c r="F963" s="6" t="s">
        <v>39</v>
      </c>
      <c r="G963" s="6" t="s">
        <v>70</v>
      </c>
      <c r="H963" s="6" t="s">
        <v>71</v>
      </c>
      <c r="I963" s="6" t="s">
        <v>80</v>
      </c>
      <c r="J963" s="6" t="s">
        <v>23</v>
      </c>
      <c r="K963" s="6" t="s">
        <v>24</v>
      </c>
      <c r="L963" s="6">
        <v>10</v>
      </c>
      <c r="M963" s="7">
        <v>1299</v>
      </c>
      <c r="N963" s="8">
        <v>0.18</v>
      </c>
      <c r="O963" s="9">
        <v>720</v>
      </c>
    </row>
    <row r="964" spans="1:15" ht="18" x14ac:dyDescent="0.35">
      <c r="A964" s="4" t="s">
        <v>1071</v>
      </c>
      <c r="B964" s="5">
        <v>45759</v>
      </c>
      <c r="C964" s="6" t="s">
        <v>36</v>
      </c>
      <c r="D964" s="6" t="s">
        <v>59</v>
      </c>
      <c r="E964" s="6" t="s">
        <v>28</v>
      </c>
      <c r="F964" s="6" t="s">
        <v>39</v>
      </c>
      <c r="G964" s="6" t="s">
        <v>20</v>
      </c>
      <c r="H964" s="6" t="s">
        <v>45</v>
      </c>
      <c r="I964" s="6" t="s">
        <v>196</v>
      </c>
      <c r="J964" s="6" t="s">
        <v>57</v>
      </c>
      <c r="K964" s="6" t="s">
        <v>24</v>
      </c>
      <c r="L964" s="6">
        <v>17</v>
      </c>
      <c r="M964" s="7">
        <v>2499</v>
      </c>
      <c r="N964" s="8">
        <v>0.08</v>
      </c>
      <c r="O964" s="9">
        <v>1510</v>
      </c>
    </row>
    <row r="965" spans="1:15" ht="18" x14ac:dyDescent="0.35">
      <c r="A965" s="4" t="s">
        <v>1072</v>
      </c>
      <c r="B965" s="5">
        <v>45759</v>
      </c>
      <c r="C965" s="6" t="s">
        <v>82</v>
      </c>
      <c r="D965" s="6" t="s">
        <v>100</v>
      </c>
      <c r="E965" s="6" t="s">
        <v>101</v>
      </c>
      <c r="F965" s="6" t="s">
        <v>19</v>
      </c>
      <c r="G965" s="6" t="s">
        <v>54</v>
      </c>
      <c r="H965" s="6" t="s">
        <v>90</v>
      </c>
      <c r="I965" s="6" t="s">
        <v>134</v>
      </c>
      <c r="J965" s="6" t="s">
        <v>23</v>
      </c>
      <c r="K965" s="6" t="s">
        <v>34</v>
      </c>
      <c r="L965" s="6">
        <v>19</v>
      </c>
      <c r="M965" s="7">
        <v>32800</v>
      </c>
      <c r="N965" s="8">
        <v>0.08</v>
      </c>
      <c r="O965" s="9">
        <v>23100</v>
      </c>
    </row>
    <row r="966" spans="1:15" ht="18" x14ac:dyDescent="0.35">
      <c r="A966" s="4" t="s">
        <v>1073</v>
      </c>
      <c r="B966" s="5">
        <v>45761</v>
      </c>
      <c r="C966" s="6" t="s">
        <v>48</v>
      </c>
      <c r="D966" s="6" t="s">
        <v>49</v>
      </c>
      <c r="E966" s="6" t="s">
        <v>60</v>
      </c>
      <c r="F966" s="6" t="s">
        <v>29</v>
      </c>
      <c r="G966" s="6" t="s">
        <v>20</v>
      </c>
      <c r="H966" s="6" t="s">
        <v>45</v>
      </c>
      <c r="I966" s="6" t="s">
        <v>103</v>
      </c>
      <c r="J966" s="6" t="s">
        <v>33</v>
      </c>
      <c r="K966" s="6" t="s">
        <v>34</v>
      </c>
      <c r="L966" s="6">
        <v>38</v>
      </c>
      <c r="M966" s="7">
        <v>1599</v>
      </c>
      <c r="N966" s="8">
        <v>0.08</v>
      </c>
      <c r="O966" s="9">
        <v>920</v>
      </c>
    </row>
    <row r="967" spans="1:15" ht="18" x14ac:dyDescent="0.35">
      <c r="A967" s="4" t="s">
        <v>1074</v>
      </c>
      <c r="B967" s="5">
        <v>45761</v>
      </c>
      <c r="C967" s="6" t="s">
        <v>16</v>
      </c>
      <c r="D967" s="6" t="s">
        <v>126</v>
      </c>
      <c r="E967" s="6" t="s">
        <v>38</v>
      </c>
      <c r="F967" s="6" t="s">
        <v>19</v>
      </c>
      <c r="G967" s="6" t="s">
        <v>40</v>
      </c>
      <c r="H967" s="6" t="s">
        <v>41</v>
      </c>
      <c r="I967" s="6" t="s">
        <v>119</v>
      </c>
      <c r="J967" s="6" t="s">
        <v>57</v>
      </c>
      <c r="K967" s="6" t="s">
        <v>24</v>
      </c>
      <c r="L967" s="6">
        <v>9</v>
      </c>
      <c r="M967" s="7">
        <v>48990</v>
      </c>
      <c r="N967" s="8">
        <v>0.05</v>
      </c>
      <c r="O967" s="9">
        <v>30100</v>
      </c>
    </row>
    <row r="968" spans="1:15" ht="18" x14ac:dyDescent="0.35">
      <c r="A968" s="4" t="s">
        <v>1075</v>
      </c>
      <c r="B968" s="5">
        <v>45761</v>
      </c>
      <c r="C968" s="6" t="s">
        <v>16</v>
      </c>
      <c r="D968" s="6" t="s">
        <v>126</v>
      </c>
      <c r="E968" s="6" t="s">
        <v>84</v>
      </c>
      <c r="F968" s="6" t="s">
        <v>19</v>
      </c>
      <c r="G968" s="6" t="s">
        <v>54</v>
      </c>
      <c r="H968" s="6" t="s">
        <v>90</v>
      </c>
      <c r="I968" s="6" t="s">
        <v>258</v>
      </c>
      <c r="J968" s="6" t="s">
        <v>57</v>
      </c>
      <c r="K968" s="6" t="s">
        <v>34</v>
      </c>
      <c r="L968" s="6">
        <v>8</v>
      </c>
      <c r="M968" s="7">
        <v>29010</v>
      </c>
      <c r="N968" s="8">
        <v>0.05</v>
      </c>
      <c r="O968" s="9">
        <v>19150</v>
      </c>
    </row>
    <row r="969" spans="1:15" ht="18" x14ac:dyDescent="0.35">
      <c r="A969" s="4" t="s">
        <v>1076</v>
      </c>
      <c r="B969" s="5">
        <v>45761</v>
      </c>
      <c r="C969" s="6" t="s">
        <v>26</v>
      </c>
      <c r="D969" s="6" t="s">
        <v>53</v>
      </c>
      <c r="E969" s="6" t="s">
        <v>50</v>
      </c>
      <c r="F969" s="6" t="s">
        <v>39</v>
      </c>
      <c r="G969" s="6" t="s">
        <v>30</v>
      </c>
      <c r="H969" s="6" t="s">
        <v>61</v>
      </c>
      <c r="I969" s="6" t="s">
        <v>62</v>
      </c>
      <c r="J969" s="6" t="s">
        <v>23</v>
      </c>
      <c r="K969" s="6" t="s">
        <v>66</v>
      </c>
      <c r="L969" s="6">
        <v>30</v>
      </c>
      <c r="M969" s="7">
        <v>12490</v>
      </c>
      <c r="N969" s="8">
        <v>0.1</v>
      </c>
      <c r="O969" s="9">
        <v>7900</v>
      </c>
    </row>
    <row r="970" spans="1:15" ht="18" x14ac:dyDescent="0.35">
      <c r="A970" s="4" t="s">
        <v>1077</v>
      </c>
      <c r="B970" s="5">
        <v>45762</v>
      </c>
      <c r="C970" s="6" t="s">
        <v>26</v>
      </c>
      <c r="D970" s="6" t="s">
        <v>74</v>
      </c>
      <c r="E970" s="6" t="s">
        <v>69</v>
      </c>
      <c r="F970" s="6" t="s">
        <v>29</v>
      </c>
      <c r="G970" s="6" t="s">
        <v>54</v>
      </c>
      <c r="H970" s="6" t="s">
        <v>129</v>
      </c>
      <c r="I970" s="6" t="s">
        <v>130</v>
      </c>
      <c r="J970" s="6" t="s">
        <v>57</v>
      </c>
      <c r="K970" s="6" t="s">
        <v>34</v>
      </c>
      <c r="L970" s="6">
        <v>14</v>
      </c>
      <c r="M970" s="7">
        <v>27890</v>
      </c>
      <c r="N970" s="8">
        <v>0.08</v>
      </c>
      <c r="O970" s="9">
        <v>18800</v>
      </c>
    </row>
    <row r="971" spans="1:15" ht="18" x14ac:dyDescent="0.35">
      <c r="A971" s="4" t="s">
        <v>1078</v>
      </c>
      <c r="B971" s="5">
        <v>45763</v>
      </c>
      <c r="C971" s="6" t="s">
        <v>36</v>
      </c>
      <c r="D971" s="6" t="s">
        <v>37</v>
      </c>
      <c r="E971" s="6" t="s">
        <v>60</v>
      </c>
      <c r="F971" s="6" t="s">
        <v>19</v>
      </c>
      <c r="G971" s="6" t="s">
        <v>70</v>
      </c>
      <c r="H971" s="6" t="s">
        <v>71</v>
      </c>
      <c r="I971" s="6" t="s">
        <v>88</v>
      </c>
      <c r="J971" s="6" t="s">
        <v>57</v>
      </c>
      <c r="K971" s="6" t="s">
        <v>34</v>
      </c>
      <c r="L971" s="6">
        <v>39</v>
      </c>
      <c r="M971" s="7">
        <v>999</v>
      </c>
      <c r="N971" s="8">
        <v>0.1</v>
      </c>
      <c r="O971" s="9">
        <v>540</v>
      </c>
    </row>
    <row r="972" spans="1:15" ht="18" x14ac:dyDescent="0.35">
      <c r="A972" s="4" t="s">
        <v>1079</v>
      </c>
      <c r="B972" s="5">
        <v>45763</v>
      </c>
      <c r="C972" s="6" t="s">
        <v>48</v>
      </c>
      <c r="D972" s="6" t="s">
        <v>68</v>
      </c>
      <c r="E972" s="6" t="s">
        <v>50</v>
      </c>
      <c r="F972" s="6" t="s">
        <v>19</v>
      </c>
      <c r="G972" s="6" t="s">
        <v>20</v>
      </c>
      <c r="H972" s="6" t="s">
        <v>21</v>
      </c>
      <c r="I972" s="6" t="s">
        <v>51</v>
      </c>
      <c r="J972" s="6" t="s">
        <v>57</v>
      </c>
      <c r="K972" s="6" t="s">
        <v>34</v>
      </c>
      <c r="L972" s="6">
        <v>3</v>
      </c>
      <c r="M972" s="7">
        <v>5999</v>
      </c>
      <c r="N972" s="8">
        <v>0.08</v>
      </c>
      <c r="O972" s="9">
        <v>3890</v>
      </c>
    </row>
    <row r="973" spans="1:15" ht="18" x14ac:dyDescent="0.35">
      <c r="A973" s="4" t="s">
        <v>1080</v>
      </c>
      <c r="B973" s="5">
        <v>45764</v>
      </c>
      <c r="C973" s="6" t="s">
        <v>36</v>
      </c>
      <c r="D973" s="6" t="s">
        <v>37</v>
      </c>
      <c r="E973" s="6" t="s">
        <v>105</v>
      </c>
      <c r="F973" s="6" t="s">
        <v>29</v>
      </c>
      <c r="G973" s="6" t="s">
        <v>40</v>
      </c>
      <c r="H973" s="6" t="s">
        <v>64</v>
      </c>
      <c r="I973" s="6" t="s">
        <v>159</v>
      </c>
      <c r="J973" s="6" t="s">
        <v>57</v>
      </c>
      <c r="K973" s="6" t="s">
        <v>34</v>
      </c>
      <c r="L973" s="6">
        <v>11</v>
      </c>
      <c r="M973" s="7">
        <v>3299</v>
      </c>
      <c r="N973" s="8">
        <v>0.1</v>
      </c>
      <c r="O973" s="9">
        <v>2050</v>
      </c>
    </row>
    <row r="974" spans="1:15" ht="18" x14ac:dyDescent="0.35">
      <c r="A974" s="4" t="s">
        <v>1081</v>
      </c>
      <c r="B974" s="5">
        <v>45764</v>
      </c>
      <c r="C974" s="6" t="s">
        <v>16</v>
      </c>
      <c r="D974" s="6" t="s">
        <v>126</v>
      </c>
      <c r="E974" s="6" t="s">
        <v>60</v>
      </c>
      <c r="F974" s="6" t="s">
        <v>19</v>
      </c>
      <c r="G974" s="6" t="s">
        <v>30</v>
      </c>
      <c r="H974" s="6" t="s">
        <v>31</v>
      </c>
      <c r="I974" s="6" t="s">
        <v>106</v>
      </c>
      <c r="J974" s="6" t="s">
        <v>57</v>
      </c>
      <c r="K974" s="6" t="s">
        <v>24</v>
      </c>
      <c r="L974" s="6">
        <v>25</v>
      </c>
      <c r="M974" s="7">
        <v>52990</v>
      </c>
      <c r="N974" s="8">
        <v>0.08</v>
      </c>
      <c r="O974" s="9">
        <v>35100</v>
      </c>
    </row>
    <row r="975" spans="1:15" ht="18" x14ac:dyDescent="0.35">
      <c r="A975" s="4" t="s">
        <v>1082</v>
      </c>
      <c r="B975" s="5">
        <v>45765</v>
      </c>
      <c r="C975" s="6" t="s">
        <v>82</v>
      </c>
      <c r="D975" s="6" t="s">
        <v>100</v>
      </c>
      <c r="E975" s="6" t="s">
        <v>18</v>
      </c>
      <c r="F975" s="6" t="s">
        <v>29</v>
      </c>
      <c r="G975" s="6" t="s">
        <v>70</v>
      </c>
      <c r="H975" s="6" t="s">
        <v>71</v>
      </c>
      <c r="I975" s="6" t="s">
        <v>80</v>
      </c>
      <c r="J975" s="6" t="s">
        <v>57</v>
      </c>
      <c r="K975" s="6" t="s">
        <v>34</v>
      </c>
      <c r="L975" s="6">
        <v>20</v>
      </c>
      <c r="M975" s="7">
        <v>1299</v>
      </c>
      <c r="N975" s="8">
        <v>0.08</v>
      </c>
      <c r="O975" s="9">
        <v>720</v>
      </c>
    </row>
    <row r="976" spans="1:15" ht="18" x14ac:dyDescent="0.35">
      <c r="A976" s="4" t="s">
        <v>1083</v>
      </c>
      <c r="B976" s="5">
        <v>45765</v>
      </c>
      <c r="C976" s="6" t="s">
        <v>82</v>
      </c>
      <c r="D976" s="6" t="s">
        <v>83</v>
      </c>
      <c r="E976" s="6" t="s">
        <v>75</v>
      </c>
      <c r="F976" s="6" t="s">
        <v>39</v>
      </c>
      <c r="G976" s="6" t="s">
        <v>54</v>
      </c>
      <c r="H976" s="6" t="s">
        <v>90</v>
      </c>
      <c r="I976" s="6" t="s">
        <v>134</v>
      </c>
      <c r="J976" s="6" t="s">
        <v>57</v>
      </c>
      <c r="K976" s="6" t="s">
        <v>24</v>
      </c>
      <c r="L976" s="6">
        <v>16</v>
      </c>
      <c r="M976" s="7">
        <v>32800</v>
      </c>
      <c r="N976" s="8">
        <v>0.2</v>
      </c>
      <c r="O976" s="9">
        <v>23100</v>
      </c>
    </row>
    <row r="977" spans="1:15" ht="18" x14ac:dyDescent="0.35">
      <c r="A977" s="4" t="s">
        <v>1084</v>
      </c>
      <c r="B977" s="5">
        <v>45766</v>
      </c>
      <c r="C977" s="6" t="s">
        <v>82</v>
      </c>
      <c r="D977" s="6" t="s">
        <v>100</v>
      </c>
      <c r="E977" s="6" t="s">
        <v>28</v>
      </c>
      <c r="F977" s="6" t="s">
        <v>39</v>
      </c>
      <c r="G977" s="6" t="s">
        <v>20</v>
      </c>
      <c r="H977" s="6" t="s">
        <v>21</v>
      </c>
      <c r="I977" s="6" t="s">
        <v>22</v>
      </c>
      <c r="J977" s="6" t="s">
        <v>23</v>
      </c>
      <c r="K977" s="6" t="s">
        <v>78</v>
      </c>
      <c r="L977" s="6">
        <v>8</v>
      </c>
      <c r="M977" s="7">
        <v>4499</v>
      </c>
      <c r="N977" s="8">
        <v>0.18</v>
      </c>
      <c r="O977" s="9">
        <v>2910</v>
      </c>
    </row>
    <row r="978" spans="1:15" ht="18" x14ac:dyDescent="0.35">
      <c r="A978" s="4" t="s">
        <v>1085</v>
      </c>
      <c r="B978" s="5">
        <v>45766</v>
      </c>
      <c r="C978" s="6" t="s">
        <v>16</v>
      </c>
      <c r="D978" s="6" t="s">
        <v>17</v>
      </c>
      <c r="E978" s="6" t="s">
        <v>60</v>
      </c>
      <c r="F978" s="6" t="s">
        <v>29</v>
      </c>
      <c r="G978" s="6" t="s">
        <v>20</v>
      </c>
      <c r="H978" s="6" t="s">
        <v>21</v>
      </c>
      <c r="I978" s="6" t="s">
        <v>22</v>
      </c>
      <c r="J978" s="6" t="s">
        <v>33</v>
      </c>
      <c r="K978" s="6" t="s">
        <v>34</v>
      </c>
      <c r="L978" s="6">
        <v>37</v>
      </c>
      <c r="M978" s="7">
        <v>4499</v>
      </c>
      <c r="N978" s="8">
        <v>0.2</v>
      </c>
      <c r="O978" s="9">
        <v>2910</v>
      </c>
    </row>
    <row r="979" spans="1:15" ht="18" x14ac:dyDescent="0.35">
      <c r="A979" s="4" t="s">
        <v>1086</v>
      </c>
      <c r="B979" s="5">
        <v>45766</v>
      </c>
      <c r="C979" s="6" t="s">
        <v>26</v>
      </c>
      <c r="D979" s="6" t="s">
        <v>74</v>
      </c>
      <c r="E979" s="6" t="s">
        <v>84</v>
      </c>
      <c r="F979" s="6" t="s">
        <v>29</v>
      </c>
      <c r="G979" s="6" t="s">
        <v>40</v>
      </c>
      <c r="H979" s="6" t="s">
        <v>76</v>
      </c>
      <c r="I979" s="6" t="s">
        <v>139</v>
      </c>
      <c r="J979" s="6" t="s">
        <v>23</v>
      </c>
      <c r="K979" s="6" t="s">
        <v>78</v>
      </c>
      <c r="L979" s="6">
        <v>3</v>
      </c>
      <c r="M979" s="7">
        <v>25999</v>
      </c>
      <c r="N979" s="8">
        <v>0.05</v>
      </c>
      <c r="O979" s="9">
        <v>17800</v>
      </c>
    </row>
    <row r="980" spans="1:15" ht="18" x14ac:dyDescent="0.35">
      <c r="A980" s="4" t="s">
        <v>1087</v>
      </c>
      <c r="B980" s="5">
        <v>45766</v>
      </c>
      <c r="C980" s="6" t="s">
        <v>36</v>
      </c>
      <c r="D980" s="6" t="s">
        <v>59</v>
      </c>
      <c r="E980" s="6" t="s">
        <v>75</v>
      </c>
      <c r="F980" s="6" t="s">
        <v>19</v>
      </c>
      <c r="G980" s="6" t="s">
        <v>54</v>
      </c>
      <c r="H980" s="6" t="s">
        <v>90</v>
      </c>
      <c r="I980" s="6" t="s">
        <v>134</v>
      </c>
      <c r="J980" s="6" t="s">
        <v>57</v>
      </c>
      <c r="K980" s="6" t="s">
        <v>78</v>
      </c>
      <c r="L980" s="6">
        <v>26</v>
      </c>
      <c r="M980" s="7">
        <v>32800</v>
      </c>
      <c r="N980" s="8">
        <v>0.18</v>
      </c>
      <c r="O980" s="9">
        <v>23100</v>
      </c>
    </row>
    <row r="981" spans="1:15" ht="18" x14ac:dyDescent="0.35">
      <c r="A981" s="4" t="s">
        <v>1088</v>
      </c>
      <c r="B981" s="5">
        <v>45767</v>
      </c>
      <c r="C981" s="6" t="s">
        <v>26</v>
      </c>
      <c r="D981" s="6" t="s">
        <v>27</v>
      </c>
      <c r="E981" s="6" t="s">
        <v>28</v>
      </c>
      <c r="F981" s="6" t="s">
        <v>29</v>
      </c>
      <c r="G981" s="6" t="s">
        <v>40</v>
      </c>
      <c r="H981" s="6" t="s">
        <v>64</v>
      </c>
      <c r="I981" s="6" t="s">
        <v>65</v>
      </c>
      <c r="J981" s="6" t="s">
        <v>23</v>
      </c>
      <c r="K981" s="6" t="s">
        <v>24</v>
      </c>
      <c r="L981" s="6">
        <v>30</v>
      </c>
      <c r="M981" s="7">
        <v>1930</v>
      </c>
      <c r="N981" s="8">
        <v>0.15</v>
      </c>
      <c r="O981" s="9">
        <v>1120</v>
      </c>
    </row>
    <row r="982" spans="1:15" ht="18" x14ac:dyDescent="0.35">
      <c r="A982" s="4" t="s">
        <v>1089</v>
      </c>
      <c r="B982" s="5">
        <v>45768</v>
      </c>
      <c r="C982" s="6" t="s">
        <v>26</v>
      </c>
      <c r="D982" s="6" t="s">
        <v>27</v>
      </c>
      <c r="E982" s="6" t="s">
        <v>75</v>
      </c>
      <c r="F982" s="6" t="s">
        <v>29</v>
      </c>
      <c r="G982" s="6" t="s">
        <v>54</v>
      </c>
      <c r="H982" s="6" t="s">
        <v>90</v>
      </c>
      <c r="I982" s="6" t="s">
        <v>91</v>
      </c>
      <c r="J982" s="6" t="s">
        <v>23</v>
      </c>
      <c r="K982" s="6" t="s">
        <v>24</v>
      </c>
      <c r="L982" s="6">
        <v>39</v>
      </c>
      <c r="M982" s="7">
        <v>31990</v>
      </c>
      <c r="N982" s="8">
        <v>0.12</v>
      </c>
      <c r="O982" s="9">
        <v>21800</v>
      </c>
    </row>
    <row r="983" spans="1:15" ht="18" x14ac:dyDescent="0.35">
      <c r="A983" s="4" t="s">
        <v>1090</v>
      </c>
      <c r="B983" s="5">
        <v>45768</v>
      </c>
      <c r="C983" s="6" t="s">
        <v>16</v>
      </c>
      <c r="D983" s="6" t="s">
        <v>126</v>
      </c>
      <c r="E983" s="6" t="s">
        <v>101</v>
      </c>
      <c r="F983" s="6" t="s">
        <v>39</v>
      </c>
      <c r="G983" s="6" t="s">
        <v>70</v>
      </c>
      <c r="H983" s="6" t="s">
        <v>71</v>
      </c>
      <c r="I983" s="6" t="s">
        <v>80</v>
      </c>
      <c r="J983" s="6" t="s">
        <v>23</v>
      </c>
      <c r="K983" s="6" t="s">
        <v>24</v>
      </c>
      <c r="L983" s="6">
        <v>7</v>
      </c>
      <c r="M983" s="7">
        <v>1299</v>
      </c>
      <c r="N983" s="8">
        <v>0.18</v>
      </c>
      <c r="O983" s="9">
        <v>720</v>
      </c>
    </row>
    <row r="984" spans="1:15" ht="18" x14ac:dyDescent="0.35">
      <c r="A984" s="4" t="s">
        <v>1091</v>
      </c>
      <c r="B984" s="5">
        <v>45768</v>
      </c>
      <c r="C984" s="6" t="s">
        <v>82</v>
      </c>
      <c r="D984" s="6" t="s">
        <v>83</v>
      </c>
      <c r="E984" s="6" t="s">
        <v>75</v>
      </c>
      <c r="F984" s="6" t="s">
        <v>19</v>
      </c>
      <c r="G984" s="6" t="s">
        <v>54</v>
      </c>
      <c r="H984" s="6" t="s">
        <v>129</v>
      </c>
      <c r="I984" s="6" t="s">
        <v>192</v>
      </c>
      <c r="J984" s="6" t="s">
        <v>33</v>
      </c>
      <c r="K984" s="6" t="s">
        <v>24</v>
      </c>
      <c r="L984" s="6">
        <v>29</v>
      </c>
      <c r="M984" s="7">
        <v>29010</v>
      </c>
      <c r="N984" s="8">
        <v>0.18</v>
      </c>
      <c r="O984" s="9">
        <v>19100</v>
      </c>
    </row>
    <row r="985" spans="1:15" ht="18" x14ac:dyDescent="0.35">
      <c r="A985" s="4" t="s">
        <v>1092</v>
      </c>
      <c r="B985" s="5">
        <v>45768</v>
      </c>
      <c r="C985" s="6" t="s">
        <v>16</v>
      </c>
      <c r="D985" s="6" t="s">
        <v>98</v>
      </c>
      <c r="E985" s="6" t="s">
        <v>84</v>
      </c>
      <c r="F985" s="6" t="s">
        <v>19</v>
      </c>
      <c r="G985" s="6" t="s">
        <v>20</v>
      </c>
      <c r="H985" s="6" t="s">
        <v>45</v>
      </c>
      <c r="I985" s="6" t="s">
        <v>46</v>
      </c>
      <c r="J985" s="6" t="s">
        <v>33</v>
      </c>
      <c r="K985" s="6" t="s">
        <v>78</v>
      </c>
      <c r="L985" s="6">
        <v>32</v>
      </c>
      <c r="M985" s="7">
        <v>1899</v>
      </c>
      <c r="N985" s="8">
        <v>0.2</v>
      </c>
      <c r="O985" s="9">
        <v>1080</v>
      </c>
    </row>
    <row r="986" spans="1:15" ht="18" x14ac:dyDescent="0.35">
      <c r="A986" s="4" t="s">
        <v>1093</v>
      </c>
      <c r="B986" s="5">
        <v>45769</v>
      </c>
      <c r="C986" s="6" t="s">
        <v>26</v>
      </c>
      <c r="D986" s="6" t="s">
        <v>53</v>
      </c>
      <c r="E986" s="6" t="s">
        <v>69</v>
      </c>
      <c r="F986" s="6" t="s">
        <v>19</v>
      </c>
      <c r="G986" s="6" t="s">
        <v>40</v>
      </c>
      <c r="H986" s="6" t="s">
        <v>76</v>
      </c>
      <c r="I986" s="6" t="s">
        <v>77</v>
      </c>
      <c r="J986" s="6" t="s">
        <v>33</v>
      </c>
      <c r="K986" s="6" t="s">
        <v>24</v>
      </c>
      <c r="L986" s="6">
        <v>38</v>
      </c>
      <c r="M986" s="7">
        <v>52990</v>
      </c>
      <c r="N986" s="8">
        <v>0.08</v>
      </c>
      <c r="O986" s="9">
        <v>39500</v>
      </c>
    </row>
    <row r="987" spans="1:15" ht="18" x14ac:dyDescent="0.35">
      <c r="A987" s="4" t="s">
        <v>1094</v>
      </c>
      <c r="B987" s="5">
        <v>45770</v>
      </c>
      <c r="C987" s="6" t="s">
        <v>26</v>
      </c>
      <c r="D987" s="6" t="s">
        <v>74</v>
      </c>
      <c r="E987" s="6" t="s">
        <v>28</v>
      </c>
      <c r="F987" s="6" t="s">
        <v>19</v>
      </c>
      <c r="G987" s="6" t="s">
        <v>70</v>
      </c>
      <c r="H987" s="6" t="s">
        <v>71</v>
      </c>
      <c r="I987" s="6" t="s">
        <v>88</v>
      </c>
      <c r="J987" s="6" t="s">
        <v>23</v>
      </c>
      <c r="K987" s="6" t="s">
        <v>66</v>
      </c>
      <c r="L987" s="6">
        <v>3</v>
      </c>
      <c r="M987" s="7">
        <v>999</v>
      </c>
      <c r="N987" s="8">
        <v>0.08</v>
      </c>
      <c r="O987" s="9">
        <v>540</v>
      </c>
    </row>
    <row r="988" spans="1:15" ht="18" x14ac:dyDescent="0.35">
      <c r="A988" s="4" t="s">
        <v>1095</v>
      </c>
      <c r="B988" s="5">
        <v>45770</v>
      </c>
      <c r="C988" s="6" t="s">
        <v>36</v>
      </c>
      <c r="D988" s="6" t="s">
        <v>59</v>
      </c>
      <c r="E988" s="6" t="s">
        <v>50</v>
      </c>
      <c r="F988" s="6" t="s">
        <v>39</v>
      </c>
      <c r="G988" s="6" t="s">
        <v>40</v>
      </c>
      <c r="H988" s="6" t="s">
        <v>76</v>
      </c>
      <c r="I988" s="6" t="s">
        <v>113</v>
      </c>
      <c r="J988" s="6" t="s">
        <v>23</v>
      </c>
      <c r="K988" s="6" t="s">
        <v>78</v>
      </c>
      <c r="L988" s="6">
        <v>13</v>
      </c>
      <c r="M988" s="7">
        <v>22999</v>
      </c>
      <c r="N988" s="8">
        <v>0.08</v>
      </c>
      <c r="O988" s="9">
        <v>15100</v>
      </c>
    </row>
    <row r="989" spans="1:15" ht="18" x14ac:dyDescent="0.35">
      <c r="A989" s="4" t="s">
        <v>1096</v>
      </c>
      <c r="B989" s="5">
        <v>45771</v>
      </c>
      <c r="C989" s="6" t="s">
        <v>36</v>
      </c>
      <c r="D989" s="6" t="s">
        <v>59</v>
      </c>
      <c r="E989" s="6" t="s">
        <v>69</v>
      </c>
      <c r="F989" s="6" t="s">
        <v>29</v>
      </c>
      <c r="G989" s="6" t="s">
        <v>40</v>
      </c>
      <c r="H989" s="6" t="s">
        <v>41</v>
      </c>
      <c r="I989" s="6" t="s">
        <v>42</v>
      </c>
      <c r="J989" s="6" t="s">
        <v>57</v>
      </c>
      <c r="K989" s="6" t="s">
        <v>24</v>
      </c>
      <c r="L989" s="6">
        <v>29</v>
      </c>
      <c r="M989" s="7">
        <v>55230</v>
      </c>
      <c r="N989" s="8">
        <v>0.05</v>
      </c>
      <c r="O989" s="9">
        <v>33800</v>
      </c>
    </row>
    <row r="990" spans="1:15" ht="18" x14ac:dyDescent="0.35">
      <c r="A990" s="4" t="s">
        <v>1097</v>
      </c>
      <c r="B990" s="5">
        <v>45771</v>
      </c>
      <c r="C990" s="6" t="s">
        <v>36</v>
      </c>
      <c r="D990" s="6" t="s">
        <v>121</v>
      </c>
      <c r="E990" s="6" t="s">
        <v>69</v>
      </c>
      <c r="F990" s="6" t="s">
        <v>19</v>
      </c>
      <c r="G990" s="6" t="s">
        <v>30</v>
      </c>
      <c r="H990" s="6" t="s">
        <v>31</v>
      </c>
      <c r="I990" s="6" t="s">
        <v>106</v>
      </c>
      <c r="J990" s="6" t="s">
        <v>33</v>
      </c>
      <c r="K990" s="6" t="s">
        <v>78</v>
      </c>
      <c r="L990" s="6">
        <v>39</v>
      </c>
      <c r="M990" s="7">
        <v>52990</v>
      </c>
      <c r="N990" s="8">
        <v>0.15</v>
      </c>
      <c r="O990" s="9">
        <v>35100</v>
      </c>
    </row>
    <row r="991" spans="1:15" ht="18" x14ac:dyDescent="0.35">
      <c r="A991" s="4" t="s">
        <v>1098</v>
      </c>
      <c r="B991" s="5">
        <v>45771</v>
      </c>
      <c r="C991" s="6" t="s">
        <v>16</v>
      </c>
      <c r="D991" s="6" t="s">
        <v>126</v>
      </c>
      <c r="E991" s="6" t="s">
        <v>50</v>
      </c>
      <c r="F991" s="6" t="s">
        <v>19</v>
      </c>
      <c r="G991" s="6" t="s">
        <v>70</v>
      </c>
      <c r="H991" s="6" t="s">
        <v>71</v>
      </c>
      <c r="I991" s="6" t="s">
        <v>72</v>
      </c>
      <c r="J991" s="6" t="s">
        <v>57</v>
      </c>
      <c r="K991" s="6" t="s">
        <v>66</v>
      </c>
      <c r="L991" s="6">
        <v>38</v>
      </c>
      <c r="M991" s="7">
        <v>3499</v>
      </c>
      <c r="N991" s="8">
        <v>0.05</v>
      </c>
      <c r="O991" s="9">
        <v>2190</v>
      </c>
    </row>
    <row r="992" spans="1:15" ht="18" x14ac:dyDescent="0.35">
      <c r="A992" s="4" t="s">
        <v>1099</v>
      </c>
      <c r="B992" s="5">
        <v>45772</v>
      </c>
      <c r="C992" s="6" t="s">
        <v>26</v>
      </c>
      <c r="D992" s="6" t="s">
        <v>74</v>
      </c>
      <c r="E992" s="6" t="s">
        <v>101</v>
      </c>
      <c r="F992" s="6" t="s">
        <v>29</v>
      </c>
      <c r="G992" s="6" t="s">
        <v>70</v>
      </c>
      <c r="H992" s="6" t="s">
        <v>71</v>
      </c>
      <c r="I992" s="6" t="s">
        <v>72</v>
      </c>
      <c r="J992" s="6" t="s">
        <v>57</v>
      </c>
      <c r="K992" s="6" t="s">
        <v>78</v>
      </c>
      <c r="L992" s="6">
        <v>3</v>
      </c>
      <c r="M992" s="7">
        <v>3499</v>
      </c>
      <c r="N992" s="8">
        <v>0.18</v>
      </c>
      <c r="O992" s="9">
        <v>2190</v>
      </c>
    </row>
    <row r="993" spans="1:15" ht="18" x14ac:dyDescent="0.35">
      <c r="A993" s="4" t="s">
        <v>1100</v>
      </c>
      <c r="B993" s="5">
        <v>45772</v>
      </c>
      <c r="C993" s="6" t="s">
        <v>48</v>
      </c>
      <c r="D993" s="6" t="s">
        <v>68</v>
      </c>
      <c r="E993" s="6" t="s">
        <v>105</v>
      </c>
      <c r="F993" s="6" t="s">
        <v>29</v>
      </c>
      <c r="G993" s="6" t="s">
        <v>30</v>
      </c>
      <c r="H993" s="6" t="s">
        <v>31</v>
      </c>
      <c r="I993" s="6" t="s">
        <v>85</v>
      </c>
      <c r="J993" s="6" t="s">
        <v>23</v>
      </c>
      <c r="K993" s="6" t="s">
        <v>34</v>
      </c>
      <c r="L993" s="6">
        <v>16</v>
      </c>
      <c r="M993" s="7">
        <v>43500</v>
      </c>
      <c r="N993" s="8">
        <v>0.08</v>
      </c>
      <c r="O993" s="9">
        <v>29520</v>
      </c>
    </row>
    <row r="994" spans="1:15" ht="18" x14ac:dyDescent="0.35">
      <c r="A994" s="4" t="s">
        <v>1101</v>
      </c>
      <c r="B994" s="5">
        <v>45772</v>
      </c>
      <c r="C994" s="6" t="s">
        <v>16</v>
      </c>
      <c r="D994" s="6" t="s">
        <v>17</v>
      </c>
      <c r="E994" s="6" t="s">
        <v>69</v>
      </c>
      <c r="F994" s="6" t="s">
        <v>39</v>
      </c>
      <c r="G994" s="6" t="s">
        <v>40</v>
      </c>
      <c r="H994" s="6" t="s">
        <v>64</v>
      </c>
      <c r="I994" s="6" t="s">
        <v>153</v>
      </c>
      <c r="J994" s="6" t="s">
        <v>33</v>
      </c>
      <c r="K994" s="6" t="s">
        <v>34</v>
      </c>
      <c r="L994" s="6">
        <v>6</v>
      </c>
      <c r="M994" s="7">
        <v>4490</v>
      </c>
      <c r="N994" s="8">
        <v>0.05</v>
      </c>
      <c r="O994" s="9">
        <v>2950</v>
      </c>
    </row>
    <row r="995" spans="1:15" ht="18" x14ac:dyDescent="0.35">
      <c r="A995" s="4" t="s">
        <v>1102</v>
      </c>
      <c r="B995" s="5">
        <v>45772</v>
      </c>
      <c r="C995" s="6" t="s">
        <v>82</v>
      </c>
      <c r="D995" s="6" t="s">
        <v>183</v>
      </c>
      <c r="E995" s="6" t="s">
        <v>18</v>
      </c>
      <c r="F995" s="6" t="s">
        <v>29</v>
      </c>
      <c r="G995" s="6" t="s">
        <v>20</v>
      </c>
      <c r="H995" s="6" t="s">
        <v>21</v>
      </c>
      <c r="I995" s="6" t="s">
        <v>22</v>
      </c>
      <c r="J995" s="6" t="s">
        <v>33</v>
      </c>
      <c r="K995" s="6" t="s">
        <v>34</v>
      </c>
      <c r="L995" s="6">
        <v>37</v>
      </c>
      <c r="M995" s="7">
        <v>4499</v>
      </c>
      <c r="N995" s="8">
        <v>0.05</v>
      </c>
      <c r="O995" s="9">
        <v>2910</v>
      </c>
    </row>
    <row r="996" spans="1:15" ht="18" x14ac:dyDescent="0.35">
      <c r="A996" s="4" t="s">
        <v>1103</v>
      </c>
      <c r="B996" s="5">
        <v>45773</v>
      </c>
      <c r="C996" s="6" t="s">
        <v>36</v>
      </c>
      <c r="D996" s="6" t="s">
        <v>44</v>
      </c>
      <c r="E996" s="6" t="s">
        <v>18</v>
      </c>
      <c r="F996" s="6" t="s">
        <v>19</v>
      </c>
      <c r="G996" s="6" t="s">
        <v>30</v>
      </c>
      <c r="H996" s="6" t="s">
        <v>31</v>
      </c>
      <c r="I996" s="6" t="s">
        <v>85</v>
      </c>
      <c r="J996" s="6" t="s">
        <v>57</v>
      </c>
      <c r="K996" s="6" t="s">
        <v>24</v>
      </c>
      <c r="L996" s="6">
        <v>14</v>
      </c>
      <c r="M996" s="7">
        <v>43500</v>
      </c>
      <c r="N996" s="8">
        <v>0.2</v>
      </c>
      <c r="O996" s="9">
        <v>29520</v>
      </c>
    </row>
    <row r="997" spans="1:15" ht="18" x14ac:dyDescent="0.35">
      <c r="A997" s="4" t="s">
        <v>1104</v>
      </c>
      <c r="B997" s="5">
        <v>45774</v>
      </c>
      <c r="C997" s="6" t="s">
        <v>26</v>
      </c>
      <c r="D997" s="6" t="s">
        <v>27</v>
      </c>
      <c r="E997" s="6" t="s">
        <v>28</v>
      </c>
      <c r="F997" s="6" t="s">
        <v>29</v>
      </c>
      <c r="G997" s="6" t="s">
        <v>20</v>
      </c>
      <c r="H997" s="6" t="s">
        <v>21</v>
      </c>
      <c r="I997" s="6" t="s">
        <v>115</v>
      </c>
      <c r="J997" s="6" t="s">
        <v>33</v>
      </c>
      <c r="K997" s="6" t="s">
        <v>78</v>
      </c>
      <c r="L997" s="6">
        <v>19</v>
      </c>
      <c r="M997" s="7">
        <v>6499</v>
      </c>
      <c r="N997" s="8">
        <v>0.2</v>
      </c>
      <c r="O997" s="9">
        <v>4210</v>
      </c>
    </row>
    <row r="998" spans="1:15" ht="18" x14ac:dyDescent="0.35">
      <c r="A998" s="4" t="s">
        <v>1105</v>
      </c>
      <c r="B998" s="5">
        <v>45774</v>
      </c>
      <c r="C998" s="6" t="s">
        <v>48</v>
      </c>
      <c r="D998" s="6" t="s">
        <v>49</v>
      </c>
      <c r="E998" s="6" t="s">
        <v>28</v>
      </c>
      <c r="F998" s="6" t="s">
        <v>39</v>
      </c>
      <c r="G998" s="6" t="s">
        <v>54</v>
      </c>
      <c r="H998" s="6" t="s">
        <v>129</v>
      </c>
      <c r="I998" s="6" t="s">
        <v>145</v>
      </c>
      <c r="J998" s="6" t="s">
        <v>57</v>
      </c>
      <c r="K998" s="6" t="s">
        <v>34</v>
      </c>
      <c r="L998" s="6">
        <v>20</v>
      </c>
      <c r="M998" s="7">
        <v>31490</v>
      </c>
      <c r="N998" s="8">
        <v>0.2</v>
      </c>
      <c r="O998" s="9">
        <v>21300</v>
      </c>
    </row>
    <row r="999" spans="1:15" ht="18" x14ac:dyDescent="0.35">
      <c r="A999" s="4" t="s">
        <v>1106</v>
      </c>
      <c r="B999" s="5">
        <v>45774</v>
      </c>
      <c r="C999" s="6" t="s">
        <v>82</v>
      </c>
      <c r="D999" s="6" t="s">
        <v>83</v>
      </c>
      <c r="E999" s="6" t="s">
        <v>69</v>
      </c>
      <c r="F999" s="6" t="s">
        <v>19</v>
      </c>
      <c r="G999" s="6" t="s">
        <v>54</v>
      </c>
      <c r="H999" s="6" t="s">
        <v>90</v>
      </c>
      <c r="I999" s="6" t="s">
        <v>134</v>
      </c>
      <c r="J999" s="6" t="s">
        <v>57</v>
      </c>
      <c r="K999" s="6" t="s">
        <v>24</v>
      </c>
      <c r="L999" s="6">
        <v>40</v>
      </c>
      <c r="M999" s="7">
        <v>32800</v>
      </c>
      <c r="N999" s="8">
        <v>0.15</v>
      </c>
      <c r="O999" s="9">
        <v>23100</v>
      </c>
    </row>
    <row r="1000" spans="1:15" ht="18" x14ac:dyDescent="0.35">
      <c r="A1000" s="4" t="s">
        <v>1107</v>
      </c>
      <c r="B1000" s="5">
        <v>45775</v>
      </c>
      <c r="C1000" s="6" t="s">
        <v>26</v>
      </c>
      <c r="D1000" s="6" t="s">
        <v>74</v>
      </c>
      <c r="E1000" s="6" t="s">
        <v>60</v>
      </c>
      <c r="F1000" s="6" t="s">
        <v>19</v>
      </c>
      <c r="G1000" s="6" t="s">
        <v>30</v>
      </c>
      <c r="H1000" s="6" t="s">
        <v>31</v>
      </c>
      <c r="I1000" s="6" t="s">
        <v>106</v>
      </c>
      <c r="J1000" s="6" t="s">
        <v>57</v>
      </c>
      <c r="K1000" s="6" t="s">
        <v>24</v>
      </c>
      <c r="L1000" s="6">
        <v>28</v>
      </c>
      <c r="M1000" s="7">
        <v>52990</v>
      </c>
      <c r="N1000" s="8">
        <v>0.15</v>
      </c>
      <c r="O1000" s="9">
        <v>35100</v>
      </c>
    </row>
    <row r="1001" spans="1:15" ht="18" x14ac:dyDescent="0.35">
      <c r="A1001" s="4" t="s">
        <v>1108</v>
      </c>
      <c r="B1001" s="5">
        <v>45775</v>
      </c>
      <c r="C1001" s="6" t="s">
        <v>16</v>
      </c>
      <c r="D1001" s="6" t="s">
        <v>126</v>
      </c>
      <c r="E1001" s="6" t="s">
        <v>75</v>
      </c>
      <c r="F1001" s="6" t="s">
        <v>39</v>
      </c>
      <c r="G1001" s="6" t="s">
        <v>20</v>
      </c>
      <c r="H1001" s="6" t="s">
        <v>21</v>
      </c>
      <c r="I1001" s="6" t="s">
        <v>115</v>
      </c>
      <c r="J1001" s="6" t="s">
        <v>33</v>
      </c>
      <c r="K1001" s="6" t="s">
        <v>78</v>
      </c>
      <c r="L1001" s="6">
        <v>3</v>
      </c>
      <c r="M1001" s="7">
        <v>6499</v>
      </c>
      <c r="N1001" s="8">
        <v>0.08</v>
      </c>
      <c r="O1001" s="9">
        <v>4210</v>
      </c>
    </row>
    <row r="1002" spans="1:15" ht="18" x14ac:dyDescent="0.35">
      <c r="A1002" s="4" t="s">
        <v>1109</v>
      </c>
      <c r="B1002" s="5">
        <v>45776</v>
      </c>
      <c r="C1002" s="6" t="s">
        <v>16</v>
      </c>
      <c r="D1002" s="6" t="s">
        <v>126</v>
      </c>
      <c r="E1002" s="6" t="s">
        <v>50</v>
      </c>
      <c r="F1002" s="6" t="s">
        <v>29</v>
      </c>
      <c r="G1002" s="6" t="s">
        <v>30</v>
      </c>
      <c r="H1002" s="6" t="s">
        <v>31</v>
      </c>
      <c r="I1002" s="6" t="s">
        <v>106</v>
      </c>
      <c r="J1002" s="6" t="s">
        <v>23</v>
      </c>
      <c r="K1002" s="6" t="s">
        <v>24</v>
      </c>
      <c r="L1002" s="6">
        <v>20</v>
      </c>
      <c r="M1002" s="7">
        <v>52990</v>
      </c>
      <c r="N1002" s="8">
        <v>0.2</v>
      </c>
      <c r="O1002" s="9">
        <v>35100</v>
      </c>
    </row>
    <row r="1003" spans="1:15" ht="18" x14ac:dyDescent="0.35">
      <c r="A1003" s="4" t="s">
        <v>1110</v>
      </c>
      <c r="B1003" s="5">
        <v>45776</v>
      </c>
      <c r="C1003" s="6" t="s">
        <v>82</v>
      </c>
      <c r="D1003" s="6" t="s">
        <v>87</v>
      </c>
      <c r="E1003" s="6" t="s">
        <v>75</v>
      </c>
      <c r="F1003" s="6" t="s">
        <v>39</v>
      </c>
      <c r="G1003" s="6" t="s">
        <v>40</v>
      </c>
      <c r="H1003" s="6" t="s">
        <v>64</v>
      </c>
      <c r="I1003" s="6" t="s">
        <v>159</v>
      </c>
      <c r="J1003" s="6" t="s">
        <v>23</v>
      </c>
      <c r="K1003" s="6" t="s">
        <v>66</v>
      </c>
      <c r="L1003" s="6">
        <v>32</v>
      </c>
      <c r="M1003" s="7">
        <v>3299</v>
      </c>
      <c r="N1003" s="8">
        <v>0.2</v>
      </c>
      <c r="O1003" s="9">
        <v>2050</v>
      </c>
    </row>
    <row r="1004" spans="1:15" ht="18" x14ac:dyDescent="0.35">
      <c r="A1004" s="4" t="s">
        <v>1111</v>
      </c>
      <c r="B1004" s="5">
        <v>45777</v>
      </c>
      <c r="C1004" s="6" t="s">
        <v>16</v>
      </c>
      <c r="D1004" s="6" t="s">
        <v>126</v>
      </c>
      <c r="E1004" s="6" t="s">
        <v>84</v>
      </c>
      <c r="F1004" s="6" t="s">
        <v>19</v>
      </c>
      <c r="G1004" s="6" t="s">
        <v>40</v>
      </c>
      <c r="H1004" s="6" t="s">
        <v>64</v>
      </c>
      <c r="I1004" s="6" t="s">
        <v>153</v>
      </c>
      <c r="J1004" s="6" t="s">
        <v>57</v>
      </c>
      <c r="K1004" s="6" t="s">
        <v>34</v>
      </c>
      <c r="L1004" s="6">
        <v>33</v>
      </c>
      <c r="M1004" s="7">
        <v>4490</v>
      </c>
      <c r="N1004" s="8">
        <v>0.18</v>
      </c>
      <c r="O1004" s="9">
        <v>2950</v>
      </c>
    </row>
    <row r="1005" spans="1:15" ht="18" x14ac:dyDescent="0.35">
      <c r="A1005" s="4" t="s">
        <v>1112</v>
      </c>
      <c r="B1005" s="5">
        <v>45778</v>
      </c>
      <c r="C1005" s="6" t="s">
        <v>82</v>
      </c>
      <c r="D1005" s="6" t="s">
        <v>183</v>
      </c>
      <c r="E1005" s="6" t="s">
        <v>101</v>
      </c>
      <c r="F1005" s="6" t="s">
        <v>29</v>
      </c>
      <c r="G1005" s="6" t="s">
        <v>20</v>
      </c>
      <c r="H1005" s="6" t="s">
        <v>21</v>
      </c>
      <c r="I1005" s="6" t="s">
        <v>51</v>
      </c>
      <c r="J1005" s="6" t="s">
        <v>33</v>
      </c>
      <c r="K1005" s="6" t="s">
        <v>24</v>
      </c>
      <c r="L1005" s="6">
        <v>2</v>
      </c>
      <c r="M1005" s="7">
        <v>5999</v>
      </c>
      <c r="N1005" s="8">
        <v>0.15</v>
      </c>
      <c r="O1005" s="9">
        <v>3890</v>
      </c>
    </row>
    <row r="1006" spans="1:15" ht="18" x14ac:dyDescent="0.35">
      <c r="A1006" s="4" t="s">
        <v>1113</v>
      </c>
      <c r="B1006" s="5">
        <v>45778</v>
      </c>
      <c r="C1006" s="6" t="s">
        <v>36</v>
      </c>
      <c r="D1006" s="6" t="s">
        <v>44</v>
      </c>
      <c r="E1006" s="6" t="s">
        <v>75</v>
      </c>
      <c r="F1006" s="6" t="s">
        <v>19</v>
      </c>
      <c r="G1006" s="6" t="s">
        <v>54</v>
      </c>
      <c r="H1006" s="6" t="s">
        <v>129</v>
      </c>
      <c r="I1006" s="6" t="s">
        <v>145</v>
      </c>
      <c r="J1006" s="6" t="s">
        <v>23</v>
      </c>
      <c r="K1006" s="6" t="s">
        <v>34</v>
      </c>
      <c r="L1006" s="6">
        <v>21</v>
      </c>
      <c r="M1006" s="7">
        <v>31490</v>
      </c>
      <c r="N1006" s="8">
        <v>0.18</v>
      </c>
      <c r="O1006" s="9">
        <v>21300</v>
      </c>
    </row>
    <row r="1007" spans="1:15" ht="18" x14ac:dyDescent="0.35">
      <c r="A1007" s="4" t="s">
        <v>1114</v>
      </c>
      <c r="B1007" s="5">
        <v>45778</v>
      </c>
      <c r="C1007" s="6" t="s">
        <v>48</v>
      </c>
      <c r="D1007" s="6" t="s">
        <v>136</v>
      </c>
      <c r="E1007" s="6" t="s">
        <v>28</v>
      </c>
      <c r="F1007" s="6" t="s">
        <v>29</v>
      </c>
      <c r="G1007" s="6" t="s">
        <v>40</v>
      </c>
      <c r="H1007" s="6" t="s">
        <v>41</v>
      </c>
      <c r="I1007" s="6" t="s">
        <v>156</v>
      </c>
      <c r="J1007" s="6" t="s">
        <v>33</v>
      </c>
      <c r="K1007" s="6" t="s">
        <v>78</v>
      </c>
      <c r="L1007" s="6">
        <v>11</v>
      </c>
      <c r="M1007" s="7">
        <v>48500</v>
      </c>
      <c r="N1007" s="8">
        <v>0.18</v>
      </c>
      <c r="O1007" s="9">
        <v>30200</v>
      </c>
    </row>
    <row r="1008" spans="1:15" ht="18" x14ac:dyDescent="0.35">
      <c r="A1008" s="4" t="s">
        <v>1115</v>
      </c>
      <c r="B1008" s="5">
        <v>45779</v>
      </c>
      <c r="C1008" s="6" t="s">
        <v>36</v>
      </c>
      <c r="D1008" s="6" t="s">
        <v>59</v>
      </c>
      <c r="E1008" s="6" t="s">
        <v>101</v>
      </c>
      <c r="F1008" s="6" t="s">
        <v>19</v>
      </c>
      <c r="G1008" s="6" t="s">
        <v>40</v>
      </c>
      <c r="H1008" s="6" t="s">
        <v>64</v>
      </c>
      <c r="I1008" s="6" t="s">
        <v>153</v>
      </c>
      <c r="J1008" s="6" t="s">
        <v>23</v>
      </c>
      <c r="K1008" s="6" t="s">
        <v>66</v>
      </c>
      <c r="L1008" s="6">
        <v>10</v>
      </c>
      <c r="M1008" s="7">
        <v>4490</v>
      </c>
      <c r="N1008" s="8">
        <v>0.05</v>
      </c>
      <c r="O1008" s="9">
        <v>2950</v>
      </c>
    </row>
    <row r="1009" spans="1:15" ht="18" x14ac:dyDescent="0.35">
      <c r="A1009" s="4" t="s">
        <v>1116</v>
      </c>
      <c r="B1009" s="5">
        <v>45779</v>
      </c>
      <c r="C1009" s="6" t="s">
        <v>82</v>
      </c>
      <c r="D1009" s="6" t="s">
        <v>100</v>
      </c>
      <c r="E1009" s="6" t="s">
        <v>84</v>
      </c>
      <c r="F1009" s="6" t="s">
        <v>39</v>
      </c>
      <c r="G1009" s="6" t="s">
        <v>40</v>
      </c>
      <c r="H1009" s="6" t="s">
        <v>76</v>
      </c>
      <c r="I1009" s="6" t="s">
        <v>77</v>
      </c>
      <c r="J1009" s="6" t="s">
        <v>57</v>
      </c>
      <c r="K1009" s="6" t="s">
        <v>24</v>
      </c>
      <c r="L1009" s="6">
        <v>15</v>
      </c>
      <c r="M1009" s="7">
        <v>52990</v>
      </c>
      <c r="N1009" s="8">
        <v>0.2</v>
      </c>
      <c r="O1009" s="9">
        <v>39500</v>
      </c>
    </row>
    <row r="1010" spans="1:15" ht="18" x14ac:dyDescent="0.35">
      <c r="A1010" s="4" t="s">
        <v>1117</v>
      </c>
      <c r="B1010" s="5">
        <v>45779</v>
      </c>
      <c r="C1010" s="6" t="s">
        <v>48</v>
      </c>
      <c r="D1010" s="6" t="s">
        <v>49</v>
      </c>
      <c r="E1010" s="6" t="s">
        <v>75</v>
      </c>
      <c r="F1010" s="6" t="s">
        <v>39</v>
      </c>
      <c r="G1010" s="6" t="s">
        <v>20</v>
      </c>
      <c r="H1010" s="6" t="s">
        <v>45</v>
      </c>
      <c r="I1010" s="6" t="s">
        <v>103</v>
      </c>
      <c r="J1010" s="6" t="s">
        <v>23</v>
      </c>
      <c r="K1010" s="6" t="s">
        <v>78</v>
      </c>
      <c r="L1010" s="6">
        <v>25</v>
      </c>
      <c r="M1010" s="7">
        <v>1599</v>
      </c>
      <c r="N1010" s="8">
        <v>0.12</v>
      </c>
      <c r="O1010" s="9">
        <v>920</v>
      </c>
    </row>
    <row r="1011" spans="1:15" ht="18" x14ac:dyDescent="0.35">
      <c r="A1011" s="4" t="s">
        <v>1118</v>
      </c>
      <c r="B1011" s="5">
        <v>45781</v>
      </c>
      <c r="C1011" s="6" t="s">
        <v>36</v>
      </c>
      <c r="D1011" s="6" t="s">
        <v>59</v>
      </c>
      <c r="E1011" s="6" t="s">
        <v>50</v>
      </c>
      <c r="F1011" s="6" t="s">
        <v>19</v>
      </c>
      <c r="G1011" s="6" t="s">
        <v>54</v>
      </c>
      <c r="H1011" s="6" t="s">
        <v>129</v>
      </c>
      <c r="I1011" s="6" t="s">
        <v>130</v>
      </c>
      <c r="J1011" s="6" t="s">
        <v>57</v>
      </c>
      <c r="K1011" s="6" t="s">
        <v>24</v>
      </c>
      <c r="L1011" s="6">
        <v>3</v>
      </c>
      <c r="M1011" s="7">
        <v>27890</v>
      </c>
      <c r="N1011" s="8">
        <v>0.05</v>
      </c>
      <c r="O1011" s="9">
        <v>18800</v>
      </c>
    </row>
    <row r="1012" spans="1:15" ht="18" x14ac:dyDescent="0.35">
      <c r="A1012" s="4" t="s">
        <v>1119</v>
      </c>
      <c r="B1012" s="5">
        <v>45782</v>
      </c>
      <c r="C1012" s="6" t="s">
        <v>36</v>
      </c>
      <c r="D1012" s="6" t="s">
        <v>37</v>
      </c>
      <c r="E1012" s="6" t="s">
        <v>18</v>
      </c>
      <c r="F1012" s="6" t="s">
        <v>29</v>
      </c>
      <c r="G1012" s="6" t="s">
        <v>70</v>
      </c>
      <c r="H1012" s="6" t="s">
        <v>71</v>
      </c>
      <c r="I1012" s="6" t="s">
        <v>72</v>
      </c>
      <c r="J1012" s="6" t="s">
        <v>33</v>
      </c>
      <c r="K1012" s="6" t="s">
        <v>66</v>
      </c>
      <c r="L1012" s="6">
        <v>28</v>
      </c>
      <c r="M1012" s="7">
        <v>3499</v>
      </c>
      <c r="N1012" s="8">
        <v>0.2</v>
      </c>
      <c r="O1012" s="9">
        <v>2190</v>
      </c>
    </row>
    <row r="1013" spans="1:15" ht="18" x14ac:dyDescent="0.35">
      <c r="A1013" s="4" t="s">
        <v>1120</v>
      </c>
      <c r="B1013" s="5">
        <v>45782</v>
      </c>
      <c r="C1013" s="6" t="s">
        <v>48</v>
      </c>
      <c r="D1013" s="6" t="s">
        <v>136</v>
      </c>
      <c r="E1013" s="6" t="s">
        <v>60</v>
      </c>
      <c r="F1013" s="6" t="s">
        <v>19</v>
      </c>
      <c r="G1013" s="6" t="s">
        <v>70</v>
      </c>
      <c r="H1013" s="6" t="s">
        <v>71</v>
      </c>
      <c r="I1013" s="6" t="s">
        <v>80</v>
      </c>
      <c r="J1013" s="6" t="s">
        <v>57</v>
      </c>
      <c r="K1013" s="6" t="s">
        <v>24</v>
      </c>
      <c r="L1013" s="6">
        <v>31</v>
      </c>
      <c r="M1013" s="7">
        <v>1299</v>
      </c>
      <c r="N1013" s="8">
        <v>0.08</v>
      </c>
      <c r="O1013" s="9">
        <v>720</v>
      </c>
    </row>
    <row r="1014" spans="1:15" ht="18" x14ac:dyDescent="0.35">
      <c r="A1014" s="4" t="s">
        <v>1121</v>
      </c>
      <c r="B1014" s="5">
        <v>45783</v>
      </c>
      <c r="C1014" s="6" t="s">
        <v>26</v>
      </c>
      <c r="D1014" s="6" t="s">
        <v>27</v>
      </c>
      <c r="E1014" s="6" t="s">
        <v>18</v>
      </c>
      <c r="F1014" s="6" t="s">
        <v>19</v>
      </c>
      <c r="G1014" s="6" t="s">
        <v>70</v>
      </c>
      <c r="H1014" s="6" t="s">
        <v>71</v>
      </c>
      <c r="I1014" s="6" t="s">
        <v>72</v>
      </c>
      <c r="J1014" s="6" t="s">
        <v>57</v>
      </c>
      <c r="K1014" s="6" t="s">
        <v>66</v>
      </c>
      <c r="L1014" s="6">
        <v>35</v>
      </c>
      <c r="M1014" s="7">
        <v>3499</v>
      </c>
      <c r="N1014" s="8">
        <v>0.15</v>
      </c>
      <c r="O1014" s="9">
        <v>2190</v>
      </c>
    </row>
    <row r="1015" spans="1:15" ht="18" x14ac:dyDescent="0.35">
      <c r="A1015" s="4" t="s">
        <v>1122</v>
      </c>
      <c r="B1015" s="5">
        <v>45784</v>
      </c>
      <c r="C1015" s="6" t="s">
        <v>26</v>
      </c>
      <c r="D1015" s="6" t="s">
        <v>53</v>
      </c>
      <c r="E1015" s="6" t="s">
        <v>50</v>
      </c>
      <c r="F1015" s="6" t="s">
        <v>29</v>
      </c>
      <c r="G1015" s="6" t="s">
        <v>70</v>
      </c>
      <c r="H1015" s="6" t="s">
        <v>71</v>
      </c>
      <c r="I1015" s="6" t="s">
        <v>80</v>
      </c>
      <c r="J1015" s="6" t="s">
        <v>57</v>
      </c>
      <c r="K1015" s="6" t="s">
        <v>24</v>
      </c>
      <c r="L1015" s="6">
        <v>17</v>
      </c>
      <c r="M1015" s="7">
        <v>1299</v>
      </c>
      <c r="N1015" s="8">
        <v>0.18</v>
      </c>
      <c r="O1015" s="9">
        <v>720</v>
      </c>
    </row>
    <row r="1016" spans="1:15" ht="18" x14ac:dyDescent="0.35">
      <c r="A1016" s="4" t="s">
        <v>1123</v>
      </c>
      <c r="B1016" s="5">
        <v>45785</v>
      </c>
      <c r="C1016" s="6" t="s">
        <v>16</v>
      </c>
      <c r="D1016" s="6" t="s">
        <v>98</v>
      </c>
      <c r="E1016" s="6" t="s">
        <v>18</v>
      </c>
      <c r="F1016" s="6" t="s">
        <v>39</v>
      </c>
      <c r="G1016" s="6" t="s">
        <v>30</v>
      </c>
      <c r="H1016" s="6" t="s">
        <v>31</v>
      </c>
      <c r="I1016" s="6" t="s">
        <v>85</v>
      </c>
      <c r="J1016" s="6" t="s">
        <v>33</v>
      </c>
      <c r="K1016" s="6" t="s">
        <v>78</v>
      </c>
      <c r="L1016" s="6">
        <v>4</v>
      </c>
      <c r="M1016" s="7">
        <v>43500</v>
      </c>
      <c r="N1016" s="8">
        <v>0.18</v>
      </c>
      <c r="O1016" s="9">
        <v>29520</v>
      </c>
    </row>
    <row r="1017" spans="1:15" ht="18" x14ac:dyDescent="0.35">
      <c r="A1017" s="4" t="s">
        <v>1124</v>
      </c>
      <c r="B1017" s="5">
        <v>45785</v>
      </c>
      <c r="C1017" s="6" t="s">
        <v>82</v>
      </c>
      <c r="D1017" s="6" t="s">
        <v>183</v>
      </c>
      <c r="E1017" s="6" t="s">
        <v>50</v>
      </c>
      <c r="F1017" s="6" t="s">
        <v>29</v>
      </c>
      <c r="G1017" s="6" t="s">
        <v>20</v>
      </c>
      <c r="H1017" s="6" t="s">
        <v>45</v>
      </c>
      <c r="I1017" s="6" t="s">
        <v>46</v>
      </c>
      <c r="J1017" s="6" t="s">
        <v>33</v>
      </c>
      <c r="K1017" s="6" t="s">
        <v>24</v>
      </c>
      <c r="L1017" s="6">
        <v>3</v>
      </c>
      <c r="M1017" s="7">
        <v>1899</v>
      </c>
      <c r="N1017" s="8">
        <v>0.08</v>
      </c>
      <c r="O1017" s="9">
        <v>1080</v>
      </c>
    </row>
    <row r="1018" spans="1:15" ht="18" x14ac:dyDescent="0.35">
      <c r="A1018" s="4" t="s">
        <v>1125</v>
      </c>
      <c r="B1018" s="5">
        <v>45786</v>
      </c>
      <c r="C1018" s="6" t="s">
        <v>36</v>
      </c>
      <c r="D1018" s="6" t="s">
        <v>37</v>
      </c>
      <c r="E1018" s="6" t="s">
        <v>75</v>
      </c>
      <c r="F1018" s="6" t="s">
        <v>19</v>
      </c>
      <c r="G1018" s="6" t="s">
        <v>30</v>
      </c>
      <c r="H1018" s="6" t="s">
        <v>61</v>
      </c>
      <c r="I1018" s="6" t="s">
        <v>186</v>
      </c>
      <c r="J1018" s="6" t="s">
        <v>57</v>
      </c>
      <c r="K1018" s="6" t="s">
        <v>66</v>
      </c>
      <c r="L1018" s="6">
        <v>1</v>
      </c>
      <c r="M1018" s="7">
        <v>6999</v>
      </c>
      <c r="N1018" s="8">
        <v>0.05</v>
      </c>
      <c r="O1018" s="9">
        <v>4320</v>
      </c>
    </row>
    <row r="1019" spans="1:15" ht="18" x14ac:dyDescent="0.35">
      <c r="A1019" s="4" t="s">
        <v>1126</v>
      </c>
      <c r="B1019" s="5">
        <v>45787</v>
      </c>
      <c r="C1019" s="6" t="s">
        <v>26</v>
      </c>
      <c r="D1019" s="6" t="s">
        <v>27</v>
      </c>
      <c r="E1019" s="6" t="s">
        <v>105</v>
      </c>
      <c r="F1019" s="6" t="s">
        <v>19</v>
      </c>
      <c r="G1019" s="6" t="s">
        <v>20</v>
      </c>
      <c r="H1019" s="6" t="s">
        <v>21</v>
      </c>
      <c r="I1019" s="6" t="s">
        <v>115</v>
      </c>
      <c r="J1019" s="6" t="s">
        <v>33</v>
      </c>
      <c r="K1019" s="6" t="s">
        <v>24</v>
      </c>
      <c r="L1019" s="6">
        <v>28</v>
      </c>
      <c r="M1019" s="7">
        <v>6499</v>
      </c>
      <c r="N1019" s="8">
        <v>0.1</v>
      </c>
      <c r="O1019" s="9">
        <v>4210</v>
      </c>
    </row>
    <row r="1020" spans="1:15" ht="18" x14ac:dyDescent="0.35">
      <c r="A1020" s="4" t="s">
        <v>1127</v>
      </c>
      <c r="B1020" s="5">
        <v>45787</v>
      </c>
      <c r="C1020" s="6" t="s">
        <v>82</v>
      </c>
      <c r="D1020" s="6" t="s">
        <v>100</v>
      </c>
      <c r="E1020" s="6" t="s">
        <v>75</v>
      </c>
      <c r="F1020" s="6" t="s">
        <v>39</v>
      </c>
      <c r="G1020" s="6" t="s">
        <v>30</v>
      </c>
      <c r="H1020" s="6" t="s">
        <v>61</v>
      </c>
      <c r="I1020" s="6" t="s">
        <v>186</v>
      </c>
      <c r="J1020" s="6" t="s">
        <v>57</v>
      </c>
      <c r="K1020" s="6" t="s">
        <v>24</v>
      </c>
      <c r="L1020" s="6">
        <v>30</v>
      </c>
      <c r="M1020" s="7">
        <v>6999</v>
      </c>
      <c r="N1020" s="8">
        <v>0.2</v>
      </c>
      <c r="O1020" s="9">
        <v>4320</v>
      </c>
    </row>
    <row r="1021" spans="1:15" ht="18" x14ac:dyDescent="0.35">
      <c r="A1021" s="4" t="s">
        <v>1128</v>
      </c>
      <c r="B1021" s="5">
        <v>45787</v>
      </c>
      <c r="C1021" s="6" t="s">
        <v>16</v>
      </c>
      <c r="D1021" s="6" t="s">
        <v>17</v>
      </c>
      <c r="E1021" s="6" t="s">
        <v>50</v>
      </c>
      <c r="F1021" s="6" t="s">
        <v>19</v>
      </c>
      <c r="G1021" s="6" t="s">
        <v>30</v>
      </c>
      <c r="H1021" s="6" t="s">
        <v>31</v>
      </c>
      <c r="I1021" s="6" t="s">
        <v>85</v>
      </c>
      <c r="J1021" s="6" t="s">
        <v>23</v>
      </c>
      <c r="K1021" s="6" t="s">
        <v>66</v>
      </c>
      <c r="L1021" s="6">
        <v>15</v>
      </c>
      <c r="M1021" s="7">
        <v>43500</v>
      </c>
      <c r="N1021" s="8">
        <v>0.15</v>
      </c>
      <c r="O1021" s="9">
        <v>29520</v>
      </c>
    </row>
    <row r="1022" spans="1:15" ht="18" x14ac:dyDescent="0.35">
      <c r="A1022" s="4" t="s">
        <v>1129</v>
      </c>
      <c r="B1022" s="5">
        <v>45791</v>
      </c>
      <c r="C1022" s="6" t="s">
        <v>16</v>
      </c>
      <c r="D1022" s="6" t="s">
        <v>17</v>
      </c>
      <c r="E1022" s="6" t="s">
        <v>18</v>
      </c>
      <c r="F1022" s="6" t="s">
        <v>39</v>
      </c>
      <c r="G1022" s="6" t="s">
        <v>54</v>
      </c>
      <c r="H1022" s="6" t="s">
        <v>90</v>
      </c>
      <c r="I1022" s="6" t="s">
        <v>134</v>
      </c>
      <c r="J1022" s="6" t="s">
        <v>23</v>
      </c>
      <c r="K1022" s="6" t="s">
        <v>24</v>
      </c>
      <c r="L1022" s="6">
        <v>25</v>
      </c>
      <c r="M1022" s="7">
        <v>32800</v>
      </c>
      <c r="N1022" s="8">
        <v>0.2</v>
      </c>
      <c r="O1022" s="9">
        <v>23100</v>
      </c>
    </row>
    <row r="1023" spans="1:15" ht="18" x14ac:dyDescent="0.35">
      <c r="A1023" s="4" t="s">
        <v>1130</v>
      </c>
      <c r="B1023" s="5">
        <v>45791</v>
      </c>
      <c r="C1023" s="6" t="s">
        <v>82</v>
      </c>
      <c r="D1023" s="6" t="s">
        <v>183</v>
      </c>
      <c r="E1023" s="6" t="s">
        <v>101</v>
      </c>
      <c r="F1023" s="6" t="s">
        <v>19</v>
      </c>
      <c r="G1023" s="6" t="s">
        <v>54</v>
      </c>
      <c r="H1023" s="6" t="s">
        <v>129</v>
      </c>
      <c r="I1023" s="6" t="s">
        <v>145</v>
      </c>
      <c r="J1023" s="6" t="s">
        <v>57</v>
      </c>
      <c r="K1023" s="6" t="s">
        <v>34</v>
      </c>
      <c r="L1023" s="6">
        <v>6</v>
      </c>
      <c r="M1023" s="7">
        <v>31490</v>
      </c>
      <c r="N1023" s="8">
        <v>0.08</v>
      </c>
      <c r="O1023" s="9">
        <v>21300</v>
      </c>
    </row>
    <row r="1024" spans="1:15" ht="18" x14ac:dyDescent="0.35">
      <c r="A1024" s="4" t="s">
        <v>1131</v>
      </c>
      <c r="B1024" s="5">
        <v>45791</v>
      </c>
      <c r="C1024" s="6" t="s">
        <v>36</v>
      </c>
      <c r="D1024" s="6" t="s">
        <v>44</v>
      </c>
      <c r="E1024" s="6" t="s">
        <v>69</v>
      </c>
      <c r="F1024" s="6" t="s">
        <v>39</v>
      </c>
      <c r="G1024" s="6" t="s">
        <v>54</v>
      </c>
      <c r="H1024" s="6" t="s">
        <v>129</v>
      </c>
      <c r="I1024" s="6" t="s">
        <v>192</v>
      </c>
      <c r="J1024" s="6" t="s">
        <v>33</v>
      </c>
      <c r="K1024" s="6" t="s">
        <v>34</v>
      </c>
      <c r="L1024" s="6">
        <v>11</v>
      </c>
      <c r="M1024" s="7">
        <v>29010</v>
      </c>
      <c r="N1024" s="8">
        <v>0.05</v>
      </c>
      <c r="O1024" s="9">
        <v>19100</v>
      </c>
    </row>
    <row r="1025" spans="1:15" ht="18" x14ac:dyDescent="0.35">
      <c r="A1025" s="4" t="s">
        <v>1132</v>
      </c>
      <c r="B1025" s="5">
        <v>45792</v>
      </c>
      <c r="C1025" s="6" t="s">
        <v>36</v>
      </c>
      <c r="D1025" s="6" t="s">
        <v>121</v>
      </c>
      <c r="E1025" s="6" t="s">
        <v>28</v>
      </c>
      <c r="F1025" s="6" t="s">
        <v>19</v>
      </c>
      <c r="G1025" s="6" t="s">
        <v>40</v>
      </c>
      <c r="H1025" s="6" t="s">
        <v>64</v>
      </c>
      <c r="I1025" s="6" t="s">
        <v>153</v>
      </c>
      <c r="J1025" s="6" t="s">
        <v>33</v>
      </c>
      <c r="K1025" s="6" t="s">
        <v>34</v>
      </c>
      <c r="L1025" s="6">
        <v>28</v>
      </c>
      <c r="M1025" s="7">
        <v>4490</v>
      </c>
      <c r="N1025" s="8">
        <v>0.12</v>
      </c>
      <c r="O1025" s="9">
        <v>2950</v>
      </c>
    </row>
    <row r="1026" spans="1:15" ht="18" x14ac:dyDescent="0.35">
      <c r="A1026" s="4" t="s">
        <v>1133</v>
      </c>
      <c r="B1026" s="5">
        <v>45792</v>
      </c>
      <c r="C1026" s="6" t="s">
        <v>26</v>
      </c>
      <c r="D1026" s="6" t="s">
        <v>27</v>
      </c>
      <c r="E1026" s="6" t="s">
        <v>50</v>
      </c>
      <c r="F1026" s="6" t="s">
        <v>29</v>
      </c>
      <c r="G1026" s="6" t="s">
        <v>54</v>
      </c>
      <c r="H1026" s="6" t="s">
        <v>129</v>
      </c>
      <c r="I1026" s="6" t="s">
        <v>145</v>
      </c>
      <c r="J1026" s="6" t="s">
        <v>23</v>
      </c>
      <c r="K1026" s="6" t="s">
        <v>24</v>
      </c>
      <c r="L1026" s="6">
        <v>15</v>
      </c>
      <c r="M1026" s="7">
        <v>31490</v>
      </c>
      <c r="N1026" s="8">
        <v>0.2</v>
      </c>
      <c r="O1026" s="9">
        <v>21300</v>
      </c>
    </row>
    <row r="1027" spans="1:15" ht="18" x14ac:dyDescent="0.35">
      <c r="A1027" s="4" t="s">
        <v>1134</v>
      </c>
      <c r="B1027" s="5">
        <v>45793</v>
      </c>
      <c r="C1027" s="6" t="s">
        <v>26</v>
      </c>
      <c r="D1027" s="6" t="s">
        <v>27</v>
      </c>
      <c r="E1027" s="6" t="s">
        <v>84</v>
      </c>
      <c r="F1027" s="6" t="s">
        <v>19</v>
      </c>
      <c r="G1027" s="6" t="s">
        <v>30</v>
      </c>
      <c r="H1027" s="6" t="s">
        <v>31</v>
      </c>
      <c r="I1027" s="6" t="s">
        <v>106</v>
      </c>
      <c r="J1027" s="6" t="s">
        <v>23</v>
      </c>
      <c r="K1027" s="6" t="s">
        <v>34</v>
      </c>
      <c r="L1027" s="6">
        <v>29</v>
      </c>
      <c r="M1027" s="7">
        <v>52990</v>
      </c>
      <c r="N1027" s="8">
        <v>0.15</v>
      </c>
      <c r="O1027" s="9">
        <v>35100</v>
      </c>
    </row>
    <row r="1028" spans="1:15" ht="18" x14ac:dyDescent="0.35">
      <c r="A1028" s="4" t="s">
        <v>1135</v>
      </c>
      <c r="B1028" s="5">
        <v>45797</v>
      </c>
      <c r="C1028" s="6" t="s">
        <v>26</v>
      </c>
      <c r="D1028" s="6" t="s">
        <v>74</v>
      </c>
      <c r="E1028" s="6" t="s">
        <v>75</v>
      </c>
      <c r="F1028" s="6" t="s">
        <v>29</v>
      </c>
      <c r="G1028" s="6" t="s">
        <v>30</v>
      </c>
      <c r="H1028" s="6" t="s">
        <v>31</v>
      </c>
      <c r="I1028" s="6" t="s">
        <v>85</v>
      </c>
      <c r="J1028" s="6" t="s">
        <v>33</v>
      </c>
      <c r="K1028" s="6" t="s">
        <v>66</v>
      </c>
      <c r="L1028" s="6">
        <v>16</v>
      </c>
      <c r="M1028" s="7">
        <v>43500</v>
      </c>
      <c r="N1028" s="8">
        <v>0.05</v>
      </c>
      <c r="O1028" s="9">
        <v>29520</v>
      </c>
    </row>
    <row r="1029" spans="1:15" ht="18" x14ac:dyDescent="0.35">
      <c r="A1029" s="4" t="s">
        <v>1136</v>
      </c>
      <c r="B1029" s="5">
        <v>45798</v>
      </c>
      <c r="C1029" s="6" t="s">
        <v>26</v>
      </c>
      <c r="D1029" s="6" t="s">
        <v>27</v>
      </c>
      <c r="E1029" s="6" t="s">
        <v>69</v>
      </c>
      <c r="F1029" s="6" t="s">
        <v>29</v>
      </c>
      <c r="G1029" s="6" t="s">
        <v>20</v>
      </c>
      <c r="H1029" s="6" t="s">
        <v>45</v>
      </c>
      <c r="I1029" s="6" t="s">
        <v>196</v>
      </c>
      <c r="J1029" s="6" t="s">
        <v>23</v>
      </c>
      <c r="K1029" s="6" t="s">
        <v>24</v>
      </c>
      <c r="L1029" s="6">
        <v>11</v>
      </c>
      <c r="M1029" s="7">
        <v>2499</v>
      </c>
      <c r="N1029" s="8">
        <v>0.15</v>
      </c>
      <c r="O1029" s="9">
        <v>1510</v>
      </c>
    </row>
    <row r="1030" spans="1:15" ht="18" x14ac:dyDescent="0.35">
      <c r="A1030" s="4" t="s">
        <v>1137</v>
      </c>
      <c r="B1030" s="5">
        <v>45798</v>
      </c>
      <c r="C1030" s="6" t="s">
        <v>48</v>
      </c>
      <c r="D1030" s="6" t="s">
        <v>68</v>
      </c>
      <c r="E1030" s="6" t="s">
        <v>50</v>
      </c>
      <c r="F1030" s="6" t="s">
        <v>29</v>
      </c>
      <c r="G1030" s="6" t="s">
        <v>70</v>
      </c>
      <c r="H1030" s="6" t="s">
        <v>71</v>
      </c>
      <c r="I1030" s="6" t="s">
        <v>80</v>
      </c>
      <c r="J1030" s="6" t="s">
        <v>23</v>
      </c>
      <c r="K1030" s="6" t="s">
        <v>66</v>
      </c>
      <c r="L1030" s="6">
        <v>1</v>
      </c>
      <c r="M1030" s="7">
        <v>1299</v>
      </c>
      <c r="N1030" s="8">
        <v>0.1</v>
      </c>
      <c r="O1030" s="9">
        <v>720</v>
      </c>
    </row>
    <row r="1031" spans="1:15" ht="18" x14ac:dyDescent="0.35">
      <c r="A1031" s="4" t="s">
        <v>1138</v>
      </c>
      <c r="B1031" s="5">
        <v>45798</v>
      </c>
      <c r="C1031" s="6" t="s">
        <v>26</v>
      </c>
      <c r="D1031" s="6" t="s">
        <v>53</v>
      </c>
      <c r="E1031" s="6" t="s">
        <v>101</v>
      </c>
      <c r="F1031" s="6" t="s">
        <v>19</v>
      </c>
      <c r="G1031" s="6" t="s">
        <v>30</v>
      </c>
      <c r="H1031" s="6" t="s">
        <v>31</v>
      </c>
      <c r="I1031" s="6" t="s">
        <v>32</v>
      </c>
      <c r="J1031" s="6" t="s">
        <v>57</v>
      </c>
      <c r="K1031" s="6" t="s">
        <v>66</v>
      </c>
      <c r="L1031" s="6">
        <v>17</v>
      </c>
      <c r="M1031" s="7">
        <v>38990</v>
      </c>
      <c r="N1031" s="8">
        <v>0.15</v>
      </c>
      <c r="O1031" s="9">
        <v>25400</v>
      </c>
    </row>
    <row r="1032" spans="1:15" ht="18" x14ac:dyDescent="0.35">
      <c r="A1032" s="4" t="s">
        <v>1139</v>
      </c>
      <c r="B1032" s="5">
        <v>45798</v>
      </c>
      <c r="C1032" s="6" t="s">
        <v>48</v>
      </c>
      <c r="D1032" s="6" t="s">
        <v>68</v>
      </c>
      <c r="E1032" s="6" t="s">
        <v>69</v>
      </c>
      <c r="F1032" s="6" t="s">
        <v>19</v>
      </c>
      <c r="G1032" s="6" t="s">
        <v>30</v>
      </c>
      <c r="H1032" s="6" t="s">
        <v>61</v>
      </c>
      <c r="I1032" s="6" t="s">
        <v>96</v>
      </c>
      <c r="J1032" s="6" t="s">
        <v>23</v>
      </c>
      <c r="K1032" s="6" t="s">
        <v>78</v>
      </c>
      <c r="L1032" s="6">
        <v>29</v>
      </c>
      <c r="M1032" s="7">
        <v>25110</v>
      </c>
      <c r="N1032" s="8">
        <v>0.2</v>
      </c>
      <c r="O1032" s="9">
        <v>16730</v>
      </c>
    </row>
    <row r="1033" spans="1:15" ht="18" x14ac:dyDescent="0.35">
      <c r="A1033" s="4" t="s">
        <v>1140</v>
      </c>
      <c r="B1033" s="5">
        <v>45799</v>
      </c>
      <c r="C1033" s="6" t="s">
        <v>48</v>
      </c>
      <c r="D1033" s="6" t="s">
        <v>49</v>
      </c>
      <c r="E1033" s="6" t="s">
        <v>69</v>
      </c>
      <c r="F1033" s="6" t="s">
        <v>39</v>
      </c>
      <c r="G1033" s="6" t="s">
        <v>20</v>
      </c>
      <c r="H1033" s="6" t="s">
        <v>21</v>
      </c>
      <c r="I1033" s="6" t="s">
        <v>51</v>
      </c>
      <c r="J1033" s="6" t="s">
        <v>33</v>
      </c>
      <c r="K1033" s="6" t="s">
        <v>34</v>
      </c>
      <c r="L1033" s="6">
        <v>12</v>
      </c>
      <c r="M1033" s="7">
        <v>5999</v>
      </c>
      <c r="N1033" s="8">
        <v>0.15</v>
      </c>
      <c r="O1033" s="9">
        <v>3890</v>
      </c>
    </row>
    <row r="1034" spans="1:15" ht="18" x14ac:dyDescent="0.35">
      <c r="A1034" s="4" t="s">
        <v>1141</v>
      </c>
      <c r="B1034" s="5">
        <v>45800</v>
      </c>
      <c r="C1034" s="6" t="s">
        <v>16</v>
      </c>
      <c r="D1034" s="6" t="s">
        <v>98</v>
      </c>
      <c r="E1034" s="6" t="s">
        <v>101</v>
      </c>
      <c r="F1034" s="6" t="s">
        <v>19</v>
      </c>
      <c r="G1034" s="6" t="s">
        <v>70</v>
      </c>
      <c r="H1034" s="6" t="s">
        <v>71</v>
      </c>
      <c r="I1034" s="6" t="s">
        <v>80</v>
      </c>
      <c r="J1034" s="6" t="s">
        <v>33</v>
      </c>
      <c r="K1034" s="6" t="s">
        <v>66</v>
      </c>
      <c r="L1034" s="6">
        <v>26</v>
      </c>
      <c r="M1034" s="7">
        <v>1299</v>
      </c>
      <c r="N1034" s="8">
        <v>0.05</v>
      </c>
      <c r="O1034" s="9">
        <v>720</v>
      </c>
    </row>
    <row r="1035" spans="1:15" ht="18" x14ac:dyDescent="0.35">
      <c r="A1035" s="4" t="s">
        <v>1142</v>
      </c>
      <c r="B1035" s="5">
        <v>45800</v>
      </c>
      <c r="C1035" s="6" t="s">
        <v>26</v>
      </c>
      <c r="D1035" s="6" t="s">
        <v>74</v>
      </c>
      <c r="E1035" s="6" t="s">
        <v>84</v>
      </c>
      <c r="F1035" s="6" t="s">
        <v>29</v>
      </c>
      <c r="G1035" s="6" t="s">
        <v>70</v>
      </c>
      <c r="H1035" s="6" t="s">
        <v>71</v>
      </c>
      <c r="I1035" s="6" t="s">
        <v>88</v>
      </c>
      <c r="J1035" s="6" t="s">
        <v>57</v>
      </c>
      <c r="K1035" s="6" t="s">
        <v>24</v>
      </c>
      <c r="L1035" s="6">
        <v>31</v>
      </c>
      <c r="M1035" s="7">
        <v>999</v>
      </c>
      <c r="N1035" s="8">
        <v>0.2</v>
      </c>
      <c r="O1035" s="9">
        <v>540</v>
      </c>
    </row>
    <row r="1036" spans="1:15" ht="18" x14ac:dyDescent="0.35">
      <c r="A1036" s="4" t="s">
        <v>1143</v>
      </c>
      <c r="B1036" s="5">
        <v>45800</v>
      </c>
      <c r="C1036" s="6" t="s">
        <v>82</v>
      </c>
      <c r="D1036" s="6" t="s">
        <v>87</v>
      </c>
      <c r="E1036" s="6" t="s">
        <v>105</v>
      </c>
      <c r="F1036" s="6" t="s">
        <v>29</v>
      </c>
      <c r="G1036" s="6" t="s">
        <v>30</v>
      </c>
      <c r="H1036" s="6" t="s">
        <v>31</v>
      </c>
      <c r="I1036" s="6" t="s">
        <v>106</v>
      </c>
      <c r="J1036" s="6" t="s">
        <v>57</v>
      </c>
      <c r="K1036" s="6" t="s">
        <v>24</v>
      </c>
      <c r="L1036" s="6">
        <v>31</v>
      </c>
      <c r="M1036" s="7">
        <v>52990</v>
      </c>
      <c r="N1036" s="8">
        <v>0.05</v>
      </c>
      <c r="O1036" s="9">
        <v>35100</v>
      </c>
    </row>
    <row r="1037" spans="1:15" ht="18" x14ac:dyDescent="0.35">
      <c r="A1037" s="4" t="s">
        <v>1144</v>
      </c>
      <c r="B1037" s="5">
        <v>45800</v>
      </c>
      <c r="C1037" s="6" t="s">
        <v>82</v>
      </c>
      <c r="D1037" s="6" t="s">
        <v>83</v>
      </c>
      <c r="E1037" s="6" t="s">
        <v>18</v>
      </c>
      <c r="F1037" s="6" t="s">
        <v>39</v>
      </c>
      <c r="G1037" s="6" t="s">
        <v>54</v>
      </c>
      <c r="H1037" s="6" t="s">
        <v>90</v>
      </c>
      <c r="I1037" s="6" t="s">
        <v>134</v>
      </c>
      <c r="J1037" s="6" t="s">
        <v>57</v>
      </c>
      <c r="K1037" s="6" t="s">
        <v>66</v>
      </c>
      <c r="L1037" s="6">
        <v>19</v>
      </c>
      <c r="M1037" s="7">
        <v>32800</v>
      </c>
      <c r="N1037" s="8">
        <v>0.08</v>
      </c>
      <c r="O1037" s="9">
        <v>23100</v>
      </c>
    </row>
    <row r="1038" spans="1:15" ht="18" x14ac:dyDescent="0.35">
      <c r="A1038" s="4" t="s">
        <v>1145</v>
      </c>
      <c r="B1038" s="5">
        <v>45801</v>
      </c>
      <c r="C1038" s="6" t="s">
        <v>36</v>
      </c>
      <c r="D1038" s="6" t="s">
        <v>59</v>
      </c>
      <c r="E1038" s="6" t="s">
        <v>69</v>
      </c>
      <c r="F1038" s="6" t="s">
        <v>19</v>
      </c>
      <c r="G1038" s="6" t="s">
        <v>70</v>
      </c>
      <c r="H1038" s="6" t="s">
        <v>71</v>
      </c>
      <c r="I1038" s="6" t="s">
        <v>88</v>
      </c>
      <c r="J1038" s="6" t="s">
        <v>23</v>
      </c>
      <c r="K1038" s="6" t="s">
        <v>24</v>
      </c>
      <c r="L1038" s="6">
        <v>23</v>
      </c>
      <c r="M1038" s="7">
        <v>999</v>
      </c>
      <c r="N1038" s="8">
        <v>0.05</v>
      </c>
      <c r="O1038" s="9">
        <v>540</v>
      </c>
    </row>
    <row r="1039" spans="1:15" ht="18" x14ac:dyDescent="0.35">
      <c r="A1039" s="4" t="s">
        <v>1146</v>
      </c>
      <c r="B1039" s="5">
        <v>45801</v>
      </c>
      <c r="C1039" s="6" t="s">
        <v>82</v>
      </c>
      <c r="D1039" s="6" t="s">
        <v>183</v>
      </c>
      <c r="E1039" s="6" t="s">
        <v>75</v>
      </c>
      <c r="F1039" s="6" t="s">
        <v>19</v>
      </c>
      <c r="G1039" s="6" t="s">
        <v>54</v>
      </c>
      <c r="H1039" s="6" t="s">
        <v>129</v>
      </c>
      <c r="I1039" s="6" t="s">
        <v>192</v>
      </c>
      <c r="J1039" s="6" t="s">
        <v>57</v>
      </c>
      <c r="K1039" s="6" t="s">
        <v>66</v>
      </c>
      <c r="L1039" s="6">
        <v>24</v>
      </c>
      <c r="M1039" s="7">
        <v>29010</v>
      </c>
      <c r="N1039" s="8">
        <v>0.05</v>
      </c>
      <c r="O1039" s="9">
        <v>19100</v>
      </c>
    </row>
    <row r="1040" spans="1:15" ht="18" x14ac:dyDescent="0.35">
      <c r="A1040" s="4" t="s">
        <v>1147</v>
      </c>
      <c r="B1040" s="5">
        <v>45802</v>
      </c>
      <c r="C1040" s="6" t="s">
        <v>48</v>
      </c>
      <c r="D1040" s="6" t="s">
        <v>49</v>
      </c>
      <c r="E1040" s="6" t="s">
        <v>60</v>
      </c>
      <c r="F1040" s="6" t="s">
        <v>39</v>
      </c>
      <c r="G1040" s="6" t="s">
        <v>30</v>
      </c>
      <c r="H1040" s="6" t="s">
        <v>31</v>
      </c>
      <c r="I1040" s="6" t="s">
        <v>85</v>
      </c>
      <c r="J1040" s="6" t="s">
        <v>23</v>
      </c>
      <c r="K1040" s="6" t="s">
        <v>24</v>
      </c>
      <c r="L1040" s="6">
        <v>37</v>
      </c>
      <c r="M1040" s="7">
        <v>43500</v>
      </c>
      <c r="N1040" s="8">
        <v>0.2</v>
      </c>
      <c r="O1040" s="9">
        <v>29520</v>
      </c>
    </row>
    <row r="1041" spans="1:15" ht="18" x14ac:dyDescent="0.35">
      <c r="A1041" s="4" t="s">
        <v>1148</v>
      </c>
      <c r="B1041" s="5">
        <v>45802</v>
      </c>
      <c r="C1041" s="6" t="s">
        <v>36</v>
      </c>
      <c r="D1041" s="6" t="s">
        <v>121</v>
      </c>
      <c r="E1041" s="6" t="s">
        <v>101</v>
      </c>
      <c r="F1041" s="6" t="s">
        <v>19</v>
      </c>
      <c r="G1041" s="6" t="s">
        <v>30</v>
      </c>
      <c r="H1041" s="6" t="s">
        <v>61</v>
      </c>
      <c r="I1041" s="6" t="s">
        <v>186</v>
      </c>
      <c r="J1041" s="6" t="s">
        <v>33</v>
      </c>
      <c r="K1041" s="6" t="s">
        <v>34</v>
      </c>
      <c r="L1041" s="6">
        <v>3</v>
      </c>
      <c r="M1041" s="7">
        <v>6999</v>
      </c>
      <c r="N1041" s="8">
        <v>0.08</v>
      </c>
      <c r="O1041" s="9">
        <v>4320</v>
      </c>
    </row>
    <row r="1042" spans="1:15" ht="18" x14ac:dyDescent="0.35">
      <c r="A1042" s="4" t="s">
        <v>1149</v>
      </c>
      <c r="B1042" s="5">
        <v>45803</v>
      </c>
      <c r="C1042" s="6" t="s">
        <v>82</v>
      </c>
      <c r="D1042" s="6" t="s">
        <v>183</v>
      </c>
      <c r="E1042" s="6" t="s">
        <v>18</v>
      </c>
      <c r="F1042" s="6" t="s">
        <v>19</v>
      </c>
      <c r="G1042" s="6" t="s">
        <v>70</v>
      </c>
      <c r="H1042" s="6" t="s">
        <v>71</v>
      </c>
      <c r="I1042" s="6" t="s">
        <v>88</v>
      </c>
      <c r="J1042" s="6" t="s">
        <v>23</v>
      </c>
      <c r="K1042" s="6" t="s">
        <v>24</v>
      </c>
      <c r="L1042" s="6">
        <v>7</v>
      </c>
      <c r="M1042" s="7">
        <v>999</v>
      </c>
      <c r="N1042" s="8">
        <v>0.1</v>
      </c>
      <c r="O1042" s="9">
        <v>540</v>
      </c>
    </row>
    <row r="1043" spans="1:15" ht="18" x14ac:dyDescent="0.35">
      <c r="A1043" s="4" t="s">
        <v>1150</v>
      </c>
      <c r="B1043" s="5">
        <v>45804</v>
      </c>
      <c r="C1043" s="6" t="s">
        <v>26</v>
      </c>
      <c r="D1043" s="6" t="s">
        <v>74</v>
      </c>
      <c r="E1043" s="6" t="s">
        <v>101</v>
      </c>
      <c r="F1043" s="6" t="s">
        <v>29</v>
      </c>
      <c r="G1043" s="6" t="s">
        <v>54</v>
      </c>
      <c r="H1043" s="6" t="s">
        <v>55</v>
      </c>
      <c r="I1043" s="6" t="s">
        <v>56</v>
      </c>
      <c r="J1043" s="6" t="s">
        <v>33</v>
      </c>
      <c r="K1043" s="6" t="s">
        <v>78</v>
      </c>
      <c r="L1043" s="6">
        <v>16</v>
      </c>
      <c r="M1043" s="7">
        <v>7299</v>
      </c>
      <c r="N1043" s="8">
        <v>0.1</v>
      </c>
      <c r="O1043" s="9">
        <v>5010</v>
      </c>
    </row>
    <row r="1044" spans="1:15" ht="18" x14ac:dyDescent="0.35">
      <c r="A1044" s="4" t="s">
        <v>1151</v>
      </c>
      <c r="B1044" s="5">
        <v>45804</v>
      </c>
      <c r="C1044" s="6" t="s">
        <v>26</v>
      </c>
      <c r="D1044" s="6" t="s">
        <v>53</v>
      </c>
      <c r="E1044" s="6" t="s">
        <v>105</v>
      </c>
      <c r="F1044" s="6" t="s">
        <v>29</v>
      </c>
      <c r="G1044" s="6" t="s">
        <v>54</v>
      </c>
      <c r="H1044" s="6" t="s">
        <v>55</v>
      </c>
      <c r="I1044" s="6" t="s">
        <v>148</v>
      </c>
      <c r="J1044" s="6" t="s">
        <v>33</v>
      </c>
      <c r="K1044" s="6" t="s">
        <v>66</v>
      </c>
      <c r="L1044" s="6">
        <v>21</v>
      </c>
      <c r="M1044" s="7">
        <v>4680</v>
      </c>
      <c r="N1044" s="8">
        <v>0.08</v>
      </c>
      <c r="O1044" s="9">
        <v>3250</v>
      </c>
    </row>
    <row r="1045" spans="1:15" ht="18" x14ac:dyDescent="0.35">
      <c r="A1045" s="4" t="s">
        <v>1152</v>
      </c>
      <c r="B1045" s="5">
        <v>45806</v>
      </c>
      <c r="C1045" s="6" t="s">
        <v>48</v>
      </c>
      <c r="D1045" s="6" t="s">
        <v>93</v>
      </c>
      <c r="E1045" s="6" t="s">
        <v>50</v>
      </c>
      <c r="F1045" s="6" t="s">
        <v>39</v>
      </c>
      <c r="G1045" s="6" t="s">
        <v>40</v>
      </c>
      <c r="H1045" s="6" t="s">
        <v>64</v>
      </c>
      <c r="I1045" s="6" t="s">
        <v>159</v>
      </c>
      <c r="J1045" s="6" t="s">
        <v>23</v>
      </c>
      <c r="K1045" s="6" t="s">
        <v>78</v>
      </c>
      <c r="L1045" s="6">
        <v>3</v>
      </c>
      <c r="M1045" s="7">
        <v>3299</v>
      </c>
      <c r="N1045" s="8">
        <v>0.18</v>
      </c>
      <c r="O1045" s="9">
        <v>2050</v>
      </c>
    </row>
    <row r="1046" spans="1:15" ht="18" x14ac:dyDescent="0.35">
      <c r="A1046" s="4" t="s">
        <v>1153</v>
      </c>
      <c r="B1046" s="5">
        <v>45806</v>
      </c>
      <c r="C1046" s="6" t="s">
        <v>26</v>
      </c>
      <c r="D1046" s="6" t="s">
        <v>163</v>
      </c>
      <c r="E1046" s="6" t="s">
        <v>101</v>
      </c>
      <c r="F1046" s="6" t="s">
        <v>29</v>
      </c>
      <c r="G1046" s="6" t="s">
        <v>40</v>
      </c>
      <c r="H1046" s="6" t="s">
        <v>76</v>
      </c>
      <c r="I1046" s="6" t="s">
        <v>77</v>
      </c>
      <c r="J1046" s="6" t="s">
        <v>33</v>
      </c>
      <c r="K1046" s="6" t="s">
        <v>34</v>
      </c>
      <c r="L1046" s="6">
        <v>10</v>
      </c>
      <c r="M1046" s="7">
        <v>52990</v>
      </c>
      <c r="N1046" s="8">
        <v>0.15</v>
      </c>
      <c r="O1046" s="9">
        <v>39500</v>
      </c>
    </row>
    <row r="1047" spans="1:15" ht="18" x14ac:dyDescent="0.35">
      <c r="A1047" s="4" t="s">
        <v>1154</v>
      </c>
      <c r="B1047" s="5">
        <v>45806</v>
      </c>
      <c r="C1047" s="6" t="s">
        <v>48</v>
      </c>
      <c r="D1047" s="6" t="s">
        <v>68</v>
      </c>
      <c r="E1047" s="6" t="s">
        <v>69</v>
      </c>
      <c r="F1047" s="6" t="s">
        <v>39</v>
      </c>
      <c r="G1047" s="6" t="s">
        <v>54</v>
      </c>
      <c r="H1047" s="6" t="s">
        <v>90</v>
      </c>
      <c r="I1047" s="6" t="s">
        <v>258</v>
      </c>
      <c r="J1047" s="6" t="s">
        <v>23</v>
      </c>
      <c r="K1047" s="6" t="s">
        <v>34</v>
      </c>
      <c r="L1047" s="6">
        <v>16</v>
      </c>
      <c r="M1047" s="7">
        <v>29010</v>
      </c>
      <c r="N1047" s="8">
        <v>0.05</v>
      </c>
      <c r="O1047" s="9">
        <v>19150</v>
      </c>
    </row>
    <row r="1048" spans="1:15" ht="18" x14ac:dyDescent="0.35">
      <c r="A1048" s="4" t="s">
        <v>1155</v>
      </c>
      <c r="B1048" s="5">
        <v>45807</v>
      </c>
      <c r="C1048" s="6" t="s">
        <v>48</v>
      </c>
      <c r="D1048" s="6" t="s">
        <v>68</v>
      </c>
      <c r="E1048" s="6" t="s">
        <v>101</v>
      </c>
      <c r="F1048" s="6" t="s">
        <v>19</v>
      </c>
      <c r="G1048" s="6" t="s">
        <v>54</v>
      </c>
      <c r="H1048" s="6" t="s">
        <v>55</v>
      </c>
      <c r="I1048" s="6" t="s">
        <v>56</v>
      </c>
      <c r="J1048" s="6" t="s">
        <v>23</v>
      </c>
      <c r="K1048" s="6" t="s">
        <v>78</v>
      </c>
      <c r="L1048" s="6">
        <v>31</v>
      </c>
      <c r="M1048" s="7">
        <v>7299</v>
      </c>
      <c r="N1048" s="8">
        <v>0.12</v>
      </c>
      <c r="O1048" s="9">
        <v>5010</v>
      </c>
    </row>
    <row r="1049" spans="1:15" ht="18" x14ac:dyDescent="0.35">
      <c r="A1049" s="4" t="s">
        <v>1156</v>
      </c>
      <c r="B1049" s="5">
        <v>45807</v>
      </c>
      <c r="C1049" s="6" t="s">
        <v>36</v>
      </c>
      <c r="D1049" s="6" t="s">
        <v>37</v>
      </c>
      <c r="E1049" s="6" t="s">
        <v>60</v>
      </c>
      <c r="F1049" s="6" t="s">
        <v>29</v>
      </c>
      <c r="G1049" s="6" t="s">
        <v>70</v>
      </c>
      <c r="H1049" s="6" t="s">
        <v>71</v>
      </c>
      <c r="I1049" s="6" t="s">
        <v>80</v>
      </c>
      <c r="J1049" s="6" t="s">
        <v>33</v>
      </c>
      <c r="K1049" s="6" t="s">
        <v>24</v>
      </c>
      <c r="L1049" s="6">
        <v>37</v>
      </c>
      <c r="M1049" s="7">
        <v>1299</v>
      </c>
      <c r="N1049" s="8">
        <v>0.1</v>
      </c>
      <c r="O1049" s="9">
        <v>720</v>
      </c>
    </row>
    <row r="1050" spans="1:15" ht="18" x14ac:dyDescent="0.35">
      <c r="A1050" s="4" t="s">
        <v>1157</v>
      </c>
      <c r="B1050" s="5">
        <v>45808</v>
      </c>
      <c r="C1050" s="6" t="s">
        <v>26</v>
      </c>
      <c r="D1050" s="6" t="s">
        <v>53</v>
      </c>
      <c r="E1050" s="6" t="s">
        <v>38</v>
      </c>
      <c r="F1050" s="6" t="s">
        <v>29</v>
      </c>
      <c r="G1050" s="6" t="s">
        <v>70</v>
      </c>
      <c r="H1050" s="6" t="s">
        <v>71</v>
      </c>
      <c r="I1050" s="6" t="s">
        <v>88</v>
      </c>
      <c r="J1050" s="6" t="s">
        <v>23</v>
      </c>
      <c r="K1050" s="6" t="s">
        <v>66</v>
      </c>
      <c r="L1050" s="6">
        <v>30</v>
      </c>
      <c r="M1050" s="7">
        <v>999</v>
      </c>
      <c r="N1050" s="8">
        <v>0.08</v>
      </c>
      <c r="O1050" s="9">
        <v>540</v>
      </c>
    </row>
    <row r="1051" spans="1:15" ht="18" x14ac:dyDescent="0.35">
      <c r="A1051" s="4" t="s">
        <v>1158</v>
      </c>
      <c r="B1051" s="5">
        <v>45808</v>
      </c>
      <c r="C1051" s="6" t="s">
        <v>48</v>
      </c>
      <c r="D1051" s="6" t="s">
        <v>68</v>
      </c>
      <c r="E1051" s="6" t="s">
        <v>50</v>
      </c>
      <c r="F1051" s="6" t="s">
        <v>39</v>
      </c>
      <c r="G1051" s="6" t="s">
        <v>20</v>
      </c>
      <c r="H1051" s="6" t="s">
        <v>21</v>
      </c>
      <c r="I1051" s="6" t="s">
        <v>115</v>
      </c>
      <c r="J1051" s="6" t="s">
        <v>23</v>
      </c>
      <c r="K1051" s="6" t="s">
        <v>24</v>
      </c>
      <c r="L1051" s="6">
        <v>36</v>
      </c>
      <c r="M1051" s="7">
        <v>6499</v>
      </c>
      <c r="N1051" s="8">
        <v>0.05</v>
      </c>
      <c r="O1051" s="9">
        <v>4210</v>
      </c>
    </row>
    <row r="1052" spans="1:15" ht="18" x14ac:dyDescent="0.35">
      <c r="A1052" s="4" t="s">
        <v>1159</v>
      </c>
      <c r="B1052" s="5">
        <v>45808</v>
      </c>
      <c r="C1052" s="6" t="s">
        <v>82</v>
      </c>
      <c r="D1052" s="6" t="s">
        <v>87</v>
      </c>
      <c r="E1052" s="6" t="s">
        <v>60</v>
      </c>
      <c r="F1052" s="6" t="s">
        <v>39</v>
      </c>
      <c r="G1052" s="6" t="s">
        <v>70</v>
      </c>
      <c r="H1052" s="6" t="s">
        <v>71</v>
      </c>
      <c r="I1052" s="6" t="s">
        <v>72</v>
      </c>
      <c r="J1052" s="6" t="s">
        <v>33</v>
      </c>
      <c r="K1052" s="6" t="s">
        <v>24</v>
      </c>
      <c r="L1052" s="6">
        <v>8</v>
      </c>
      <c r="M1052" s="7">
        <v>3499</v>
      </c>
      <c r="N1052" s="8">
        <v>0.12</v>
      </c>
      <c r="O1052" s="9">
        <v>2190</v>
      </c>
    </row>
    <row r="1053" spans="1:15" ht="18" x14ac:dyDescent="0.35">
      <c r="A1053" s="4" t="s">
        <v>1160</v>
      </c>
      <c r="B1053" s="5">
        <v>45810</v>
      </c>
      <c r="C1053" s="6" t="s">
        <v>26</v>
      </c>
      <c r="D1053" s="6" t="s">
        <v>74</v>
      </c>
      <c r="E1053" s="6" t="s">
        <v>105</v>
      </c>
      <c r="F1053" s="6" t="s">
        <v>19</v>
      </c>
      <c r="G1053" s="6" t="s">
        <v>54</v>
      </c>
      <c r="H1053" s="6" t="s">
        <v>129</v>
      </c>
      <c r="I1053" s="6" t="s">
        <v>130</v>
      </c>
      <c r="J1053" s="6" t="s">
        <v>23</v>
      </c>
      <c r="K1053" s="6" t="s">
        <v>24</v>
      </c>
      <c r="L1053" s="6">
        <v>7</v>
      </c>
      <c r="M1053" s="7">
        <v>27890</v>
      </c>
      <c r="N1053" s="8">
        <v>0.08</v>
      </c>
      <c r="O1053" s="9">
        <v>18800</v>
      </c>
    </row>
    <row r="1054" spans="1:15" ht="18" x14ac:dyDescent="0.35">
      <c r="A1054" s="4" t="s">
        <v>1161</v>
      </c>
      <c r="B1054" s="5">
        <v>45812</v>
      </c>
      <c r="C1054" s="6" t="s">
        <v>36</v>
      </c>
      <c r="D1054" s="6" t="s">
        <v>44</v>
      </c>
      <c r="E1054" s="6" t="s">
        <v>101</v>
      </c>
      <c r="F1054" s="6" t="s">
        <v>39</v>
      </c>
      <c r="G1054" s="6" t="s">
        <v>70</v>
      </c>
      <c r="H1054" s="6" t="s">
        <v>71</v>
      </c>
      <c r="I1054" s="6" t="s">
        <v>88</v>
      </c>
      <c r="J1054" s="6" t="s">
        <v>23</v>
      </c>
      <c r="K1054" s="6" t="s">
        <v>66</v>
      </c>
      <c r="L1054" s="6">
        <v>26</v>
      </c>
      <c r="M1054" s="7">
        <v>999</v>
      </c>
      <c r="N1054" s="8">
        <v>0.2</v>
      </c>
      <c r="O1054" s="9">
        <v>540</v>
      </c>
    </row>
    <row r="1055" spans="1:15" ht="18" x14ac:dyDescent="0.35">
      <c r="A1055" s="4" t="s">
        <v>1162</v>
      </c>
      <c r="B1055" s="5">
        <v>45812</v>
      </c>
      <c r="C1055" s="6" t="s">
        <v>26</v>
      </c>
      <c r="D1055" s="6" t="s">
        <v>27</v>
      </c>
      <c r="E1055" s="6" t="s">
        <v>105</v>
      </c>
      <c r="F1055" s="6" t="s">
        <v>39</v>
      </c>
      <c r="G1055" s="6" t="s">
        <v>40</v>
      </c>
      <c r="H1055" s="6" t="s">
        <v>41</v>
      </c>
      <c r="I1055" s="6" t="s">
        <v>119</v>
      </c>
      <c r="J1055" s="6" t="s">
        <v>33</v>
      </c>
      <c r="K1055" s="6" t="s">
        <v>66</v>
      </c>
      <c r="L1055" s="6">
        <v>37</v>
      </c>
      <c r="M1055" s="7">
        <v>48990</v>
      </c>
      <c r="N1055" s="8">
        <v>0.05</v>
      </c>
      <c r="O1055" s="9">
        <v>30100</v>
      </c>
    </row>
    <row r="1056" spans="1:15" ht="18" x14ac:dyDescent="0.35">
      <c r="A1056" s="4" t="s">
        <v>1163</v>
      </c>
      <c r="B1056" s="5">
        <v>45813</v>
      </c>
      <c r="C1056" s="6" t="s">
        <v>82</v>
      </c>
      <c r="D1056" s="6" t="s">
        <v>100</v>
      </c>
      <c r="E1056" s="6" t="s">
        <v>50</v>
      </c>
      <c r="F1056" s="6" t="s">
        <v>19</v>
      </c>
      <c r="G1056" s="6" t="s">
        <v>20</v>
      </c>
      <c r="H1056" s="6" t="s">
        <v>45</v>
      </c>
      <c r="I1056" s="6" t="s">
        <v>196</v>
      </c>
      <c r="J1056" s="6" t="s">
        <v>33</v>
      </c>
      <c r="K1056" s="6" t="s">
        <v>24</v>
      </c>
      <c r="L1056" s="6">
        <v>14</v>
      </c>
      <c r="M1056" s="7">
        <v>2499</v>
      </c>
      <c r="N1056" s="8">
        <v>0.15</v>
      </c>
      <c r="O1056" s="9">
        <v>1510</v>
      </c>
    </row>
    <row r="1057" spans="1:15" ht="18" x14ac:dyDescent="0.35">
      <c r="A1057" s="4" t="s">
        <v>1164</v>
      </c>
      <c r="B1057" s="5">
        <v>45813</v>
      </c>
      <c r="C1057" s="6" t="s">
        <v>48</v>
      </c>
      <c r="D1057" s="6" t="s">
        <v>49</v>
      </c>
      <c r="E1057" s="6" t="s">
        <v>60</v>
      </c>
      <c r="F1057" s="6" t="s">
        <v>39</v>
      </c>
      <c r="G1057" s="6" t="s">
        <v>30</v>
      </c>
      <c r="H1057" s="6" t="s">
        <v>61</v>
      </c>
      <c r="I1057" s="6" t="s">
        <v>186</v>
      </c>
      <c r="J1057" s="6" t="s">
        <v>57</v>
      </c>
      <c r="K1057" s="6" t="s">
        <v>24</v>
      </c>
      <c r="L1057" s="6">
        <v>14</v>
      </c>
      <c r="M1057" s="7">
        <v>6999</v>
      </c>
      <c r="N1057" s="8">
        <v>0.08</v>
      </c>
      <c r="O1057" s="9">
        <v>4320</v>
      </c>
    </row>
    <row r="1058" spans="1:15" ht="18" x14ac:dyDescent="0.35">
      <c r="A1058" s="4" t="s">
        <v>1165</v>
      </c>
      <c r="B1058" s="5">
        <v>45814</v>
      </c>
      <c r="C1058" s="6" t="s">
        <v>36</v>
      </c>
      <c r="D1058" s="6" t="s">
        <v>121</v>
      </c>
      <c r="E1058" s="6" t="s">
        <v>75</v>
      </c>
      <c r="F1058" s="6" t="s">
        <v>19</v>
      </c>
      <c r="G1058" s="6" t="s">
        <v>20</v>
      </c>
      <c r="H1058" s="6" t="s">
        <v>45</v>
      </c>
      <c r="I1058" s="6" t="s">
        <v>196</v>
      </c>
      <c r="J1058" s="6" t="s">
        <v>23</v>
      </c>
      <c r="K1058" s="6" t="s">
        <v>24</v>
      </c>
      <c r="L1058" s="6">
        <v>37</v>
      </c>
      <c r="M1058" s="7">
        <v>2499</v>
      </c>
      <c r="N1058" s="8">
        <v>0.15</v>
      </c>
      <c r="O1058" s="9">
        <v>1510</v>
      </c>
    </row>
    <row r="1059" spans="1:15" ht="18" x14ac:dyDescent="0.35">
      <c r="A1059" s="4" t="s">
        <v>1166</v>
      </c>
      <c r="B1059" s="5">
        <v>45814</v>
      </c>
      <c r="C1059" s="6" t="s">
        <v>16</v>
      </c>
      <c r="D1059" s="6" t="s">
        <v>111</v>
      </c>
      <c r="E1059" s="6" t="s">
        <v>50</v>
      </c>
      <c r="F1059" s="6" t="s">
        <v>19</v>
      </c>
      <c r="G1059" s="6" t="s">
        <v>40</v>
      </c>
      <c r="H1059" s="6" t="s">
        <v>41</v>
      </c>
      <c r="I1059" s="6" t="s">
        <v>156</v>
      </c>
      <c r="J1059" s="6" t="s">
        <v>23</v>
      </c>
      <c r="K1059" s="6" t="s">
        <v>66</v>
      </c>
      <c r="L1059" s="6">
        <v>40</v>
      </c>
      <c r="M1059" s="7">
        <v>48500</v>
      </c>
      <c r="N1059" s="8">
        <v>0.12</v>
      </c>
      <c r="O1059" s="9">
        <v>30200</v>
      </c>
    </row>
    <row r="1060" spans="1:15" ht="18" x14ac:dyDescent="0.35">
      <c r="A1060" s="4" t="s">
        <v>1167</v>
      </c>
      <c r="B1060" s="5">
        <v>45814</v>
      </c>
      <c r="C1060" s="6" t="s">
        <v>36</v>
      </c>
      <c r="D1060" s="6" t="s">
        <v>121</v>
      </c>
      <c r="E1060" s="6" t="s">
        <v>105</v>
      </c>
      <c r="F1060" s="6" t="s">
        <v>39</v>
      </c>
      <c r="G1060" s="6" t="s">
        <v>40</v>
      </c>
      <c r="H1060" s="6" t="s">
        <v>41</v>
      </c>
      <c r="I1060" s="6" t="s">
        <v>42</v>
      </c>
      <c r="J1060" s="6" t="s">
        <v>57</v>
      </c>
      <c r="K1060" s="6" t="s">
        <v>34</v>
      </c>
      <c r="L1060" s="6">
        <v>38</v>
      </c>
      <c r="M1060" s="7">
        <v>55230</v>
      </c>
      <c r="N1060" s="8">
        <v>0.18</v>
      </c>
      <c r="O1060" s="9">
        <v>33800</v>
      </c>
    </row>
    <row r="1061" spans="1:15" ht="18" x14ac:dyDescent="0.35">
      <c r="A1061" s="4" t="s">
        <v>1168</v>
      </c>
      <c r="B1061" s="5">
        <v>45814</v>
      </c>
      <c r="C1061" s="6" t="s">
        <v>48</v>
      </c>
      <c r="D1061" s="6" t="s">
        <v>49</v>
      </c>
      <c r="E1061" s="6" t="s">
        <v>105</v>
      </c>
      <c r="F1061" s="6" t="s">
        <v>29</v>
      </c>
      <c r="G1061" s="6" t="s">
        <v>54</v>
      </c>
      <c r="H1061" s="6" t="s">
        <v>55</v>
      </c>
      <c r="I1061" s="6" t="s">
        <v>108</v>
      </c>
      <c r="J1061" s="6" t="s">
        <v>33</v>
      </c>
      <c r="K1061" s="6" t="s">
        <v>24</v>
      </c>
      <c r="L1061" s="6">
        <v>21</v>
      </c>
      <c r="M1061" s="7">
        <v>5890</v>
      </c>
      <c r="N1061" s="8">
        <v>0.12</v>
      </c>
      <c r="O1061" s="9">
        <v>3980</v>
      </c>
    </row>
    <row r="1062" spans="1:15" ht="18" x14ac:dyDescent="0.35">
      <c r="A1062" s="4" t="s">
        <v>1169</v>
      </c>
      <c r="B1062" s="5">
        <v>45816</v>
      </c>
      <c r="C1062" s="6" t="s">
        <v>16</v>
      </c>
      <c r="D1062" s="6" t="s">
        <v>126</v>
      </c>
      <c r="E1062" s="6" t="s">
        <v>38</v>
      </c>
      <c r="F1062" s="6" t="s">
        <v>39</v>
      </c>
      <c r="G1062" s="6" t="s">
        <v>30</v>
      </c>
      <c r="H1062" s="6" t="s">
        <v>31</v>
      </c>
      <c r="I1062" s="6" t="s">
        <v>106</v>
      </c>
      <c r="J1062" s="6" t="s">
        <v>23</v>
      </c>
      <c r="K1062" s="6" t="s">
        <v>24</v>
      </c>
      <c r="L1062" s="6">
        <v>10</v>
      </c>
      <c r="M1062" s="7">
        <v>52990</v>
      </c>
      <c r="N1062" s="8">
        <v>0.12</v>
      </c>
      <c r="O1062" s="9">
        <v>35100</v>
      </c>
    </row>
    <row r="1063" spans="1:15" ht="18" x14ac:dyDescent="0.35">
      <c r="A1063" s="4" t="s">
        <v>1170</v>
      </c>
      <c r="B1063" s="5">
        <v>45816</v>
      </c>
      <c r="C1063" s="6" t="s">
        <v>36</v>
      </c>
      <c r="D1063" s="6" t="s">
        <v>59</v>
      </c>
      <c r="E1063" s="6" t="s">
        <v>101</v>
      </c>
      <c r="F1063" s="6" t="s">
        <v>19</v>
      </c>
      <c r="G1063" s="6" t="s">
        <v>70</v>
      </c>
      <c r="H1063" s="6" t="s">
        <v>71</v>
      </c>
      <c r="I1063" s="6" t="s">
        <v>72</v>
      </c>
      <c r="J1063" s="6" t="s">
        <v>57</v>
      </c>
      <c r="K1063" s="6" t="s">
        <v>66</v>
      </c>
      <c r="L1063" s="6">
        <v>36</v>
      </c>
      <c r="M1063" s="7">
        <v>3499</v>
      </c>
      <c r="N1063" s="8">
        <v>0.15</v>
      </c>
      <c r="O1063" s="9">
        <v>2190</v>
      </c>
    </row>
    <row r="1064" spans="1:15" ht="18" x14ac:dyDescent="0.35">
      <c r="A1064" s="4" t="s">
        <v>1171</v>
      </c>
      <c r="B1064" s="5">
        <v>45819</v>
      </c>
      <c r="C1064" s="6" t="s">
        <v>36</v>
      </c>
      <c r="D1064" s="6" t="s">
        <v>59</v>
      </c>
      <c r="E1064" s="6" t="s">
        <v>75</v>
      </c>
      <c r="F1064" s="6" t="s">
        <v>19</v>
      </c>
      <c r="G1064" s="6" t="s">
        <v>54</v>
      </c>
      <c r="H1064" s="6" t="s">
        <v>55</v>
      </c>
      <c r="I1064" s="6" t="s">
        <v>108</v>
      </c>
      <c r="J1064" s="6" t="s">
        <v>23</v>
      </c>
      <c r="K1064" s="6" t="s">
        <v>24</v>
      </c>
      <c r="L1064" s="6">
        <v>6</v>
      </c>
      <c r="M1064" s="7">
        <v>5890</v>
      </c>
      <c r="N1064" s="8">
        <v>0.1</v>
      </c>
      <c r="O1064" s="9">
        <v>3980</v>
      </c>
    </row>
    <row r="1065" spans="1:15" ht="18" x14ac:dyDescent="0.35">
      <c r="A1065" s="4" t="s">
        <v>1172</v>
      </c>
      <c r="B1065" s="5">
        <v>45819</v>
      </c>
      <c r="C1065" s="6" t="s">
        <v>16</v>
      </c>
      <c r="D1065" s="6" t="s">
        <v>111</v>
      </c>
      <c r="E1065" s="6" t="s">
        <v>18</v>
      </c>
      <c r="F1065" s="6" t="s">
        <v>39</v>
      </c>
      <c r="G1065" s="6" t="s">
        <v>30</v>
      </c>
      <c r="H1065" s="6" t="s">
        <v>61</v>
      </c>
      <c r="I1065" s="6" t="s">
        <v>186</v>
      </c>
      <c r="J1065" s="6" t="s">
        <v>33</v>
      </c>
      <c r="K1065" s="6" t="s">
        <v>24</v>
      </c>
      <c r="L1065" s="6">
        <v>15</v>
      </c>
      <c r="M1065" s="7">
        <v>6999</v>
      </c>
      <c r="N1065" s="8">
        <v>0.12</v>
      </c>
      <c r="O1065" s="9">
        <v>4320</v>
      </c>
    </row>
    <row r="1066" spans="1:15" ht="18" x14ac:dyDescent="0.35">
      <c r="A1066" s="4" t="s">
        <v>1173</v>
      </c>
      <c r="B1066" s="5">
        <v>45820</v>
      </c>
      <c r="C1066" s="6" t="s">
        <v>26</v>
      </c>
      <c r="D1066" s="6" t="s">
        <v>74</v>
      </c>
      <c r="E1066" s="6" t="s">
        <v>28</v>
      </c>
      <c r="F1066" s="6" t="s">
        <v>29</v>
      </c>
      <c r="G1066" s="6" t="s">
        <v>54</v>
      </c>
      <c r="H1066" s="6" t="s">
        <v>129</v>
      </c>
      <c r="I1066" s="6" t="s">
        <v>145</v>
      </c>
      <c r="J1066" s="6" t="s">
        <v>57</v>
      </c>
      <c r="K1066" s="6" t="s">
        <v>24</v>
      </c>
      <c r="L1066" s="6">
        <v>9</v>
      </c>
      <c r="M1066" s="7">
        <v>31490</v>
      </c>
      <c r="N1066" s="8">
        <v>0.2</v>
      </c>
      <c r="O1066" s="9">
        <v>21300</v>
      </c>
    </row>
    <row r="1067" spans="1:15" ht="18" x14ac:dyDescent="0.35">
      <c r="A1067" s="4" t="s">
        <v>1174</v>
      </c>
      <c r="B1067" s="5">
        <v>45821</v>
      </c>
      <c r="C1067" s="6" t="s">
        <v>82</v>
      </c>
      <c r="D1067" s="6" t="s">
        <v>183</v>
      </c>
      <c r="E1067" s="6" t="s">
        <v>38</v>
      </c>
      <c r="F1067" s="6" t="s">
        <v>19</v>
      </c>
      <c r="G1067" s="6" t="s">
        <v>70</v>
      </c>
      <c r="H1067" s="6" t="s">
        <v>71</v>
      </c>
      <c r="I1067" s="6" t="s">
        <v>88</v>
      </c>
      <c r="J1067" s="6" t="s">
        <v>23</v>
      </c>
      <c r="K1067" s="6" t="s">
        <v>34</v>
      </c>
      <c r="L1067" s="6">
        <v>28</v>
      </c>
      <c r="M1067" s="7">
        <v>999</v>
      </c>
      <c r="N1067" s="8">
        <v>0.1</v>
      </c>
      <c r="O1067" s="9">
        <v>540</v>
      </c>
    </row>
    <row r="1068" spans="1:15" ht="18" x14ac:dyDescent="0.35">
      <c r="A1068" s="4" t="s">
        <v>1175</v>
      </c>
      <c r="B1068" s="5">
        <v>45821</v>
      </c>
      <c r="C1068" s="6" t="s">
        <v>16</v>
      </c>
      <c r="D1068" s="6" t="s">
        <v>17</v>
      </c>
      <c r="E1068" s="6" t="s">
        <v>60</v>
      </c>
      <c r="F1068" s="6" t="s">
        <v>39</v>
      </c>
      <c r="G1068" s="6" t="s">
        <v>20</v>
      </c>
      <c r="H1068" s="6" t="s">
        <v>45</v>
      </c>
      <c r="I1068" s="6" t="s">
        <v>103</v>
      </c>
      <c r="J1068" s="6" t="s">
        <v>33</v>
      </c>
      <c r="K1068" s="6" t="s">
        <v>34</v>
      </c>
      <c r="L1068" s="6">
        <v>39</v>
      </c>
      <c r="M1068" s="7">
        <v>1599</v>
      </c>
      <c r="N1068" s="8">
        <v>0.1</v>
      </c>
      <c r="O1068" s="9">
        <v>920</v>
      </c>
    </row>
    <row r="1069" spans="1:15" ht="18" x14ac:dyDescent="0.35">
      <c r="A1069" s="4" t="s">
        <v>1176</v>
      </c>
      <c r="B1069" s="5">
        <v>45821</v>
      </c>
      <c r="C1069" s="6" t="s">
        <v>48</v>
      </c>
      <c r="D1069" s="6" t="s">
        <v>93</v>
      </c>
      <c r="E1069" s="6" t="s">
        <v>60</v>
      </c>
      <c r="F1069" s="6" t="s">
        <v>19</v>
      </c>
      <c r="G1069" s="6" t="s">
        <v>30</v>
      </c>
      <c r="H1069" s="6" t="s">
        <v>61</v>
      </c>
      <c r="I1069" s="6" t="s">
        <v>62</v>
      </c>
      <c r="J1069" s="6" t="s">
        <v>57</v>
      </c>
      <c r="K1069" s="6" t="s">
        <v>78</v>
      </c>
      <c r="L1069" s="6">
        <v>2</v>
      </c>
      <c r="M1069" s="7">
        <v>12490</v>
      </c>
      <c r="N1069" s="8">
        <v>0.12</v>
      </c>
      <c r="O1069" s="9">
        <v>7900</v>
      </c>
    </row>
    <row r="1070" spans="1:15" ht="18" x14ac:dyDescent="0.35">
      <c r="A1070" s="4" t="s">
        <v>1177</v>
      </c>
      <c r="B1070" s="5">
        <v>45822</v>
      </c>
      <c r="C1070" s="6" t="s">
        <v>26</v>
      </c>
      <c r="D1070" s="6" t="s">
        <v>74</v>
      </c>
      <c r="E1070" s="6" t="s">
        <v>84</v>
      </c>
      <c r="F1070" s="6" t="s">
        <v>39</v>
      </c>
      <c r="G1070" s="6" t="s">
        <v>70</v>
      </c>
      <c r="H1070" s="6" t="s">
        <v>71</v>
      </c>
      <c r="I1070" s="6" t="s">
        <v>88</v>
      </c>
      <c r="J1070" s="6" t="s">
        <v>57</v>
      </c>
      <c r="K1070" s="6" t="s">
        <v>66</v>
      </c>
      <c r="L1070" s="6">
        <v>32</v>
      </c>
      <c r="M1070" s="7">
        <v>999</v>
      </c>
      <c r="N1070" s="8">
        <v>0.1</v>
      </c>
      <c r="O1070" s="9">
        <v>540</v>
      </c>
    </row>
    <row r="1071" spans="1:15" ht="18" x14ac:dyDescent="0.35">
      <c r="A1071" s="4" t="s">
        <v>1178</v>
      </c>
      <c r="B1071" s="5">
        <v>45822</v>
      </c>
      <c r="C1071" s="6" t="s">
        <v>26</v>
      </c>
      <c r="D1071" s="6" t="s">
        <v>53</v>
      </c>
      <c r="E1071" s="6" t="s">
        <v>75</v>
      </c>
      <c r="F1071" s="6" t="s">
        <v>19</v>
      </c>
      <c r="G1071" s="6" t="s">
        <v>30</v>
      </c>
      <c r="H1071" s="6" t="s">
        <v>31</v>
      </c>
      <c r="I1071" s="6" t="s">
        <v>32</v>
      </c>
      <c r="J1071" s="6" t="s">
        <v>23</v>
      </c>
      <c r="K1071" s="6" t="s">
        <v>24</v>
      </c>
      <c r="L1071" s="6">
        <v>10</v>
      </c>
      <c r="M1071" s="7">
        <v>38990</v>
      </c>
      <c r="N1071" s="8">
        <v>0.05</v>
      </c>
      <c r="O1071" s="9">
        <v>25400</v>
      </c>
    </row>
    <row r="1072" spans="1:15" ht="18" x14ac:dyDescent="0.35">
      <c r="A1072" s="4" t="s">
        <v>1179</v>
      </c>
      <c r="B1072" s="5">
        <v>45822</v>
      </c>
      <c r="C1072" s="6" t="s">
        <v>26</v>
      </c>
      <c r="D1072" s="6" t="s">
        <v>53</v>
      </c>
      <c r="E1072" s="6" t="s">
        <v>101</v>
      </c>
      <c r="F1072" s="6" t="s">
        <v>29</v>
      </c>
      <c r="G1072" s="6" t="s">
        <v>20</v>
      </c>
      <c r="H1072" s="6" t="s">
        <v>45</v>
      </c>
      <c r="I1072" s="6" t="s">
        <v>103</v>
      </c>
      <c r="J1072" s="6" t="s">
        <v>23</v>
      </c>
      <c r="K1072" s="6" t="s">
        <v>34</v>
      </c>
      <c r="L1072" s="6">
        <v>31</v>
      </c>
      <c r="M1072" s="7">
        <v>1599</v>
      </c>
      <c r="N1072" s="8">
        <v>0.12</v>
      </c>
      <c r="O1072" s="9">
        <v>920</v>
      </c>
    </row>
    <row r="1073" spans="1:15" ht="18" x14ac:dyDescent="0.35">
      <c r="A1073" s="4" t="s">
        <v>1180</v>
      </c>
      <c r="B1073" s="5">
        <v>45823</v>
      </c>
      <c r="C1073" s="6" t="s">
        <v>48</v>
      </c>
      <c r="D1073" s="6" t="s">
        <v>68</v>
      </c>
      <c r="E1073" s="6" t="s">
        <v>38</v>
      </c>
      <c r="F1073" s="6" t="s">
        <v>19</v>
      </c>
      <c r="G1073" s="6" t="s">
        <v>40</v>
      </c>
      <c r="H1073" s="6" t="s">
        <v>76</v>
      </c>
      <c r="I1073" s="6" t="s">
        <v>77</v>
      </c>
      <c r="J1073" s="6" t="s">
        <v>23</v>
      </c>
      <c r="K1073" s="6" t="s">
        <v>66</v>
      </c>
      <c r="L1073" s="6">
        <v>4</v>
      </c>
      <c r="M1073" s="7">
        <v>52990</v>
      </c>
      <c r="N1073" s="8">
        <v>0.2</v>
      </c>
      <c r="O1073" s="9">
        <v>39500</v>
      </c>
    </row>
    <row r="1074" spans="1:15" ht="18" x14ac:dyDescent="0.35">
      <c r="A1074" s="4" t="s">
        <v>1181</v>
      </c>
      <c r="B1074" s="5">
        <v>45823</v>
      </c>
      <c r="C1074" s="6" t="s">
        <v>26</v>
      </c>
      <c r="D1074" s="6" t="s">
        <v>53</v>
      </c>
      <c r="E1074" s="6" t="s">
        <v>101</v>
      </c>
      <c r="F1074" s="6" t="s">
        <v>39</v>
      </c>
      <c r="G1074" s="6" t="s">
        <v>20</v>
      </c>
      <c r="H1074" s="6" t="s">
        <v>45</v>
      </c>
      <c r="I1074" s="6" t="s">
        <v>103</v>
      </c>
      <c r="J1074" s="6" t="s">
        <v>57</v>
      </c>
      <c r="K1074" s="6" t="s">
        <v>24</v>
      </c>
      <c r="L1074" s="6">
        <v>11</v>
      </c>
      <c r="M1074" s="7">
        <v>1599</v>
      </c>
      <c r="N1074" s="8">
        <v>0.08</v>
      </c>
      <c r="O1074" s="9">
        <v>920</v>
      </c>
    </row>
    <row r="1075" spans="1:15" ht="18" x14ac:dyDescent="0.35">
      <c r="A1075" s="4" t="s">
        <v>1182</v>
      </c>
      <c r="B1075" s="5">
        <v>45823</v>
      </c>
      <c r="C1075" s="6" t="s">
        <v>16</v>
      </c>
      <c r="D1075" s="6" t="s">
        <v>126</v>
      </c>
      <c r="E1075" s="6" t="s">
        <v>105</v>
      </c>
      <c r="F1075" s="6" t="s">
        <v>29</v>
      </c>
      <c r="G1075" s="6" t="s">
        <v>30</v>
      </c>
      <c r="H1075" s="6" t="s">
        <v>31</v>
      </c>
      <c r="I1075" s="6" t="s">
        <v>106</v>
      </c>
      <c r="J1075" s="6" t="s">
        <v>33</v>
      </c>
      <c r="K1075" s="6" t="s">
        <v>66</v>
      </c>
      <c r="L1075" s="6">
        <v>28</v>
      </c>
      <c r="M1075" s="7">
        <v>52990</v>
      </c>
      <c r="N1075" s="8">
        <v>0.18</v>
      </c>
      <c r="O1075" s="9">
        <v>35100</v>
      </c>
    </row>
    <row r="1076" spans="1:15" ht="18" x14ac:dyDescent="0.35">
      <c r="A1076" s="4" t="s">
        <v>1183</v>
      </c>
      <c r="B1076" s="5">
        <v>45824</v>
      </c>
      <c r="C1076" s="6" t="s">
        <v>16</v>
      </c>
      <c r="D1076" s="6" t="s">
        <v>111</v>
      </c>
      <c r="E1076" s="6" t="s">
        <v>75</v>
      </c>
      <c r="F1076" s="6" t="s">
        <v>39</v>
      </c>
      <c r="G1076" s="6" t="s">
        <v>30</v>
      </c>
      <c r="H1076" s="6" t="s">
        <v>61</v>
      </c>
      <c r="I1076" s="6" t="s">
        <v>186</v>
      </c>
      <c r="J1076" s="6" t="s">
        <v>57</v>
      </c>
      <c r="K1076" s="6" t="s">
        <v>34</v>
      </c>
      <c r="L1076" s="6">
        <v>2</v>
      </c>
      <c r="M1076" s="7">
        <v>6999</v>
      </c>
      <c r="N1076" s="8">
        <v>0.12</v>
      </c>
      <c r="O1076" s="9">
        <v>4320</v>
      </c>
    </row>
    <row r="1077" spans="1:15" ht="18" x14ac:dyDescent="0.35">
      <c r="A1077" s="4" t="s">
        <v>1184</v>
      </c>
      <c r="B1077" s="5">
        <v>45824</v>
      </c>
      <c r="C1077" s="6" t="s">
        <v>82</v>
      </c>
      <c r="D1077" s="6" t="s">
        <v>83</v>
      </c>
      <c r="E1077" s="6" t="s">
        <v>101</v>
      </c>
      <c r="F1077" s="6" t="s">
        <v>19</v>
      </c>
      <c r="G1077" s="6" t="s">
        <v>70</v>
      </c>
      <c r="H1077" s="6" t="s">
        <v>71</v>
      </c>
      <c r="I1077" s="6" t="s">
        <v>80</v>
      </c>
      <c r="J1077" s="6" t="s">
        <v>33</v>
      </c>
      <c r="K1077" s="6" t="s">
        <v>24</v>
      </c>
      <c r="L1077" s="6">
        <v>2</v>
      </c>
      <c r="M1077" s="7">
        <v>1299</v>
      </c>
      <c r="N1077" s="8">
        <v>0.18</v>
      </c>
      <c r="O1077" s="9">
        <v>720</v>
      </c>
    </row>
    <row r="1078" spans="1:15" ht="18" x14ac:dyDescent="0.35">
      <c r="A1078" s="4" t="s">
        <v>1185</v>
      </c>
      <c r="B1078" s="5">
        <v>45825</v>
      </c>
      <c r="C1078" s="6" t="s">
        <v>82</v>
      </c>
      <c r="D1078" s="6" t="s">
        <v>100</v>
      </c>
      <c r="E1078" s="6" t="s">
        <v>105</v>
      </c>
      <c r="F1078" s="6" t="s">
        <v>19</v>
      </c>
      <c r="G1078" s="6" t="s">
        <v>30</v>
      </c>
      <c r="H1078" s="6" t="s">
        <v>61</v>
      </c>
      <c r="I1078" s="6" t="s">
        <v>62</v>
      </c>
      <c r="J1078" s="6" t="s">
        <v>57</v>
      </c>
      <c r="K1078" s="6" t="s">
        <v>78</v>
      </c>
      <c r="L1078" s="6">
        <v>16</v>
      </c>
      <c r="M1078" s="7">
        <v>12490</v>
      </c>
      <c r="N1078" s="8">
        <v>0.05</v>
      </c>
      <c r="O1078" s="9">
        <v>7900</v>
      </c>
    </row>
    <row r="1079" spans="1:15" ht="18" x14ac:dyDescent="0.35">
      <c r="A1079" s="4" t="s">
        <v>1186</v>
      </c>
      <c r="B1079" s="5">
        <v>45825</v>
      </c>
      <c r="C1079" s="6" t="s">
        <v>48</v>
      </c>
      <c r="D1079" s="6" t="s">
        <v>136</v>
      </c>
      <c r="E1079" s="6" t="s">
        <v>84</v>
      </c>
      <c r="F1079" s="6" t="s">
        <v>39</v>
      </c>
      <c r="G1079" s="6" t="s">
        <v>54</v>
      </c>
      <c r="H1079" s="6" t="s">
        <v>129</v>
      </c>
      <c r="I1079" s="6" t="s">
        <v>192</v>
      </c>
      <c r="J1079" s="6" t="s">
        <v>33</v>
      </c>
      <c r="K1079" s="6" t="s">
        <v>34</v>
      </c>
      <c r="L1079" s="6">
        <v>33</v>
      </c>
      <c r="M1079" s="7">
        <v>29010</v>
      </c>
      <c r="N1079" s="8">
        <v>0.05</v>
      </c>
      <c r="O1079" s="9">
        <v>19100</v>
      </c>
    </row>
    <row r="1080" spans="1:15" ht="18" x14ac:dyDescent="0.35">
      <c r="A1080" s="4" t="s">
        <v>1187</v>
      </c>
      <c r="B1080" s="5">
        <v>45825</v>
      </c>
      <c r="C1080" s="6" t="s">
        <v>36</v>
      </c>
      <c r="D1080" s="6" t="s">
        <v>37</v>
      </c>
      <c r="E1080" s="6" t="s">
        <v>38</v>
      </c>
      <c r="F1080" s="6" t="s">
        <v>29</v>
      </c>
      <c r="G1080" s="6" t="s">
        <v>70</v>
      </c>
      <c r="H1080" s="6" t="s">
        <v>71</v>
      </c>
      <c r="I1080" s="6" t="s">
        <v>80</v>
      </c>
      <c r="J1080" s="6" t="s">
        <v>57</v>
      </c>
      <c r="K1080" s="6" t="s">
        <v>24</v>
      </c>
      <c r="L1080" s="6">
        <v>14</v>
      </c>
      <c r="M1080" s="7">
        <v>1299</v>
      </c>
      <c r="N1080" s="8">
        <v>0.05</v>
      </c>
      <c r="O1080" s="9">
        <v>720</v>
      </c>
    </row>
    <row r="1081" spans="1:15" ht="18" x14ac:dyDescent="0.35">
      <c r="A1081" s="4" t="s">
        <v>1188</v>
      </c>
      <c r="B1081" s="5">
        <v>45825</v>
      </c>
      <c r="C1081" s="6" t="s">
        <v>26</v>
      </c>
      <c r="D1081" s="6" t="s">
        <v>74</v>
      </c>
      <c r="E1081" s="6" t="s">
        <v>28</v>
      </c>
      <c r="F1081" s="6" t="s">
        <v>39</v>
      </c>
      <c r="G1081" s="6" t="s">
        <v>54</v>
      </c>
      <c r="H1081" s="6" t="s">
        <v>55</v>
      </c>
      <c r="I1081" s="6" t="s">
        <v>56</v>
      </c>
      <c r="J1081" s="6" t="s">
        <v>33</v>
      </c>
      <c r="K1081" s="6" t="s">
        <v>24</v>
      </c>
      <c r="L1081" s="6">
        <v>9</v>
      </c>
      <c r="M1081" s="7">
        <v>7299</v>
      </c>
      <c r="N1081" s="8">
        <v>0.12</v>
      </c>
      <c r="O1081" s="9">
        <v>5010</v>
      </c>
    </row>
    <row r="1082" spans="1:15" ht="18" x14ac:dyDescent="0.35">
      <c r="A1082" s="4" t="s">
        <v>1189</v>
      </c>
      <c r="B1082" s="5">
        <v>45825</v>
      </c>
      <c r="C1082" s="6" t="s">
        <v>26</v>
      </c>
      <c r="D1082" s="6" t="s">
        <v>27</v>
      </c>
      <c r="E1082" s="6" t="s">
        <v>75</v>
      </c>
      <c r="F1082" s="6" t="s">
        <v>29</v>
      </c>
      <c r="G1082" s="6" t="s">
        <v>30</v>
      </c>
      <c r="H1082" s="6" t="s">
        <v>31</v>
      </c>
      <c r="I1082" s="6" t="s">
        <v>85</v>
      </c>
      <c r="J1082" s="6" t="s">
        <v>57</v>
      </c>
      <c r="K1082" s="6" t="s">
        <v>24</v>
      </c>
      <c r="L1082" s="6">
        <v>38</v>
      </c>
      <c r="M1082" s="7">
        <v>43500</v>
      </c>
      <c r="N1082" s="8">
        <v>0.18</v>
      </c>
      <c r="O1082" s="9">
        <v>29520</v>
      </c>
    </row>
    <row r="1083" spans="1:15" ht="18" x14ac:dyDescent="0.35">
      <c r="A1083" s="4" t="s">
        <v>1190</v>
      </c>
      <c r="B1083" s="5">
        <v>45825</v>
      </c>
      <c r="C1083" s="6" t="s">
        <v>26</v>
      </c>
      <c r="D1083" s="6" t="s">
        <v>53</v>
      </c>
      <c r="E1083" s="6" t="s">
        <v>18</v>
      </c>
      <c r="F1083" s="6" t="s">
        <v>29</v>
      </c>
      <c r="G1083" s="6" t="s">
        <v>40</v>
      </c>
      <c r="H1083" s="6" t="s">
        <v>41</v>
      </c>
      <c r="I1083" s="6" t="s">
        <v>156</v>
      </c>
      <c r="J1083" s="6" t="s">
        <v>57</v>
      </c>
      <c r="K1083" s="6" t="s">
        <v>24</v>
      </c>
      <c r="L1083" s="6">
        <v>12</v>
      </c>
      <c r="M1083" s="7">
        <v>48500</v>
      </c>
      <c r="N1083" s="8">
        <v>0.15</v>
      </c>
      <c r="O1083" s="9">
        <v>30200</v>
      </c>
    </row>
    <row r="1084" spans="1:15" ht="18" x14ac:dyDescent="0.35">
      <c r="A1084" s="4" t="s">
        <v>1191</v>
      </c>
      <c r="B1084" s="5">
        <v>45825</v>
      </c>
      <c r="C1084" s="6" t="s">
        <v>82</v>
      </c>
      <c r="D1084" s="6" t="s">
        <v>183</v>
      </c>
      <c r="E1084" s="6" t="s">
        <v>101</v>
      </c>
      <c r="F1084" s="6" t="s">
        <v>29</v>
      </c>
      <c r="G1084" s="6" t="s">
        <v>54</v>
      </c>
      <c r="H1084" s="6" t="s">
        <v>55</v>
      </c>
      <c r="I1084" s="6" t="s">
        <v>56</v>
      </c>
      <c r="J1084" s="6" t="s">
        <v>33</v>
      </c>
      <c r="K1084" s="6" t="s">
        <v>34</v>
      </c>
      <c r="L1084" s="6">
        <v>25</v>
      </c>
      <c r="M1084" s="7">
        <v>7299</v>
      </c>
      <c r="N1084" s="8">
        <v>0.18</v>
      </c>
      <c r="O1084" s="9">
        <v>5010</v>
      </c>
    </row>
    <row r="1085" spans="1:15" ht="18" x14ac:dyDescent="0.35">
      <c r="A1085" s="4" t="s">
        <v>1192</v>
      </c>
      <c r="B1085" s="5">
        <v>45825</v>
      </c>
      <c r="C1085" s="6" t="s">
        <v>48</v>
      </c>
      <c r="D1085" s="6" t="s">
        <v>68</v>
      </c>
      <c r="E1085" s="6" t="s">
        <v>101</v>
      </c>
      <c r="F1085" s="6" t="s">
        <v>19</v>
      </c>
      <c r="G1085" s="6" t="s">
        <v>30</v>
      </c>
      <c r="H1085" s="6" t="s">
        <v>31</v>
      </c>
      <c r="I1085" s="6" t="s">
        <v>106</v>
      </c>
      <c r="J1085" s="6" t="s">
        <v>57</v>
      </c>
      <c r="K1085" s="6" t="s">
        <v>24</v>
      </c>
      <c r="L1085" s="6">
        <v>35</v>
      </c>
      <c r="M1085" s="7">
        <v>52990</v>
      </c>
      <c r="N1085" s="8">
        <v>0.15</v>
      </c>
      <c r="O1085" s="9">
        <v>35100</v>
      </c>
    </row>
    <row r="1086" spans="1:15" ht="18" x14ac:dyDescent="0.35">
      <c r="A1086" s="4" t="s">
        <v>1193</v>
      </c>
      <c r="B1086" s="5">
        <v>45826</v>
      </c>
      <c r="C1086" s="6" t="s">
        <v>26</v>
      </c>
      <c r="D1086" s="6" t="s">
        <v>74</v>
      </c>
      <c r="E1086" s="6" t="s">
        <v>50</v>
      </c>
      <c r="F1086" s="6" t="s">
        <v>39</v>
      </c>
      <c r="G1086" s="6" t="s">
        <v>40</v>
      </c>
      <c r="H1086" s="6" t="s">
        <v>76</v>
      </c>
      <c r="I1086" s="6" t="s">
        <v>77</v>
      </c>
      <c r="J1086" s="6" t="s">
        <v>23</v>
      </c>
      <c r="K1086" s="6" t="s">
        <v>24</v>
      </c>
      <c r="L1086" s="6">
        <v>30</v>
      </c>
      <c r="M1086" s="7">
        <v>52990</v>
      </c>
      <c r="N1086" s="8">
        <v>0.15</v>
      </c>
      <c r="O1086" s="9">
        <v>39500</v>
      </c>
    </row>
    <row r="1087" spans="1:15" ht="18" x14ac:dyDescent="0.35">
      <c r="A1087" s="4" t="s">
        <v>1194</v>
      </c>
      <c r="B1087" s="5">
        <v>45826</v>
      </c>
      <c r="C1087" s="6" t="s">
        <v>36</v>
      </c>
      <c r="D1087" s="6" t="s">
        <v>44</v>
      </c>
      <c r="E1087" s="6" t="s">
        <v>69</v>
      </c>
      <c r="F1087" s="6" t="s">
        <v>29</v>
      </c>
      <c r="G1087" s="6" t="s">
        <v>20</v>
      </c>
      <c r="H1087" s="6" t="s">
        <v>21</v>
      </c>
      <c r="I1087" s="6" t="s">
        <v>22</v>
      </c>
      <c r="J1087" s="6" t="s">
        <v>57</v>
      </c>
      <c r="K1087" s="6" t="s">
        <v>24</v>
      </c>
      <c r="L1087" s="6">
        <v>31</v>
      </c>
      <c r="M1087" s="7">
        <v>4499</v>
      </c>
      <c r="N1087" s="8">
        <v>0.05</v>
      </c>
      <c r="O1087" s="9">
        <v>2910</v>
      </c>
    </row>
    <row r="1088" spans="1:15" ht="18" x14ac:dyDescent="0.35">
      <c r="A1088" s="4" t="s">
        <v>1195</v>
      </c>
      <c r="B1088" s="5">
        <v>45826</v>
      </c>
      <c r="C1088" s="6" t="s">
        <v>36</v>
      </c>
      <c r="D1088" s="6" t="s">
        <v>121</v>
      </c>
      <c r="E1088" s="6" t="s">
        <v>84</v>
      </c>
      <c r="F1088" s="6" t="s">
        <v>19</v>
      </c>
      <c r="G1088" s="6" t="s">
        <v>40</v>
      </c>
      <c r="H1088" s="6" t="s">
        <v>64</v>
      </c>
      <c r="I1088" s="6" t="s">
        <v>65</v>
      </c>
      <c r="J1088" s="6" t="s">
        <v>23</v>
      </c>
      <c r="K1088" s="6" t="s">
        <v>78</v>
      </c>
      <c r="L1088" s="6">
        <v>27</v>
      </c>
      <c r="M1088" s="7">
        <v>1930</v>
      </c>
      <c r="N1088" s="8">
        <v>0.05</v>
      </c>
      <c r="O1088" s="9">
        <v>1120</v>
      </c>
    </row>
    <row r="1089" spans="1:15" ht="18" x14ac:dyDescent="0.35">
      <c r="A1089" s="4" t="s">
        <v>1196</v>
      </c>
      <c r="B1089" s="5">
        <v>45826</v>
      </c>
      <c r="C1089" s="6" t="s">
        <v>82</v>
      </c>
      <c r="D1089" s="6" t="s">
        <v>83</v>
      </c>
      <c r="E1089" s="6" t="s">
        <v>105</v>
      </c>
      <c r="F1089" s="6" t="s">
        <v>29</v>
      </c>
      <c r="G1089" s="6" t="s">
        <v>30</v>
      </c>
      <c r="H1089" s="6" t="s">
        <v>61</v>
      </c>
      <c r="I1089" s="6" t="s">
        <v>96</v>
      </c>
      <c r="J1089" s="6" t="s">
        <v>57</v>
      </c>
      <c r="K1089" s="6" t="s">
        <v>66</v>
      </c>
      <c r="L1089" s="6">
        <v>1</v>
      </c>
      <c r="M1089" s="7">
        <v>25110</v>
      </c>
      <c r="N1089" s="8">
        <v>0.18</v>
      </c>
      <c r="O1089" s="9">
        <v>16730</v>
      </c>
    </row>
    <row r="1090" spans="1:15" ht="18" x14ac:dyDescent="0.35">
      <c r="A1090" s="4" t="s">
        <v>1197</v>
      </c>
      <c r="B1090" s="5">
        <v>45827</v>
      </c>
      <c r="C1090" s="6" t="s">
        <v>16</v>
      </c>
      <c r="D1090" s="6" t="s">
        <v>111</v>
      </c>
      <c r="E1090" s="6" t="s">
        <v>105</v>
      </c>
      <c r="F1090" s="6" t="s">
        <v>29</v>
      </c>
      <c r="G1090" s="6" t="s">
        <v>30</v>
      </c>
      <c r="H1090" s="6" t="s">
        <v>31</v>
      </c>
      <c r="I1090" s="6" t="s">
        <v>32</v>
      </c>
      <c r="J1090" s="6" t="s">
        <v>23</v>
      </c>
      <c r="K1090" s="6" t="s">
        <v>24</v>
      </c>
      <c r="L1090" s="6">
        <v>23</v>
      </c>
      <c r="M1090" s="7">
        <v>38990</v>
      </c>
      <c r="N1090" s="8">
        <v>0.2</v>
      </c>
      <c r="O1090" s="9">
        <v>25400</v>
      </c>
    </row>
    <row r="1091" spans="1:15" ht="18" x14ac:dyDescent="0.35">
      <c r="A1091" s="4" t="s">
        <v>1198</v>
      </c>
      <c r="B1091" s="5">
        <v>45827</v>
      </c>
      <c r="C1091" s="6" t="s">
        <v>36</v>
      </c>
      <c r="D1091" s="6" t="s">
        <v>121</v>
      </c>
      <c r="E1091" s="6" t="s">
        <v>84</v>
      </c>
      <c r="F1091" s="6" t="s">
        <v>39</v>
      </c>
      <c r="G1091" s="6" t="s">
        <v>20</v>
      </c>
      <c r="H1091" s="6" t="s">
        <v>45</v>
      </c>
      <c r="I1091" s="6" t="s">
        <v>103</v>
      </c>
      <c r="J1091" s="6" t="s">
        <v>57</v>
      </c>
      <c r="K1091" s="6" t="s">
        <v>66</v>
      </c>
      <c r="L1091" s="6">
        <v>10</v>
      </c>
      <c r="M1091" s="7">
        <v>1599</v>
      </c>
      <c r="N1091" s="8">
        <v>0.18</v>
      </c>
      <c r="O1091" s="9">
        <v>920</v>
      </c>
    </row>
    <row r="1092" spans="1:15" ht="18" x14ac:dyDescent="0.35">
      <c r="A1092" s="4" t="s">
        <v>1199</v>
      </c>
      <c r="B1092" s="5">
        <v>45827</v>
      </c>
      <c r="C1092" s="6" t="s">
        <v>36</v>
      </c>
      <c r="D1092" s="6" t="s">
        <v>37</v>
      </c>
      <c r="E1092" s="6" t="s">
        <v>75</v>
      </c>
      <c r="F1092" s="6" t="s">
        <v>19</v>
      </c>
      <c r="G1092" s="6" t="s">
        <v>54</v>
      </c>
      <c r="H1092" s="6" t="s">
        <v>129</v>
      </c>
      <c r="I1092" s="6" t="s">
        <v>192</v>
      </c>
      <c r="J1092" s="6" t="s">
        <v>57</v>
      </c>
      <c r="K1092" s="6" t="s">
        <v>24</v>
      </c>
      <c r="L1092" s="6">
        <v>16</v>
      </c>
      <c r="M1092" s="7">
        <v>29010</v>
      </c>
      <c r="N1092" s="8">
        <v>0.18</v>
      </c>
      <c r="O1092" s="9">
        <v>19100</v>
      </c>
    </row>
    <row r="1093" spans="1:15" ht="18" x14ac:dyDescent="0.35">
      <c r="A1093" s="4" t="s">
        <v>1200</v>
      </c>
      <c r="B1093" s="5">
        <v>45828</v>
      </c>
      <c r="C1093" s="6" t="s">
        <v>26</v>
      </c>
      <c r="D1093" s="6" t="s">
        <v>27</v>
      </c>
      <c r="E1093" s="6" t="s">
        <v>28</v>
      </c>
      <c r="F1093" s="6" t="s">
        <v>29</v>
      </c>
      <c r="G1093" s="6" t="s">
        <v>40</v>
      </c>
      <c r="H1093" s="6" t="s">
        <v>41</v>
      </c>
      <c r="I1093" s="6" t="s">
        <v>156</v>
      </c>
      <c r="J1093" s="6" t="s">
        <v>57</v>
      </c>
      <c r="K1093" s="6" t="s">
        <v>24</v>
      </c>
      <c r="L1093" s="6">
        <v>5</v>
      </c>
      <c r="M1093" s="7">
        <v>48500</v>
      </c>
      <c r="N1093" s="8">
        <v>0.15</v>
      </c>
      <c r="O1093" s="9">
        <v>30200</v>
      </c>
    </row>
    <row r="1094" spans="1:15" ht="18" x14ac:dyDescent="0.35">
      <c r="A1094" s="4" t="s">
        <v>1201</v>
      </c>
      <c r="B1094" s="5">
        <v>45828</v>
      </c>
      <c r="C1094" s="6" t="s">
        <v>16</v>
      </c>
      <c r="D1094" s="6" t="s">
        <v>98</v>
      </c>
      <c r="E1094" s="6" t="s">
        <v>50</v>
      </c>
      <c r="F1094" s="6" t="s">
        <v>19</v>
      </c>
      <c r="G1094" s="6" t="s">
        <v>40</v>
      </c>
      <c r="H1094" s="6" t="s">
        <v>64</v>
      </c>
      <c r="I1094" s="6" t="s">
        <v>159</v>
      </c>
      <c r="J1094" s="6" t="s">
        <v>23</v>
      </c>
      <c r="K1094" s="6" t="s">
        <v>34</v>
      </c>
      <c r="L1094" s="6">
        <v>19</v>
      </c>
      <c r="M1094" s="7">
        <v>3299</v>
      </c>
      <c r="N1094" s="8">
        <v>0.15</v>
      </c>
      <c r="O1094" s="9">
        <v>2050</v>
      </c>
    </row>
    <row r="1095" spans="1:15" ht="18" x14ac:dyDescent="0.35">
      <c r="A1095" s="4" t="s">
        <v>1202</v>
      </c>
      <c r="B1095" s="5">
        <v>45829</v>
      </c>
      <c r="C1095" s="6" t="s">
        <v>48</v>
      </c>
      <c r="D1095" s="6" t="s">
        <v>93</v>
      </c>
      <c r="E1095" s="6" t="s">
        <v>28</v>
      </c>
      <c r="F1095" s="6" t="s">
        <v>19</v>
      </c>
      <c r="G1095" s="6" t="s">
        <v>20</v>
      </c>
      <c r="H1095" s="6" t="s">
        <v>45</v>
      </c>
      <c r="I1095" s="6" t="s">
        <v>103</v>
      </c>
      <c r="J1095" s="6" t="s">
        <v>23</v>
      </c>
      <c r="K1095" s="6" t="s">
        <v>34</v>
      </c>
      <c r="L1095" s="6">
        <v>34</v>
      </c>
      <c r="M1095" s="7">
        <v>1599</v>
      </c>
      <c r="N1095" s="8">
        <v>0.2</v>
      </c>
      <c r="O1095" s="9">
        <v>920</v>
      </c>
    </row>
    <row r="1096" spans="1:15" ht="18" x14ac:dyDescent="0.35">
      <c r="A1096" s="4" t="s">
        <v>1203</v>
      </c>
      <c r="B1096" s="5">
        <v>45829</v>
      </c>
      <c r="C1096" s="6" t="s">
        <v>82</v>
      </c>
      <c r="D1096" s="6" t="s">
        <v>183</v>
      </c>
      <c r="E1096" s="6" t="s">
        <v>69</v>
      </c>
      <c r="F1096" s="6" t="s">
        <v>29</v>
      </c>
      <c r="G1096" s="6" t="s">
        <v>40</v>
      </c>
      <c r="H1096" s="6" t="s">
        <v>41</v>
      </c>
      <c r="I1096" s="6" t="s">
        <v>156</v>
      </c>
      <c r="J1096" s="6" t="s">
        <v>57</v>
      </c>
      <c r="K1096" s="6" t="s">
        <v>78</v>
      </c>
      <c r="L1096" s="6">
        <v>39</v>
      </c>
      <c r="M1096" s="7">
        <v>48500</v>
      </c>
      <c r="N1096" s="8">
        <v>0.1</v>
      </c>
      <c r="O1096" s="9">
        <v>30200</v>
      </c>
    </row>
    <row r="1097" spans="1:15" ht="18" x14ac:dyDescent="0.35">
      <c r="A1097" s="4" t="s">
        <v>1204</v>
      </c>
      <c r="B1097" s="5">
        <v>45829</v>
      </c>
      <c r="C1097" s="6" t="s">
        <v>26</v>
      </c>
      <c r="D1097" s="6" t="s">
        <v>27</v>
      </c>
      <c r="E1097" s="6" t="s">
        <v>105</v>
      </c>
      <c r="F1097" s="6" t="s">
        <v>39</v>
      </c>
      <c r="G1097" s="6" t="s">
        <v>40</v>
      </c>
      <c r="H1097" s="6" t="s">
        <v>64</v>
      </c>
      <c r="I1097" s="6" t="s">
        <v>159</v>
      </c>
      <c r="J1097" s="6" t="s">
        <v>33</v>
      </c>
      <c r="K1097" s="6" t="s">
        <v>24</v>
      </c>
      <c r="L1097" s="6">
        <v>27</v>
      </c>
      <c r="M1097" s="7">
        <v>3299</v>
      </c>
      <c r="N1097" s="8">
        <v>0.12</v>
      </c>
      <c r="O1097" s="9">
        <v>2050</v>
      </c>
    </row>
    <row r="1098" spans="1:15" ht="18" x14ac:dyDescent="0.35">
      <c r="A1098" s="4" t="s">
        <v>1205</v>
      </c>
      <c r="B1098" s="5">
        <v>45830</v>
      </c>
      <c r="C1098" s="6" t="s">
        <v>36</v>
      </c>
      <c r="D1098" s="6" t="s">
        <v>37</v>
      </c>
      <c r="E1098" s="6" t="s">
        <v>69</v>
      </c>
      <c r="F1098" s="6" t="s">
        <v>39</v>
      </c>
      <c r="G1098" s="6" t="s">
        <v>70</v>
      </c>
      <c r="H1098" s="6" t="s">
        <v>71</v>
      </c>
      <c r="I1098" s="6" t="s">
        <v>72</v>
      </c>
      <c r="J1098" s="6" t="s">
        <v>57</v>
      </c>
      <c r="K1098" s="6" t="s">
        <v>24</v>
      </c>
      <c r="L1098" s="6">
        <v>39</v>
      </c>
      <c r="M1098" s="7">
        <v>3499</v>
      </c>
      <c r="N1098" s="8">
        <v>0.12</v>
      </c>
      <c r="O1098" s="9">
        <v>2190</v>
      </c>
    </row>
    <row r="1099" spans="1:15" ht="18" x14ac:dyDescent="0.35">
      <c r="A1099" s="4" t="s">
        <v>1206</v>
      </c>
      <c r="B1099" s="5">
        <v>45830</v>
      </c>
      <c r="C1099" s="6" t="s">
        <v>48</v>
      </c>
      <c r="D1099" s="6" t="s">
        <v>136</v>
      </c>
      <c r="E1099" s="6" t="s">
        <v>28</v>
      </c>
      <c r="F1099" s="6" t="s">
        <v>39</v>
      </c>
      <c r="G1099" s="6" t="s">
        <v>20</v>
      </c>
      <c r="H1099" s="6" t="s">
        <v>45</v>
      </c>
      <c r="I1099" s="6" t="s">
        <v>196</v>
      </c>
      <c r="J1099" s="6" t="s">
        <v>33</v>
      </c>
      <c r="K1099" s="6" t="s">
        <v>24</v>
      </c>
      <c r="L1099" s="6">
        <v>36</v>
      </c>
      <c r="M1099" s="7">
        <v>2499</v>
      </c>
      <c r="N1099" s="8">
        <v>0.12</v>
      </c>
      <c r="O1099" s="9">
        <v>1510</v>
      </c>
    </row>
    <row r="1100" spans="1:15" ht="18" x14ac:dyDescent="0.35">
      <c r="A1100" s="4" t="s">
        <v>1207</v>
      </c>
      <c r="B1100" s="5">
        <v>45830</v>
      </c>
      <c r="C1100" s="6" t="s">
        <v>26</v>
      </c>
      <c r="D1100" s="6" t="s">
        <v>74</v>
      </c>
      <c r="E1100" s="6" t="s">
        <v>105</v>
      </c>
      <c r="F1100" s="6" t="s">
        <v>29</v>
      </c>
      <c r="G1100" s="6" t="s">
        <v>20</v>
      </c>
      <c r="H1100" s="6" t="s">
        <v>21</v>
      </c>
      <c r="I1100" s="6" t="s">
        <v>22</v>
      </c>
      <c r="J1100" s="6" t="s">
        <v>57</v>
      </c>
      <c r="K1100" s="6" t="s">
        <v>24</v>
      </c>
      <c r="L1100" s="6">
        <v>22</v>
      </c>
      <c r="M1100" s="7">
        <v>4499</v>
      </c>
      <c r="N1100" s="8">
        <v>0.2</v>
      </c>
      <c r="O1100" s="9">
        <v>2910</v>
      </c>
    </row>
    <row r="1101" spans="1:15" ht="18" x14ac:dyDescent="0.35">
      <c r="A1101" s="4" t="s">
        <v>1208</v>
      </c>
      <c r="B1101" s="5">
        <v>45831</v>
      </c>
      <c r="C1101" s="6" t="s">
        <v>16</v>
      </c>
      <c r="D1101" s="6" t="s">
        <v>98</v>
      </c>
      <c r="E1101" s="6" t="s">
        <v>75</v>
      </c>
      <c r="F1101" s="6" t="s">
        <v>39</v>
      </c>
      <c r="G1101" s="6" t="s">
        <v>40</v>
      </c>
      <c r="H1101" s="6" t="s">
        <v>76</v>
      </c>
      <c r="I1101" s="6" t="s">
        <v>113</v>
      </c>
      <c r="J1101" s="6" t="s">
        <v>23</v>
      </c>
      <c r="K1101" s="6" t="s">
        <v>66</v>
      </c>
      <c r="L1101" s="6">
        <v>1</v>
      </c>
      <c r="M1101" s="7">
        <v>22999</v>
      </c>
      <c r="N1101" s="8">
        <v>0.12</v>
      </c>
      <c r="O1101" s="9">
        <v>15100</v>
      </c>
    </row>
    <row r="1102" spans="1:15" ht="18" x14ac:dyDescent="0.35">
      <c r="A1102" s="4" t="s">
        <v>1209</v>
      </c>
      <c r="B1102" s="5">
        <v>45832</v>
      </c>
      <c r="C1102" s="6" t="s">
        <v>16</v>
      </c>
      <c r="D1102" s="6" t="s">
        <v>111</v>
      </c>
      <c r="E1102" s="6" t="s">
        <v>28</v>
      </c>
      <c r="F1102" s="6" t="s">
        <v>19</v>
      </c>
      <c r="G1102" s="6" t="s">
        <v>70</v>
      </c>
      <c r="H1102" s="6" t="s">
        <v>71</v>
      </c>
      <c r="I1102" s="6" t="s">
        <v>80</v>
      </c>
      <c r="J1102" s="6" t="s">
        <v>57</v>
      </c>
      <c r="K1102" s="6" t="s">
        <v>78</v>
      </c>
      <c r="L1102" s="6">
        <v>10</v>
      </c>
      <c r="M1102" s="7">
        <v>1299</v>
      </c>
      <c r="N1102" s="8">
        <v>0.15</v>
      </c>
      <c r="O1102" s="9">
        <v>720</v>
      </c>
    </row>
    <row r="1103" spans="1:15" ht="18" x14ac:dyDescent="0.35">
      <c r="A1103" s="4" t="s">
        <v>1210</v>
      </c>
      <c r="B1103" s="5">
        <v>45833</v>
      </c>
      <c r="C1103" s="6" t="s">
        <v>36</v>
      </c>
      <c r="D1103" s="6" t="s">
        <v>37</v>
      </c>
      <c r="E1103" s="6" t="s">
        <v>28</v>
      </c>
      <c r="F1103" s="6" t="s">
        <v>29</v>
      </c>
      <c r="G1103" s="6" t="s">
        <v>40</v>
      </c>
      <c r="H1103" s="6" t="s">
        <v>64</v>
      </c>
      <c r="I1103" s="6" t="s">
        <v>153</v>
      </c>
      <c r="J1103" s="6" t="s">
        <v>23</v>
      </c>
      <c r="K1103" s="6" t="s">
        <v>66</v>
      </c>
      <c r="L1103" s="6">
        <v>30</v>
      </c>
      <c r="M1103" s="7">
        <v>4490</v>
      </c>
      <c r="N1103" s="8">
        <v>0.12</v>
      </c>
      <c r="O1103" s="9">
        <v>2950</v>
      </c>
    </row>
    <row r="1104" spans="1:15" ht="18" x14ac:dyDescent="0.35">
      <c r="A1104" s="4" t="s">
        <v>1211</v>
      </c>
      <c r="B1104" s="5">
        <v>45833</v>
      </c>
      <c r="C1104" s="6" t="s">
        <v>48</v>
      </c>
      <c r="D1104" s="6" t="s">
        <v>68</v>
      </c>
      <c r="E1104" s="6" t="s">
        <v>84</v>
      </c>
      <c r="F1104" s="6" t="s">
        <v>29</v>
      </c>
      <c r="G1104" s="6" t="s">
        <v>20</v>
      </c>
      <c r="H1104" s="6" t="s">
        <v>45</v>
      </c>
      <c r="I1104" s="6" t="s">
        <v>103</v>
      </c>
      <c r="J1104" s="6" t="s">
        <v>57</v>
      </c>
      <c r="K1104" s="6" t="s">
        <v>66</v>
      </c>
      <c r="L1104" s="6">
        <v>31</v>
      </c>
      <c r="M1104" s="7">
        <v>1599</v>
      </c>
      <c r="N1104" s="8">
        <v>0.08</v>
      </c>
      <c r="O1104" s="9">
        <v>920</v>
      </c>
    </row>
    <row r="1105" spans="1:15" ht="18" x14ac:dyDescent="0.35">
      <c r="A1105" s="4" t="s">
        <v>1212</v>
      </c>
      <c r="B1105" s="5">
        <v>45834</v>
      </c>
      <c r="C1105" s="6" t="s">
        <v>26</v>
      </c>
      <c r="D1105" s="6" t="s">
        <v>163</v>
      </c>
      <c r="E1105" s="6" t="s">
        <v>28</v>
      </c>
      <c r="F1105" s="6" t="s">
        <v>39</v>
      </c>
      <c r="G1105" s="6" t="s">
        <v>20</v>
      </c>
      <c r="H1105" s="6" t="s">
        <v>21</v>
      </c>
      <c r="I1105" s="6" t="s">
        <v>115</v>
      </c>
      <c r="J1105" s="6" t="s">
        <v>57</v>
      </c>
      <c r="K1105" s="6" t="s">
        <v>66</v>
      </c>
      <c r="L1105" s="6">
        <v>13</v>
      </c>
      <c r="M1105" s="7">
        <v>6499</v>
      </c>
      <c r="N1105" s="8">
        <v>0.12</v>
      </c>
      <c r="O1105" s="9">
        <v>4210</v>
      </c>
    </row>
    <row r="1106" spans="1:15" ht="18" x14ac:dyDescent="0.35">
      <c r="A1106" s="4" t="s">
        <v>1213</v>
      </c>
      <c r="B1106" s="5">
        <v>45834</v>
      </c>
      <c r="C1106" s="6" t="s">
        <v>36</v>
      </c>
      <c r="D1106" s="6" t="s">
        <v>121</v>
      </c>
      <c r="E1106" s="6" t="s">
        <v>69</v>
      </c>
      <c r="F1106" s="6" t="s">
        <v>19</v>
      </c>
      <c r="G1106" s="6" t="s">
        <v>54</v>
      </c>
      <c r="H1106" s="6" t="s">
        <v>129</v>
      </c>
      <c r="I1106" s="6" t="s">
        <v>130</v>
      </c>
      <c r="J1106" s="6" t="s">
        <v>23</v>
      </c>
      <c r="K1106" s="6" t="s">
        <v>66</v>
      </c>
      <c r="L1106" s="6">
        <v>29</v>
      </c>
      <c r="M1106" s="7">
        <v>27890</v>
      </c>
      <c r="N1106" s="8">
        <v>0.18</v>
      </c>
      <c r="O1106" s="9">
        <v>18800</v>
      </c>
    </row>
    <row r="1107" spans="1:15" ht="18" x14ac:dyDescent="0.35">
      <c r="A1107" s="4" t="s">
        <v>1214</v>
      </c>
      <c r="B1107" s="5">
        <v>45834</v>
      </c>
      <c r="C1107" s="6" t="s">
        <v>82</v>
      </c>
      <c r="D1107" s="6" t="s">
        <v>100</v>
      </c>
      <c r="E1107" s="6" t="s">
        <v>69</v>
      </c>
      <c r="F1107" s="6" t="s">
        <v>19</v>
      </c>
      <c r="G1107" s="6" t="s">
        <v>20</v>
      </c>
      <c r="H1107" s="6" t="s">
        <v>21</v>
      </c>
      <c r="I1107" s="6" t="s">
        <v>22</v>
      </c>
      <c r="J1107" s="6" t="s">
        <v>23</v>
      </c>
      <c r="K1107" s="6" t="s">
        <v>24</v>
      </c>
      <c r="L1107" s="6">
        <v>32</v>
      </c>
      <c r="M1107" s="7">
        <v>4499</v>
      </c>
      <c r="N1107" s="8">
        <v>0.15</v>
      </c>
      <c r="O1107" s="9">
        <v>2910</v>
      </c>
    </row>
    <row r="1108" spans="1:15" ht="18" x14ac:dyDescent="0.35">
      <c r="A1108" s="4" t="s">
        <v>1215</v>
      </c>
      <c r="B1108" s="5">
        <v>45834</v>
      </c>
      <c r="C1108" s="6" t="s">
        <v>48</v>
      </c>
      <c r="D1108" s="6" t="s">
        <v>68</v>
      </c>
      <c r="E1108" s="6" t="s">
        <v>84</v>
      </c>
      <c r="F1108" s="6" t="s">
        <v>29</v>
      </c>
      <c r="G1108" s="6" t="s">
        <v>54</v>
      </c>
      <c r="H1108" s="6" t="s">
        <v>129</v>
      </c>
      <c r="I1108" s="6" t="s">
        <v>130</v>
      </c>
      <c r="J1108" s="6" t="s">
        <v>57</v>
      </c>
      <c r="K1108" s="6" t="s">
        <v>24</v>
      </c>
      <c r="L1108" s="6">
        <v>35</v>
      </c>
      <c r="M1108" s="7">
        <v>27890</v>
      </c>
      <c r="N1108" s="8">
        <v>0.08</v>
      </c>
      <c r="O1108" s="9">
        <v>18800</v>
      </c>
    </row>
    <row r="1109" spans="1:15" ht="18" x14ac:dyDescent="0.35">
      <c r="A1109" s="4" t="s">
        <v>1216</v>
      </c>
      <c r="B1109" s="5">
        <v>45835</v>
      </c>
      <c r="C1109" s="6" t="s">
        <v>16</v>
      </c>
      <c r="D1109" s="6" t="s">
        <v>17</v>
      </c>
      <c r="E1109" s="6" t="s">
        <v>105</v>
      </c>
      <c r="F1109" s="6" t="s">
        <v>39</v>
      </c>
      <c r="G1109" s="6" t="s">
        <v>30</v>
      </c>
      <c r="H1109" s="6" t="s">
        <v>31</v>
      </c>
      <c r="I1109" s="6" t="s">
        <v>85</v>
      </c>
      <c r="J1109" s="6" t="s">
        <v>23</v>
      </c>
      <c r="K1109" s="6" t="s">
        <v>34</v>
      </c>
      <c r="L1109" s="6">
        <v>24</v>
      </c>
      <c r="M1109" s="7">
        <v>43500</v>
      </c>
      <c r="N1109" s="8">
        <v>0.12</v>
      </c>
      <c r="O1109" s="9">
        <v>29520</v>
      </c>
    </row>
    <row r="1110" spans="1:15" ht="18" x14ac:dyDescent="0.35">
      <c r="A1110" s="4" t="s">
        <v>1217</v>
      </c>
      <c r="B1110" s="5">
        <v>45836</v>
      </c>
      <c r="C1110" s="6" t="s">
        <v>36</v>
      </c>
      <c r="D1110" s="6" t="s">
        <v>121</v>
      </c>
      <c r="E1110" s="6" t="s">
        <v>101</v>
      </c>
      <c r="F1110" s="6" t="s">
        <v>29</v>
      </c>
      <c r="G1110" s="6" t="s">
        <v>40</v>
      </c>
      <c r="H1110" s="6" t="s">
        <v>41</v>
      </c>
      <c r="I1110" s="6" t="s">
        <v>42</v>
      </c>
      <c r="J1110" s="6" t="s">
        <v>57</v>
      </c>
      <c r="K1110" s="6" t="s">
        <v>24</v>
      </c>
      <c r="L1110" s="6">
        <v>11</v>
      </c>
      <c r="M1110" s="7">
        <v>55230</v>
      </c>
      <c r="N1110" s="8">
        <v>0.08</v>
      </c>
      <c r="O1110" s="9">
        <v>33800</v>
      </c>
    </row>
    <row r="1111" spans="1:15" ht="18" x14ac:dyDescent="0.35">
      <c r="A1111" s="4" t="s">
        <v>1218</v>
      </c>
      <c r="B1111" s="5">
        <v>45837</v>
      </c>
      <c r="C1111" s="6" t="s">
        <v>36</v>
      </c>
      <c r="D1111" s="6" t="s">
        <v>121</v>
      </c>
      <c r="E1111" s="6" t="s">
        <v>60</v>
      </c>
      <c r="F1111" s="6" t="s">
        <v>29</v>
      </c>
      <c r="G1111" s="6" t="s">
        <v>40</v>
      </c>
      <c r="H1111" s="6" t="s">
        <v>76</v>
      </c>
      <c r="I1111" s="6" t="s">
        <v>77</v>
      </c>
      <c r="J1111" s="6" t="s">
        <v>57</v>
      </c>
      <c r="K1111" s="6" t="s">
        <v>34</v>
      </c>
      <c r="L1111" s="6">
        <v>32</v>
      </c>
      <c r="M1111" s="7">
        <v>52990</v>
      </c>
      <c r="N1111" s="8">
        <v>0.18</v>
      </c>
      <c r="O1111" s="9">
        <v>39500</v>
      </c>
    </row>
    <row r="1112" spans="1:15" ht="18" x14ac:dyDescent="0.35">
      <c r="A1112" s="4" t="s">
        <v>1219</v>
      </c>
      <c r="B1112" s="5">
        <v>45838</v>
      </c>
      <c r="C1112" s="6" t="s">
        <v>26</v>
      </c>
      <c r="D1112" s="6" t="s">
        <v>27</v>
      </c>
      <c r="E1112" s="6" t="s">
        <v>28</v>
      </c>
      <c r="F1112" s="6" t="s">
        <v>19</v>
      </c>
      <c r="G1112" s="6" t="s">
        <v>54</v>
      </c>
      <c r="H1112" s="6" t="s">
        <v>90</v>
      </c>
      <c r="I1112" s="6" t="s">
        <v>134</v>
      </c>
      <c r="J1112" s="6" t="s">
        <v>33</v>
      </c>
      <c r="K1112" s="6" t="s">
        <v>24</v>
      </c>
      <c r="L1112" s="6">
        <v>37</v>
      </c>
      <c r="M1112" s="7">
        <v>32800</v>
      </c>
      <c r="N1112" s="8">
        <v>0.1</v>
      </c>
      <c r="O1112" s="9">
        <v>23100</v>
      </c>
    </row>
    <row r="1113" spans="1:15" ht="18" x14ac:dyDescent="0.35">
      <c r="A1113" s="4" t="s">
        <v>1220</v>
      </c>
      <c r="B1113" s="5">
        <v>45838</v>
      </c>
      <c r="C1113" s="6" t="s">
        <v>26</v>
      </c>
      <c r="D1113" s="6" t="s">
        <v>74</v>
      </c>
      <c r="E1113" s="6" t="s">
        <v>105</v>
      </c>
      <c r="F1113" s="6" t="s">
        <v>29</v>
      </c>
      <c r="G1113" s="6" t="s">
        <v>54</v>
      </c>
      <c r="H1113" s="6" t="s">
        <v>90</v>
      </c>
      <c r="I1113" s="6" t="s">
        <v>134</v>
      </c>
      <c r="J1113" s="6" t="s">
        <v>33</v>
      </c>
      <c r="K1113" s="6" t="s">
        <v>66</v>
      </c>
      <c r="L1113" s="6">
        <v>1</v>
      </c>
      <c r="M1113" s="7">
        <v>32800</v>
      </c>
      <c r="N1113" s="8">
        <v>0.15</v>
      </c>
      <c r="O1113" s="9">
        <v>23100</v>
      </c>
    </row>
    <row r="1114" spans="1:15" ht="18" x14ac:dyDescent="0.35">
      <c r="A1114" s="4" t="s">
        <v>1221</v>
      </c>
      <c r="B1114" s="5">
        <v>45838</v>
      </c>
      <c r="C1114" s="6" t="s">
        <v>26</v>
      </c>
      <c r="D1114" s="6" t="s">
        <v>163</v>
      </c>
      <c r="E1114" s="6" t="s">
        <v>75</v>
      </c>
      <c r="F1114" s="6" t="s">
        <v>39</v>
      </c>
      <c r="G1114" s="6" t="s">
        <v>54</v>
      </c>
      <c r="H1114" s="6" t="s">
        <v>55</v>
      </c>
      <c r="I1114" s="6" t="s">
        <v>108</v>
      </c>
      <c r="J1114" s="6" t="s">
        <v>57</v>
      </c>
      <c r="K1114" s="6" t="s">
        <v>24</v>
      </c>
      <c r="L1114" s="6">
        <v>2</v>
      </c>
      <c r="M1114" s="7">
        <v>5890</v>
      </c>
      <c r="N1114" s="8">
        <v>0.18</v>
      </c>
      <c r="O1114" s="9">
        <v>3980</v>
      </c>
    </row>
    <row r="1115" spans="1:15" ht="18" x14ac:dyDescent="0.35">
      <c r="A1115" s="4" t="s">
        <v>1222</v>
      </c>
      <c r="B1115" s="5">
        <v>45838</v>
      </c>
      <c r="C1115" s="6" t="s">
        <v>36</v>
      </c>
      <c r="D1115" s="6" t="s">
        <v>121</v>
      </c>
      <c r="E1115" s="6" t="s">
        <v>105</v>
      </c>
      <c r="F1115" s="6" t="s">
        <v>39</v>
      </c>
      <c r="G1115" s="6" t="s">
        <v>40</v>
      </c>
      <c r="H1115" s="6" t="s">
        <v>64</v>
      </c>
      <c r="I1115" s="6" t="s">
        <v>65</v>
      </c>
      <c r="J1115" s="6" t="s">
        <v>33</v>
      </c>
      <c r="K1115" s="6" t="s">
        <v>24</v>
      </c>
      <c r="L1115" s="6">
        <v>25</v>
      </c>
      <c r="M1115" s="7">
        <v>1930</v>
      </c>
      <c r="N1115" s="8">
        <v>0.08</v>
      </c>
      <c r="O1115" s="9">
        <v>1120</v>
      </c>
    </row>
    <row r="1116" spans="1:15" ht="18" x14ac:dyDescent="0.35">
      <c r="A1116" s="4" t="s">
        <v>1223</v>
      </c>
      <c r="B1116" s="5">
        <v>45839</v>
      </c>
      <c r="C1116" s="6" t="s">
        <v>16</v>
      </c>
      <c r="D1116" s="6" t="s">
        <v>126</v>
      </c>
      <c r="E1116" s="6" t="s">
        <v>84</v>
      </c>
      <c r="F1116" s="6" t="s">
        <v>39</v>
      </c>
      <c r="G1116" s="6" t="s">
        <v>54</v>
      </c>
      <c r="H1116" s="6" t="s">
        <v>55</v>
      </c>
      <c r="I1116" s="6" t="s">
        <v>108</v>
      </c>
      <c r="J1116" s="6" t="s">
        <v>33</v>
      </c>
      <c r="K1116" s="6" t="s">
        <v>34</v>
      </c>
      <c r="L1116" s="6">
        <v>17</v>
      </c>
      <c r="M1116" s="7">
        <v>5890</v>
      </c>
      <c r="N1116" s="8">
        <v>0.1</v>
      </c>
      <c r="O1116" s="9">
        <v>3980</v>
      </c>
    </row>
    <row r="1117" spans="1:15" ht="18" x14ac:dyDescent="0.35">
      <c r="A1117" s="4" t="s">
        <v>1224</v>
      </c>
      <c r="B1117" s="5">
        <v>45839</v>
      </c>
      <c r="C1117" s="6" t="s">
        <v>36</v>
      </c>
      <c r="D1117" s="6" t="s">
        <v>44</v>
      </c>
      <c r="E1117" s="6" t="s">
        <v>105</v>
      </c>
      <c r="F1117" s="6" t="s">
        <v>19</v>
      </c>
      <c r="G1117" s="6" t="s">
        <v>30</v>
      </c>
      <c r="H1117" s="6" t="s">
        <v>61</v>
      </c>
      <c r="I1117" s="6" t="s">
        <v>96</v>
      </c>
      <c r="J1117" s="6" t="s">
        <v>57</v>
      </c>
      <c r="K1117" s="6" t="s">
        <v>66</v>
      </c>
      <c r="L1117" s="6">
        <v>12</v>
      </c>
      <c r="M1117" s="7">
        <v>25110</v>
      </c>
      <c r="N1117" s="8">
        <v>0.12</v>
      </c>
      <c r="O1117" s="9">
        <v>16730</v>
      </c>
    </row>
    <row r="1118" spans="1:15" ht="18" x14ac:dyDescent="0.35">
      <c r="A1118" s="4" t="s">
        <v>1225</v>
      </c>
      <c r="B1118" s="5">
        <v>45839</v>
      </c>
      <c r="C1118" s="6" t="s">
        <v>26</v>
      </c>
      <c r="D1118" s="6" t="s">
        <v>53</v>
      </c>
      <c r="E1118" s="6" t="s">
        <v>101</v>
      </c>
      <c r="F1118" s="6" t="s">
        <v>29</v>
      </c>
      <c r="G1118" s="6" t="s">
        <v>20</v>
      </c>
      <c r="H1118" s="6" t="s">
        <v>45</v>
      </c>
      <c r="I1118" s="6" t="s">
        <v>103</v>
      </c>
      <c r="J1118" s="6" t="s">
        <v>57</v>
      </c>
      <c r="K1118" s="6" t="s">
        <v>24</v>
      </c>
      <c r="L1118" s="6">
        <v>36</v>
      </c>
      <c r="M1118" s="7">
        <v>1599</v>
      </c>
      <c r="N1118" s="8">
        <v>0.05</v>
      </c>
      <c r="O1118" s="9">
        <v>920</v>
      </c>
    </row>
    <row r="1119" spans="1:15" ht="18" x14ac:dyDescent="0.35">
      <c r="A1119" s="4" t="s">
        <v>1226</v>
      </c>
      <c r="B1119" s="5">
        <v>45839</v>
      </c>
      <c r="C1119" s="6" t="s">
        <v>36</v>
      </c>
      <c r="D1119" s="6" t="s">
        <v>44</v>
      </c>
      <c r="E1119" s="6" t="s">
        <v>101</v>
      </c>
      <c r="F1119" s="6" t="s">
        <v>29</v>
      </c>
      <c r="G1119" s="6" t="s">
        <v>30</v>
      </c>
      <c r="H1119" s="6" t="s">
        <v>31</v>
      </c>
      <c r="I1119" s="6" t="s">
        <v>32</v>
      </c>
      <c r="J1119" s="6" t="s">
        <v>57</v>
      </c>
      <c r="K1119" s="6" t="s">
        <v>24</v>
      </c>
      <c r="L1119" s="6">
        <v>20</v>
      </c>
      <c r="M1119" s="7">
        <v>38990</v>
      </c>
      <c r="N1119" s="8">
        <v>0.1</v>
      </c>
      <c r="O1119" s="9">
        <v>25400</v>
      </c>
    </row>
    <row r="1120" spans="1:15" ht="18" x14ac:dyDescent="0.35">
      <c r="A1120" s="4" t="s">
        <v>1227</v>
      </c>
      <c r="B1120" s="5">
        <v>45839</v>
      </c>
      <c r="C1120" s="6" t="s">
        <v>16</v>
      </c>
      <c r="D1120" s="6" t="s">
        <v>126</v>
      </c>
      <c r="E1120" s="6" t="s">
        <v>101</v>
      </c>
      <c r="F1120" s="6" t="s">
        <v>19</v>
      </c>
      <c r="G1120" s="6" t="s">
        <v>70</v>
      </c>
      <c r="H1120" s="6" t="s">
        <v>71</v>
      </c>
      <c r="I1120" s="6" t="s">
        <v>72</v>
      </c>
      <c r="J1120" s="6" t="s">
        <v>33</v>
      </c>
      <c r="K1120" s="6" t="s">
        <v>34</v>
      </c>
      <c r="L1120" s="6">
        <v>4</v>
      </c>
      <c r="M1120" s="7">
        <v>3499</v>
      </c>
      <c r="N1120" s="8">
        <v>0.12</v>
      </c>
      <c r="O1120" s="9">
        <v>2190</v>
      </c>
    </row>
    <row r="1121" spans="1:15" ht="18" x14ac:dyDescent="0.35">
      <c r="A1121" s="4" t="s">
        <v>1228</v>
      </c>
      <c r="B1121" s="5">
        <v>45839</v>
      </c>
      <c r="C1121" s="6" t="s">
        <v>26</v>
      </c>
      <c r="D1121" s="6" t="s">
        <v>27</v>
      </c>
      <c r="E1121" s="6" t="s">
        <v>38</v>
      </c>
      <c r="F1121" s="6" t="s">
        <v>29</v>
      </c>
      <c r="G1121" s="6" t="s">
        <v>20</v>
      </c>
      <c r="H1121" s="6" t="s">
        <v>21</v>
      </c>
      <c r="I1121" s="6" t="s">
        <v>115</v>
      </c>
      <c r="J1121" s="6" t="s">
        <v>23</v>
      </c>
      <c r="K1121" s="6" t="s">
        <v>24</v>
      </c>
      <c r="L1121" s="6">
        <v>2</v>
      </c>
      <c r="M1121" s="7">
        <v>6499</v>
      </c>
      <c r="N1121" s="8">
        <v>0.08</v>
      </c>
      <c r="O1121" s="9">
        <v>4210</v>
      </c>
    </row>
    <row r="1122" spans="1:15" ht="18" x14ac:dyDescent="0.35">
      <c r="A1122" s="4" t="s">
        <v>1229</v>
      </c>
      <c r="B1122" s="5">
        <v>45839</v>
      </c>
      <c r="C1122" s="6" t="s">
        <v>48</v>
      </c>
      <c r="D1122" s="6" t="s">
        <v>136</v>
      </c>
      <c r="E1122" s="6" t="s">
        <v>84</v>
      </c>
      <c r="F1122" s="6" t="s">
        <v>29</v>
      </c>
      <c r="G1122" s="6" t="s">
        <v>70</v>
      </c>
      <c r="H1122" s="6" t="s">
        <v>71</v>
      </c>
      <c r="I1122" s="6" t="s">
        <v>72</v>
      </c>
      <c r="J1122" s="6" t="s">
        <v>33</v>
      </c>
      <c r="K1122" s="6" t="s">
        <v>66</v>
      </c>
      <c r="L1122" s="6">
        <v>22</v>
      </c>
      <c r="M1122" s="7">
        <v>3499</v>
      </c>
      <c r="N1122" s="8">
        <v>0.15</v>
      </c>
      <c r="O1122" s="9">
        <v>2190</v>
      </c>
    </row>
    <row r="1123" spans="1:15" ht="18" x14ac:dyDescent="0.35">
      <c r="A1123" s="4" t="s">
        <v>1230</v>
      </c>
      <c r="B1123" s="5">
        <v>45840</v>
      </c>
      <c r="C1123" s="6" t="s">
        <v>16</v>
      </c>
      <c r="D1123" s="6" t="s">
        <v>17</v>
      </c>
      <c r="E1123" s="6" t="s">
        <v>50</v>
      </c>
      <c r="F1123" s="6" t="s">
        <v>29</v>
      </c>
      <c r="G1123" s="6" t="s">
        <v>70</v>
      </c>
      <c r="H1123" s="6" t="s">
        <v>71</v>
      </c>
      <c r="I1123" s="6" t="s">
        <v>72</v>
      </c>
      <c r="J1123" s="6" t="s">
        <v>33</v>
      </c>
      <c r="K1123" s="6" t="s">
        <v>24</v>
      </c>
      <c r="L1123" s="6">
        <v>14</v>
      </c>
      <c r="M1123" s="7">
        <v>3499</v>
      </c>
      <c r="N1123" s="8">
        <v>0.05</v>
      </c>
      <c r="O1123" s="9">
        <v>2190</v>
      </c>
    </row>
    <row r="1124" spans="1:15" ht="18" x14ac:dyDescent="0.35">
      <c r="A1124" s="4" t="s">
        <v>1231</v>
      </c>
      <c r="B1124" s="5">
        <v>45840</v>
      </c>
      <c r="C1124" s="6" t="s">
        <v>26</v>
      </c>
      <c r="D1124" s="6" t="s">
        <v>74</v>
      </c>
      <c r="E1124" s="6" t="s">
        <v>84</v>
      </c>
      <c r="F1124" s="6" t="s">
        <v>39</v>
      </c>
      <c r="G1124" s="6" t="s">
        <v>40</v>
      </c>
      <c r="H1124" s="6" t="s">
        <v>41</v>
      </c>
      <c r="I1124" s="6" t="s">
        <v>42</v>
      </c>
      <c r="J1124" s="6" t="s">
        <v>23</v>
      </c>
      <c r="K1124" s="6" t="s">
        <v>24</v>
      </c>
      <c r="L1124" s="6">
        <v>32</v>
      </c>
      <c r="M1124" s="7">
        <v>55230</v>
      </c>
      <c r="N1124" s="8">
        <v>0.18</v>
      </c>
      <c r="O1124" s="9">
        <v>33800</v>
      </c>
    </row>
    <row r="1125" spans="1:15" ht="18" x14ac:dyDescent="0.35">
      <c r="A1125" s="4" t="s">
        <v>1232</v>
      </c>
      <c r="B1125" s="5">
        <v>45840</v>
      </c>
      <c r="C1125" s="6" t="s">
        <v>82</v>
      </c>
      <c r="D1125" s="6" t="s">
        <v>83</v>
      </c>
      <c r="E1125" s="6" t="s">
        <v>60</v>
      </c>
      <c r="F1125" s="6" t="s">
        <v>19</v>
      </c>
      <c r="G1125" s="6" t="s">
        <v>40</v>
      </c>
      <c r="H1125" s="6" t="s">
        <v>76</v>
      </c>
      <c r="I1125" s="6" t="s">
        <v>139</v>
      </c>
      <c r="J1125" s="6" t="s">
        <v>33</v>
      </c>
      <c r="K1125" s="6" t="s">
        <v>66</v>
      </c>
      <c r="L1125" s="6">
        <v>1</v>
      </c>
      <c r="M1125" s="7">
        <v>25999</v>
      </c>
      <c r="N1125" s="8">
        <v>0.1</v>
      </c>
      <c r="O1125" s="9">
        <v>17800</v>
      </c>
    </row>
    <row r="1126" spans="1:15" ht="18" x14ac:dyDescent="0.35">
      <c r="A1126" s="4" t="s">
        <v>1233</v>
      </c>
      <c r="B1126" s="5">
        <v>45841</v>
      </c>
      <c r="C1126" s="6" t="s">
        <v>16</v>
      </c>
      <c r="D1126" s="6" t="s">
        <v>98</v>
      </c>
      <c r="E1126" s="6" t="s">
        <v>28</v>
      </c>
      <c r="F1126" s="6" t="s">
        <v>39</v>
      </c>
      <c r="G1126" s="6" t="s">
        <v>20</v>
      </c>
      <c r="H1126" s="6" t="s">
        <v>21</v>
      </c>
      <c r="I1126" s="6" t="s">
        <v>115</v>
      </c>
      <c r="J1126" s="6" t="s">
        <v>57</v>
      </c>
      <c r="K1126" s="6" t="s">
        <v>66</v>
      </c>
      <c r="L1126" s="6">
        <v>28</v>
      </c>
      <c r="M1126" s="7">
        <v>6499</v>
      </c>
      <c r="N1126" s="8">
        <v>0.05</v>
      </c>
      <c r="O1126" s="9">
        <v>4210</v>
      </c>
    </row>
    <row r="1127" spans="1:15" ht="18" x14ac:dyDescent="0.35">
      <c r="A1127" s="4" t="s">
        <v>1234</v>
      </c>
      <c r="B1127" s="5">
        <v>45842</v>
      </c>
      <c r="C1127" s="6" t="s">
        <v>16</v>
      </c>
      <c r="D1127" s="6" t="s">
        <v>98</v>
      </c>
      <c r="E1127" s="6" t="s">
        <v>38</v>
      </c>
      <c r="F1127" s="6" t="s">
        <v>29</v>
      </c>
      <c r="G1127" s="6" t="s">
        <v>54</v>
      </c>
      <c r="H1127" s="6" t="s">
        <v>90</v>
      </c>
      <c r="I1127" s="6" t="s">
        <v>258</v>
      </c>
      <c r="J1127" s="6" t="s">
        <v>33</v>
      </c>
      <c r="K1127" s="6" t="s">
        <v>66</v>
      </c>
      <c r="L1127" s="6">
        <v>38</v>
      </c>
      <c r="M1127" s="7">
        <v>29010</v>
      </c>
      <c r="N1127" s="8">
        <v>0.2</v>
      </c>
      <c r="O1127" s="9">
        <v>19150</v>
      </c>
    </row>
    <row r="1128" spans="1:15" ht="18" x14ac:dyDescent="0.35">
      <c r="A1128" s="4" t="s">
        <v>1235</v>
      </c>
      <c r="B1128" s="5">
        <v>45843</v>
      </c>
      <c r="C1128" s="6" t="s">
        <v>26</v>
      </c>
      <c r="D1128" s="6" t="s">
        <v>163</v>
      </c>
      <c r="E1128" s="6" t="s">
        <v>75</v>
      </c>
      <c r="F1128" s="6" t="s">
        <v>39</v>
      </c>
      <c r="G1128" s="6" t="s">
        <v>20</v>
      </c>
      <c r="H1128" s="6" t="s">
        <v>45</v>
      </c>
      <c r="I1128" s="6" t="s">
        <v>196</v>
      </c>
      <c r="J1128" s="6" t="s">
        <v>33</v>
      </c>
      <c r="K1128" s="6" t="s">
        <v>24</v>
      </c>
      <c r="L1128" s="6">
        <v>31</v>
      </c>
      <c r="M1128" s="7">
        <v>2499</v>
      </c>
      <c r="N1128" s="8">
        <v>0.05</v>
      </c>
      <c r="O1128" s="9">
        <v>1510</v>
      </c>
    </row>
    <row r="1129" spans="1:15" ht="18" x14ac:dyDescent="0.35">
      <c r="A1129" s="4" t="s">
        <v>1236</v>
      </c>
      <c r="B1129" s="5">
        <v>45843</v>
      </c>
      <c r="C1129" s="6" t="s">
        <v>26</v>
      </c>
      <c r="D1129" s="6" t="s">
        <v>74</v>
      </c>
      <c r="E1129" s="6" t="s">
        <v>60</v>
      </c>
      <c r="F1129" s="6" t="s">
        <v>29</v>
      </c>
      <c r="G1129" s="6" t="s">
        <v>30</v>
      </c>
      <c r="H1129" s="6" t="s">
        <v>31</v>
      </c>
      <c r="I1129" s="6" t="s">
        <v>85</v>
      </c>
      <c r="J1129" s="6" t="s">
        <v>57</v>
      </c>
      <c r="K1129" s="6" t="s">
        <v>24</v>
      </c>
      <c r="L1129" s="6">
        <v>7</v>
      </c>
      <c r="M1129" s="7">
        <v>43500</v>
      </c>
      <c r="N1129" s="8">
        <v>0.05</v>
      </c>
      <c r="O1129" s="9">
        <v>29520</v>
      </c>
    </row>
    <row r="1130" spans="1:15" ht="18" x14ac:dyDescent="0.35">
      <c r="A1130" s="4" t="s">
        <v>1237</v>
      </c>
      <c r="B1130" s="5">
        <v>45843</v>
      </c>
      <c r="C1130" s="6" t="s">
        <v>48</v>
      </c>
      <c r="D1130" s="6" t="s">
        <v>136</v>
      </c>
      <c r="E1130" s="6" t="s">
        <v>28</v>
      </c>
      <c r="F1130" s="6" t="s">
        <v>39</v>
      </c>
      <c r="G1130" s="6" t="s">
        <v>20</v>
      </c>
      <c r="H1130" s="6" t="s">
        <v>45</v>
      </c>
      <c r="I1130" s="6" t="s">
        <v>46</v>
      </c>
      <c r="J1130" s="6" t="s">
        <v>57</v>
      </c>
      <c r="K1130" s="6" t="s">
        <v>78</v>
      </c>
      <c r="L1130" s="6">
        <v>33</v>
      </c>
      <c r="M1130" s="7">
        <v>1899</v>
      </c>
      <c r="N1130" s="8">
        <v>0.05</v>
      </c>
      <c r="O1130" s="9">
        <v>1080</v>
      </c>
    </row>
    <row r="1131" spans="1:15" ht="18" x14ac:dyDescent="0.35">
      <c r="A1131" s="4" t="s">
        <v>1238</v>
      </c>
      <c r="B1131" s="5">
        <v>45844</v>
      </c>
      <c r="C1131" s="6" t="s">
        <v>82</v>
      </c>
      <c r="D1131" s="6" t="s">
        <v>100</v>
      </c>
      <c r="E1131" s="6" t="s">
        <v>60</v>
      </c>
      <c r="F1131" s="6" t="s">
        <v>29</v>
      </c>
      <c r="G1131" s="6" t="s">
        <v>70</v>
      </c>
      <c r="H1131" s="6" t="s">
        <v>71</v>
      </c>
      <c r="I1131" s="6" t="s">
        <v>80</v>
      </c>
      <c r="J1131" s="6" t="s">
        <v>33</v>
      </c>
      <c r="K1131" s="6" t="s">
        <v>24</v>
      </c>
      <c r="L1131" s="6">
        <v>33</v>
      </c>
      <c r="M1131" s="7">
        <v>1299</v>
      </c>
      <c r="N1131" s="8">
        <v>0.1</v>
      </c>
      <c r="O1131" s="9">
        <v>720</v>
      </c>
    </row>
    <row r="1132" spans="1:15" ht="18" x14ac:dyDescent="0.35">
      <c r="A1132" s="4" t="s">
        <v>1239</v>
      </c>
      <c r="B1132" s="5">
        <v>45844</v>
      </c>
      <c r="C1132" s="6" t="s">
        <v>82</v>
      </c>
      <c r="D1132" s="6" t="s">
        <v>87</v>
      </c>
      <c r="E1132" s="6" t="s">
        <v>60</v>
      </c>
      <c r="F1132" s="6" t="s">
        <v>39</v>
      </c>
      <c r="G1132" s="6" t="s">
        <v>70</v>
      </c>
      <c r="H1132" s="6" t="s">
        <v>71</v>
      </c>
      <c r="I1132" s="6" t="s">
        <v>88</v>
      </c>
      <c r="J1132" s="6" t="s">
        <v>23</v>
      </c>
      <c r="K1132" s="6" t="s">
        <v>34</v>
      </c>
      <c r="L1132" s="6">
        <v>17</v>
      </c>
      <c r="M1132" s="7">
        <v>999</v>
      </c>
      <c r="N1132" s="8">
        <v>0.18</v>
      </c>
      <c r="O1132" s="9">
        <v>540</v>
      </c>
    </row>
    <row r="1133" spans="1:15" ht="18" x14ac:dyDescent="0.35">
      <c r="A1133" s="4" t="s">
        <v>1240</v>
      </c>
      <c r="B1133" s="5">
        <v>45845</v>
      </c>
      <c r="C1133" s="6" t="s">
        <v>82</v>
      </c>
      <c r="D1133" s="6" t="s">
        <v>100</v>
      </c>
      <c r="E1133" s="6" t="s">
        <v>75</v>
      </c>
      <c r="F1133" s="6" t="s">
        <v>29</v>
      </c>
      <c r="G1133" s="6" t="s">
        <v>54</v>
      </c>
      <c r="H1133" s="6" t="s">
        <v>90</v>
      </c>
      <c r="I1133" s="6" t="s">
        <v>91</v>
      </c>
      <c r="J1133" s="6" t="s">
        <v>23</v>
      </c>
      <c r="K1133" s="6" t="s">
        <v>24</v>
      </c>
      <c r="L1133" s="6">
        <v>36</v>
      </c>
      <c r="M1133" s="7">
        <v>31990</v>
      </c>
      <c r="N1133" s="8">
        <v>0.1</v>
      </c>
      <c r="O1133" s="9">
        <v>21800</v>
      </c>
    </row>
    <row r="1134" spans="1:15" ht="18" x14ac:dyDescent="0.35">
      <c r="A1134" s="4" t="s">
        <v>1241</v>
      </c>
      <c r="B1134" s="5">
        <v>45845</v>
      </c>
      <c r="C1134" s="6" t="s">
        <v>26</v>
      </c>
      <c r="D1134" s="6" t="s">
        <v>53</v>
      </c>
      <c r="E1134" s="6" t="s">
        <v>28</v>
      </c>
      <c r="F1134" s="6" t="s">
        <v>19</v>
      </c>
      <c r="G1134" s="6" t="s">
        <v>20</v>
      </c>
      <c r="H1134" s="6" t="s">
        <v>21</v>
      </c>
      <c r="I1134" s="6" t="s">
        <v>22</v>
      </c>
      <c r="J1134" s="6" t="s">
        <v>23</v>
      </c>
      <c r="K1134" s="6" t="s">
        <v>24</v>
      </c>
      <c r="L1134" s="6">
        <v>25</v>
      </c>
      <c r="M1134" s="7">
        <v>4499</v>
      </c>
      <c r="N1134" s="8">
        <v>0.1</v>
      </c>
      <c r="O1134" s="9">
        <v>2910</v>
      </c>
    </row>
    <row r="1135" spans="1:15" ht="18" x14ac:dyDescent="0.35">
      <c r="A1135" s="4" t="s">
        <v>1242</v>
      </c>
      <c r="B1135" s="5">
        <v>45846</v>
      </c>
      <c r="C1135" s="6" t="s">
        <v>48</v>
      </c>
      <c r="D1135" s="6" t="s">
        <v>136</v>
      </c>
      <c r="E1135" s="6" t="s">
        <v>28</v>
      </c>
      <c r="F1135" s="6" t="s">
        <v>19</v>
      </c>
      <c r="G1135" s="6" t="s">
        <v>70</v>
      </c>
      <c r="H1135" s="6" t="s">
        <v>71</v>
      </c>
      <c r="I1135" s="6" t="s">
        <v>80</v>
      </c>
      <c r="J1135" s="6" t="s">
        <v>23</v>
      </c>
      <c r="K1135" s="6" t="s">
        <v>24</v>
      </c>
      <c r="L1135" s="6">
        <v>22</v>
      </c>
      <c r="M1135" s="7">
        <v>1299</v>
      </c>
      <c r="N1135" s="8">
        <v>0.05</v>
      </c>
      <c r="O1135" s="9">
        <v>720</v>
      </c>
    </row>
    <row r="1136" spans="1:15" ht="18" x14ac:dyDescent="0.35">
      <c r="A1136" s="4" t="s">
        <v>1243</v>
      </c>
      <c r="B1136" s="5">
        <v>45846</v>
      </c>
      <c r="C1136" s="6" t="s">
        <v>26</v>
      </c>
      <c r="D1136" s="6" t="s">
        <v>27</v>
      </c>
      <c r="E1136" s="6" t="s">
        <v>105</v>
      </c>
      <c r="F1136" s="6" t="s">
        <v>29</v>
      </c>
      <c r="G1136" s="6" t="s">
        <v>70</v>
      </c>
      <c r="H1136" s="6" t="s">
        <v>71</v>
      </c>
      <c r="I1136" s="6" t="s">
        <v>88</v>
      </c>
      <c r="J1136" s="6" t="s">
        <v>23</v>
      </c>
      <c r="K1136" s="6" t="s">
        <v>24</v>
      </c>
      <c r="L1136" s="6">
        <v>11</v>
      </c>
      <c r="M1136" s="7">
        <v>999</v>
      </c>
      <c r="N1136" s="8">
        <v>0.12</v>
      </c>
      <c r="O1136" s="9">
        <v>540</v>
      </c>
    </row>
    <row r="1137" spans="1:15" ht="18" x14ac:dyDescent="0.35">
      <c r="A1137" s="4" t="s">
        <v>1244</v>
      </c>
      <c r="B1137" s="5">
        <v>45846</v>
      </c>
      <c r="C1137" s="6" t="s">
        <v>26</v>
      </c>
      <c r="D1137" s="6" t="s">
        <v>27</v>
      </c>
      <c r="E1137" s="6" t="s">
        <v>101</v>
      </c>
      <c r="F1137" s="6" t="s">
        <v>19</v>
      </c>
      <c r="G1137" s="6" t="s">
        <v>54</v>
      </c>
      <c r="H1137" s="6" t="s">
        <v>55</v>
      </c>
      <c r="I1137" s="6" t="s">
        <v>56</v>
      </c>
      <c r="J1137" s="6" t="s">
        <v>33</v>
      </c>
      <c r="K1137" s="6" t="s">
        <v>24</v>
      </c>
      <c r="L1137" s="6">
        <v>27</v>
      </c>
      <c r="M1137" s="7">
        <v>7299</v>
      </c>
      <c r="N1137" s="8">
        <v>0.05</v>
      </c>
      <c r="O1137" s="9">
        <v>5010</v>
      </c>
    </row>
    <row r="1138" spans="1:15" ht="18" x14ac:dyDescent="0.35">
      <c r="A1138" s="4" t="s">
        <v>1245</v>
      </c>
      <c r="B1138" s="5">
        <v>45847</v>
      </c>
      <c r="C1138" s="6" t="s">
        <v>26</v>
      </c>
      <c r="D1138" s="6" t="s">
        <v>53</v>
      </c>
      <c r="E1138" s="6" t="s">
        <v>60</v>
      </c>
      <c r="F1138" s="6" t="s">
        <v>19</v>
      </c>
      <c r="G1138" s="6" t="s">
        <v>70</v>
      </c>
      <c r="H1138" s="6" t="s">
        <v>71</v>
      </c>
      <c r="I1138" s="6" t="s">
        <v>88</v>
      </c>
      <c r="J1138" s="6" t="s">
        <v>57</v>
      </c>
      <c r="K1138" s="6" t="s">
        <v>24</v>
      </c>
      <c r="L1138" s="6">
        <v>29</v>
      </c>
      <c r="M1138" s="7">
        <v>999</v>
      </c>
      <c r="N1138" s="8">
        <v>0.1</v>
      </c>
      <c r="O1138" s="9">
        <v>540</v>
      </c>
    </row>
    <row r="1139" spans="1:15" ht="18" x14ac:dyDescent="0.35">
      <c r="A1139" s="4" t="s">
        <v>1246</v>
      </c>
      <c r="B1139" s="5">
        <v>45847</v>
      </c>
      <c r="C1139" s="6" t="s">
        <v>48</v>
      </c>
      <c r="D1139" s="6" t="s">
        <v>136</v>
      </c>
      <c r="E1139" s="6" t="s">
        <v>75</v>
      </c>
      <c r="F1139" s="6" t="s">
        <v>19</v>
      </c>
      <c r="G1139" s="6" t="s">
        <v>54</v>
      </c>
      <c r="H1139" s="6" t="s">
        <v>55</v>
      </c>
      <c r="I1139" s="6" t="s">
        <v>108</v>
      </c>
      <c r="J1139" s="6" t="s">
        <v>33</v>
      </c>
      <c r="K1139" s="6" t="s">
        <v>24</v>
      </c>
      <c r="L1139" s="6">
        <v>28</v>
      </c>
      <c r="M1139" s="7">
        <v>5890</v>
      </c>
      <c r="N1139" s="8">
        <v>0.15</v>
      </c>
      <c r="O1139" s="9">
        <v>3980</v>
      </c>
    </row>
    <row r="1140" spans="1:15" ht="18" x14ac:dyDescent="0.35">
      <c r="A1140" s="4" t="s">
        <v>1247</v>
      </c>
      <c r="B1140" s="5">
        <v>45848</v>
      </c>
      <c r="C1140" s="6" t="s">
        <v>26</v>
      </c>
      <c r="D1140" s="6" t="s">
        <v>74</v>
      </c>
      <c r="E1140" s="6" t="s">
        <v>75</v>
      </c>
      <c r="F1140" s="6" t="s">
        <v>29</v>
      </c>
      <c r="G1140" s="6" t="s">
        <v>20</v>
      </c>
      <c r="H1140" s="6" t="s">
        <v>45</v>
      </c>
      <c r="I1140" s="6" t="s">
        <v>103</v>
      </c>
      <c r="J1140" s="6" t="s">
        <v>23</v>
      </c>
      <c r="K1140" s="6" t="s">
        <v>24</v>
      </c>
      <c r="L1140" s="6">
        <v>6</v>
      </c>
      <c r="M1140" s="7">
        <v>1599</v>
      </c>
      <c r="N1140" s="8">
        <v>0.1</v>
      </c>
      <c r="O1140" s="9">
        <v>920</v>
      </c>
    </row>
    <row r="1141" spans="1:15" ht="18" x14ac:dyDescent="0.35">
      <c r="A1141" s="4" t="s">
        <v>1248</v>
      </c>
      <c r="B1141" s="5">
        <v>45849</v>
      </c>
      <c r="C1141" s="6" t="s">
        <v>82</v>
      </c>
      <c r="D1141" s="6" t="s">
        <v>87</v>
      </c>
      <c r="E1141" s="6" t="s">
        <v>18</v>
      </c>
      <c r="F1141" s="6" t="s">
        <v>19</v>
      </c>
      <c r="G1141" s="6" t="s">
        <v>54</v>
      </c>
      <c r="H1141" s="6" t="s">
        <v>90</v>
      </c>
      <c r="I1141" s="6" t="s">
        <v>258</v>
      </c>
      <c r="J1141" s="6" t="s">
        <v>57</v>
      </c>
      <c r="K1141" s="6" t="s">
        <v>78</v>
      </c>
      <c r="L1141" s="6">
        <v>11</v>
      </c>
      <c r="M1141" s="7">
        <v>29010</v>
      </c>
      <c r="N1141" s="8">
        <v>0.2</v>
      </c>
      <c r="O1141" s="9">
        <v>19150</v>
      </c>
    </row>
    <row r="1142" spans="1:15" ht="18" x14ac:dyDescent="0.35">
      <c r="A1142" s="4" t="s">
        <v>1249</v>
      </c>
      <c r="B1142" s="5">
        <v>45849</v>
      </c>
      <c r="C1142" s="6" t="s">
        <v>26</v>
      </c>
      <c r="D1142" s="6" t="s">
        <v>163</v>
      </c>
      <c r="E1142" s="6" t="s">
        <v>105</v>
      </c>
      <c r="F1142" s="6" t="s">
        <v>39</v>
      </c>
      <c r="G1142" s="6" t="s">
        <v>40</v>
      </c>
      <c r="H1142" s="6" t="s">
        <v>64</v>
      </c>
      <c r="I1142" s="6" t="s">
        <v>159</v>
      </c>
      <c r="J1142" s="6" t="s">
        <v>57</v>
      </c>
      <c r="K1142" s="6" t="s">
        <v>24</v>
      </c>
      <c r="L1142" s="6">
        <v>37</v>
      </c>
      <c r="M1142" s="7">
        <v>3299</v>
      </c>
      <c r="N1142" s="8">
        <v>0.1</v>
      </c>
      <c r="O1142" s="9">
        <v>2050</v>
      </c>
    </row>
    <row r="1143" spans="1:15" ht="18" x14ac:dyDescent="0.35">
      <c r="A1143" s="4" t="s">
        <v>1250</v>
      </c>
      <c r="B1143" s="5">
        <v>45849</v>
      </c>
      <c r="C1143" s="6" t="s">
        <v>82</v>
      </c>
      <c r="D1143" s="6" t="s">
        <v>87</v>
      </c>
      <c r="E1143" s="6" t="s">
        <v>101</v>
      </c>
      <c r="F1143" s="6" t="s">
        <v>29</v>
      </c>
      <c r="G1143" s="6" t="s">
        <v>54</v>
      </c>
      <c r="H1143" s="6" t="s">
        <v>55</v>
      </c>
      <c r="I1143" s="6" t="s">
        <v>108</v>
      </c>
      <c r="J1143" s="6" t="s">
        <v>23</v>
      </c>
      <c r="K1143" s="6" t="s">
        <v>24</v>
      </c>
      <c r="L1143" s="6">
        <v>19</v>
      </c>
      <c r="M1143" s="7">
        <v>5890</v>
      </c>
      <c r="N1143" s="8">
        <v>0.2</v>
      </c>
      <c r="O1143" s="9">
        <v>3980</v>
      </c>
    </row>
    <row r="1144" spans="1:15" ht="18" x14ac:dyDescent="0.35">
      <c r="A1144" s="4" t="s">
        <v>1251</v>
      </c>
      <c r="B1144" s="5">
        <v>45850</v>
      </c>
      <c r="C1144" s="6" t="s">
        <v>26</v>
      </c>
      <c r="D1144" s="6" t="s">
        <v>74</v>
      </c>
      <c r="E1144" s="6" t="s">
        <v>38</v>
      </c>
      <c r="F1144" s="6" t="s">
        <v>29</v>
      </c>
      <c r="G1144" s="6" t="s">
        <v>40</v>
      </c>
      <c r="H1144" s="6" t="s">
        <v>64</v>
      </c>
      <c r="I1144" s="6" t="s">
        <v>65</v>
      </c>
      <c r="J1144" s="6" t="s">
        <v>23</v>
      </c>
      <c r="K1144" s="6" t="s">
        <v>34</v>
      </c>
      <c r="L1144" s="6">
        <v>8</v>
      </c>
      <c r="M1144" s="7">
        <v>1930</v>
      </c>
      <c r="N1144" s="8">
        <v>0.1</v>
      </c>
      <c r="O1144" s="9">
        <v>1120</v>
      </c>
    </row>
    <row r="1145" spans="1:15" ht="18" x14ac:dyDescent="0.35">
      <c r="A1145" s="4" t="s">
        <v>1252</v>
      </c>
      <c r="B1145" s="5">
        <v>45850</v>
      </c>
      <c r="C1145" s="6" t="s">
        <v>36</v>
      </c>
      <c r="D1145" s="6" t="s">
        <v>59</v>
      </c>
      <c r="E1145" s="6" t="s">
        <v>18</v>
      </c>
      <c r="F1145" s="6" t="s">
        <v>39</v>
      </c>
      <c r="G1145" s="6" t="s">
        <v>40</v>
      </c>
      <c r="H1145" s="6" t="s">
        <v>64</v>
      </c>
      <c r="I1145" s="6" t="s">
        <v>153</v>
      </c>
      <c r="J1145" s="6" t="s">
        <v>33</v>
      </c>
      <c r="K1145" s="6" t="s">
        <v>24</v>
      </c>
      <c r="L1145" s="6">
        <v>9</v>
      </c>
      <c r="M1145" s="7">
        <v>4490</v>
      </c>
      <c r="N1145" s="8">
        <v>0.15</v>
      </c>
      <c r="O1145" s="9">
        <v>2950</v>
      </c>
    </row>
    <row r="1146" spans="1:15" ht="18" x14ac:dyDescent="0.35">
      <c r="A1146" s="4" t="s">
        <v>1253</v>
      </c>
      <c r="B1146" s="5">
        <v>45850</v>
      </c>
      <c r="C1146" s="6" t="s">
        <v>82</v>
      </c>
      <c r="D1146" s="6" t="s">
        <v>87</v>
      </c>
      <c r="E1146" s="6" t="s">
        <v>101</v>
      </c>
      <c r="F1146" s="6" t="s">
        <v>29</v>
      </c>
      <c r="G1146" s="6" t="s">
        <v>54</v>
      </c>
      <c r="H1146" s="6" t="s">
        <v>90</v>
      </c>
      <c r="I1146" s="6" t="s">
        <v>134</v>
      </c>
      <c r="J1146" s="6" t="s">
        <v>33</v>
      </c>
      <c r="K1146" s="6" t="s">
        <v>34</v>
      </c>
      <c r="L1146" s="6">
        <v>8</v>
      </c>
      <c r="M1146" s="7">
        <v>32800</v>
      </c>
      <c r="N1146" s="8">
        <v>0.2</v>
      </c>
      <c r="O1146" s="9">
        <v>23100</v>
      </c>
    </row>
    <row r="1147" spans="1:15" ht="18" x14ac:dyDescent="0.35">
      <c r="A1147" s="4" t="s">
        <v>1254</v>
      </c>
      <c r="B1147" s="5">
        <v>45850</v>
      </c>
      <c r="C1147" s="6" t="s">
        <v>82</v>
      </c>
      <c r="D1147" s="6" t="s">
        <v>183</v>
      </c>
      <c r="E1147" s="6" t="s">
        <v>101</v>
      </c>
      <c r="F1147" s="6" t="s">
        <v>39</v>
      </c>
      <c r="G1147" s="6" t="s">
        <v>40</v>
      </c>
      <c r="H1147" s="6" t="s">
        <v>64</v>
      </c>
      <c r="I1147" s="6" t="s">
        <v>65</v>
      </c>
      <c r="J1147" s="6" t="s">
        <v>23</v>
      </c>
      <c r="K1147" s="6" t="s">
        <v>78</v>
      </c>
      <c r="L1147" s="6">
        <v>19</v>
      </c>
      <c r="M1147" s="7">
        <v>1930</v>
      </c>
      <c r="N1147" s="8">
        <v>0.08</v>
      </c>
      <c r="O1147" s="9">
        <v>1120</v>
      </c>
    </row>
    <row r="1148" spans="1:15" ht="18" x14ac:dyDescent="0.35">
      <c r="A1148" s="4" t="s">
        <v>1255</v>
      </c>
      <c r="B1148" s="5">
        <v>45850</v>
      </c>
      <c r="C1148" s="6" t="s">
        <v>82</v>
      </c>
      <c r="D1148" s="6" t="s">
        <v>183</v>
      </c>
      <c r="E1148" s="6" t="s">
        <v>18</v>
      </c>
      <c r="F1148" s="6" t="s">
        <v>19</v>
      </c>
      <c r="G1148" s="6" t="s">
        <v>20</v>
      </c>
      <c r="H1148" s="6" t="s">
        <v>21</v>
      </c>
      <c r="I1148" s="6" t="s">
        <v>115</v>
      </c>
      <c r="J1148" s="6" t="s">
        <v>57</v>
      </c>
      <c r="K1148" s="6" t="s">
        <v>66</v>
      </c>
      <c r="L1148" s="6">
        <v>12</v>
      </c>
      <c r="M1148" s="7">
        <v>6499</v>
      </c>
      <c r="N1148" s="8">
        <v>0.2</v>
      </c>
      <c r="O1148" s="9">
        <v>4210</v>
      </c>
    </row>
    <row r="1149" spans="1:15" ht="18" x14ac:dyDescent="0.35">
      <c r="A1149" s="4" t="s">
        <v>1256</v>
      </c>
      <c r="B1149" s="5">
        <v>45851</v>
      </c>
      <c r="C1149" s="6" t="s">
        <v>48</v>
      </c>
      <c r="D1149" s="6" t="s">
        <v>49</v>
      </c>
      <c r="E1149" s="6" t="s">
        <v>69</v>
      </c>
      <c r="F1149" s="6" t="s">
        <v>39</v>
      </c>
      <c r="G1149" s="6" t="s">
        <v>30</v>
      </c>
      <c r="H1149" s="6" t="s">
        <v>31</v>
      </c>
      <c r="I1149" s="6" t="s">
        <v>85</v>
      </c>
      <c r="J1149" s="6" t="s">
        <v>23</v>
      </c>
      <c r="K1149" s="6" t="s">
        <v>24</v>
      </c>
      <c r="L1149" s="6">
        <v>4</v>
      </c>
      <c r="M1149" s="7">
        <v>43500</v>
      </c>
      <c r="N1149" s="8">
        <v>0.2</v>
      </c>
      <c r="O1149" s="9">
        <v>29520</v>
      </c>
    </row>
    <row r="1150" spans="1:15" ht="18" x14ac:dyDescent="0.35">
      <c r="A1150" s="4" t="s">
        <v>1257</v>
      </c>
      <c r="B1150" s="5">
        <v>45851</v>
      </c>
      <c r="C1150" s="6" t="s">
        <v>48</v>
      </c>
      <c r="D1150" s="6" t="s">
        <v>68</v>
      </c>
      <c r="E1150" s="6" t="s">
        <v>105</v>
      </c>
      <c r="F1150" s="6" t="s">
        <v>19</v>
      </c>
      <c r="G1150" s="6" t="s">
        <v>54</v>
      </c>
      <c r="H1150" s="6" t="s">
        <v>55</v>
      </c>
      <c r="I1150" s="6" t="s">
        <v>56</v>
      </c>
      <c r="J1150" s="6" t="s">
        <v>33</v>
      </c>
      <c r="K1150" s="6" t="s">
        <v>24</v>
      </c>
      <c r="L1150" s="6">
        <v>25</v>
      </c>
      <c r="M1150" s="7">
        <v>7299</v>
      </c>
      <c r="N1150" s="8">
        <v>0.08</v>
      </c>
      <c r="O1150" s="9">
        <v>5010</v>
      </c>
    </row>
    <row r="1151" spans="1:15" ht="18" x14ac:dyDescent="0.35">
      <c r="A1151" s="4" t="s">
        <v>1258</v>
      </c>
      <c r="B1151" s="5">
        <v>45852</v>
      </c>
      <c r="C1151" s="6" t="s">
        <v>48</v>
      </c>
      <c r="D1151" s="6" t="s">
        <v>93</v>
      </c>
      <c r="E1151" s="6" t="s">
        <v>18</v>
      </c>
      <c r="F1151" s="6" t="s">
        <v>19</v>
      </c>
      <c r="G1151" s="6" t="s">
        <v>40</v>
      </c>
      <c r="H1151" s="6" t="s">
        <v>76</v>
      </c>
      <c r="I1151" s="6" t="s">
        <v>113</v>
      </c>
      <c r="J1151" s="6" t="s">
        <v>57</v>
      </c>
      <c r="K1151" s="6" t="s">
        <v>24</v>
      </c>
      <c r="L1151" s="6">
        <v>14</v>
      </c>
      <c r="M1151" s="7">
        <v>22999</v>
      </c>
      <c r="N1151" s="8">
        <v>0.2</v>
      </c>
      <c r="O1151" s="9">
        <v>15100</v>
      </c>
    </row>
    <row r="1152" spans="1:15" ht="18" x14ac:dyDescent="0.35">
      <c r="A1152" s="4" t="s">
        <v>1259</v>
      </c>
      <c r="B1152" s="5">
        <v>45852</v>
      </c>
      <c r="C1152" s="6" t="s">
        <v>48</v>
      </c>
      <c r="D1152" s="6" t="s">
        <v>136</v>
      </c>
      <c r="E1152" s="6" t="s">
        <v>105</v>
      </c>
      <c r="F1152" s="6" t="s">
        <v>19</v>
      </c>
      <c r="G1152" s="6" t="s">
        <v>54</v>
      </c>
      <c r="H1152" s="6" t="s">
        <v>90</v>
      </c>
      <c r="I1152" s="6" t="s">
        <v>258</v>
      </c>
      <c r="J1152" s="6" t="s">
        <v>33</v>
      </c>
      <c r="K1152" s="6" t="s">
        <v>66</v>
      </c>
      <c r="L1152" s="6">
        <v>4</v>
      </c>
      <c r="M1152" s="7">
        <v>29010</v>
      </c>
      <c r="N1152" s="8">
        <v>0.12</v>
      </c>
      <c r="O1152" s="9">
        <v>19150</v>
      </c>
    </row>
    <row r="1153" spans="1:15" ht="18" x14ac:dyDescent="0.35">
      <c r="A1153" s="4" t="s">
        <v>1260</v>
      </c>
      <c r="B1153" s="5">
        <v>45852</v>
      </c>
      <c r="C1153" s="6" t="s">
        <v>26</v>
      </c>
      <c r="D1153" s="6" t="s">
        <v>163</v>
      </c>
      <c r="E1153" s="6" t="s">
        <v>18</v>
      </c>
      <c r="F1153" s="6" t="s">
        <v>29</v>
      </c>
      <c r="G1153" s="6" t="s">
        <v>54</v>
      </c>
      <c r="H1153" s="6" t="s">
        <v>90</v>
      </c>
      <c r="I1153" s="6" t="s">
        <v>134</v>
      </c>
      <c r="J1153" s="6" t="s">
        <v>33</v>
      </c>
      <c r="K1153" s="6" t="s">
        <v>24</v>
      </c>
      <c r="L1153" s="6">
        <v>25</v>
      </c>
      <c r="M1153" s="7">
        <v>32800</v>
      </c>
      <c r="N1153" s="8">
        <v>0.12</v>
      </c>
      <c r="O1153" s="9">
        <v>23100</v>
      </c>
    </row>
    <row r="1154" spans="1:15" ht="18" x14ac:dyDescent="0.35">
      <c r="A1154" s="4" t="s">
        <v>1261</v>
      </c>
      <c r="B1154" s="5">
        <v>45852</v>
      </c>
      <c r="C1154" s="6" t="s">
        <v>48</v>
      </c>
      <c r="D1154" s="6" t="s">
        <v>93</v>
      </c>
      <c r="E1154" s="6" t="s">
        <v>101</v>
      </c>
      <c r="F1154" s="6" t="s">
        <v>39</v>
      </c>
      <c r="G1154" s="6" t="s">
        <v>40</v>
      </c>
      <c r="H1154" s="6" t="s">
        <v>41</v>
      </c>
      <c r="I1154" s="6" t="s">
        <v>156</v>
      </c>
      <c r="J1154" s="6" t="s">
        <v>23</v>
      </c>
      <c r="K1154" s="6" t="s">
        <v>66</v>
      </c>
      <c r="L1154" s="6">
        <v>7</v>
      </c>
      <c r="M1154" s="7">
        <v>48500</v>
      </c>
      <c r="N1154" s="8">
        <v>0.12</v>
      </c>
      <c r="O1154" s="9">
        <v>30200</v>
      </c>
    </row>
    <row r="1155" spans="1:15" ht="18" x14ac:dyDescent="0.35">
      <c r="A1155" s="4" t="s">
        <v>1262</v>
      </c>
      <c r="B1155" s="5">
        <v>45853</v>
      </c>
      <c r="C1155" s="6" t="s">
        <v>36</v>
      </c>
      <c r="D1155" s="6" t="s">
        <v>59</v>
      </c>
      <c r="E1155" s="6" t="s">
        <v>69</v>
      </c>
      <c r="F1155" s="6" t="s">
        <v>19</v>
      </c>
      <c r="G1155" s="6" t="s">
        <v>20</v>
      </c>
      <c r="H1155" s="6" t="s">
        <v>45</v>
      </c>
      <c r="I1155" s="6" t="s">
        <v>103</v>
      </c>
      <c r="J1155" s="6" t="s">
        <v>57</v>
      </c>
      <c r="K1155" s="6" t="s">
        <v>34</v>
      </c>
      <c r="L1155" s="6">
        <v>21</v>
      </c>
      <c r="M1155" s="7">
        <v>1599</v>
      </c>
      <c r="N1155" s="8">
        <v>0.1</v>
      </c>
      <c r="O1155" s="9">
        <v>920</v>
      </c>
    </row>
    <row r="1156" spans="1:15" ht="18" x14ac:dyDescent="0.35">
      <c r="A1156" s="4" t="s">
        <v>1263</v>
      </c>
      <c r="B1156" s="5">
        <v>45853</v>
      </c>
      <c r="C1156" s="6" t="s">
        <v>36</v>
      </c>
      <c r="D1156" s="6" t="s">
        <v>44</v>
      </c>
      <c r="E1156" s="6" t="s">
        <v>84</v>
      </c>
      <c r="F1156" s="6" t="s">
        <v>39</v>
      </c>
      <c r="G1156" s="6" t="s">
        <v>30</v>
      </c>
      <c r="H1156" s="6" t="s">
        <v>61</v>
      </c>
      <c r="I1156" s="6" t="s">
        <v>62</v>
      </c>
      <c r="J1156" s="6" t="s">
        <v>23</v>
      </c>
      <c r="K1156" s="6" t="s">
        <v>24</v>
      </c>
      <c r="L1156" s="6">
        <v>22</v>
      </c>
      <c r="M1156" s="7">
        <v>12490</v>
      </c>
      <c r="N1156" s="8">
        <v>0.12</v>
      </c>
      <c r="O1156" s="9">
        <v>7900</v>
      </c>
    </row>
    <row r="1157" spans="1:15" ht="18" x14ac:dyDescent="0.35">
      <c r="A1157" s="4" t="s">
        <v>1264</v>
      </c>
      <c r="B1157" s="5">
        <v>45853</v>
      </c>
      <c r="C1157" s="6" t="s">
        <v>48</v>
      </c>
      <c r="D1157" s="6" t="s">
        <v>136</v>
      </c>
      <c r="E1157" s="6" t="s">
        <v>28</v>
      </c>
      <c r="F1157" s="6" t="s">
        <v>19</v>
      </c>
      <c r="G1157" s="6" t="s">
        <v>30</v>
      </c>
      <c r="H1157" s="6" t="s">
        <v>61</v>
      </c>
      <c r="I1157" s="6" t="s">
        <v>62</v>
      </c>
      <c r="J1157" s="6" t="s">
        <v>23</v>
      </c>
      <c r="K1157" s="6" t="s">
        <v>24</v>
      </c>
      <c r="L1157" s="6">
        <v>35</v>
      </c>
      <c r="M1157" s="7">
        <v>12490</v>
      </c>
      <c r="N1157" s="8">
        <v>0.12</v>
      </c>
      <c r="O1157" s="9">
        <v>7900</v>
      </c>
    </row>
    <row r="1158" spans="1:15" ht="18" x14ac:dyDescent="0.35">
      <c r="A1158" s="4" t="s">
        <v>1265</v>
      </c>
      <c r="B1158" s="5">
        <v>45854</v>
      </c>
      <c r="C1158" s="6" t="s">
        <v>26</v>
      </c>
      <c r="D1158" s="6" t="s">
        <v>74</v>
      </c>
      <c r="E1158" s="6" t="s">
        <v>84</v>
      </c>
      <c r="F1158" s="6" t="s">
        <v>39</v>
      </c>
      <c r="G1158" s="6" t="s">
        <v>20</v>
      </c>
      <c r="H1158" s="6" t="s">
        <v>21</v>
      </c>
      <c r="I1158" s="6" t="s">
        <v>22</v>
      </c>
      <c r="J1158" s="6" t="s">
        <v>23</v>
      </c>
      <c r="K1158" s="6" t="s">
        <v>78</v>
      </c>
      <c r="L1158" s="6">
        <v>1</v>
      </c>
      <c r="M1158" s="7">
        <v>4499</v>
      </c>
      <c r="N1158" s="8">
        <v>0.12</v>
      </c>
      <c r="O1158" s="9">
        <v>2910</v>
      </c>
    </row>
    <row r="1159" spans="1:15" ht="18" x14ac:dyDescent="0.35">
      <c r="A1159" s="4" t="s">
        <v>1266</v>
      </c>
      <c r="B1159" s="5">
        <v>45854</v>
      </c>
      <c r="C1159" s="6" t="s">
        <v>48</v>
      </c>
      <c r="D1159" s="6" t="s">
        <v>136</v>
      </c>
      <c r="E1159" s="6" t="s">
        <v>60</v>
      </c>
      <c r="F1159" s="6" t="s">
        <v>19</v>
      </c>
      <c r="G1159" s="6" t="s">
        <v>54</v>
      </c>
      <c r="H1159" s="6" t="s">
        <v>55</v>
      </c>
      <c r="I1159" s="6" t="s">
        <v>148</v>
      </c>
      <c r="J1159" s="6" t="s">
        <v>57</v>
      </c>
      <c r="K1159" s="6" t="s">
        <v>34</v>
      </c>
      <c r="L1159" s="6">
        <v>6</v>
      </c>
      <c r="M1159" s="7">
        <v>4680</v>
      </c>
      <c r="N1159" s="8">
        <v>0.1</v>
      </c>
      <c r="O1159" s="9">
        <v>3250</v>
      </c>
    </row>
    <row r="1160" spans="1:15" ht="18" x14ac:dyDescent="0.35">
      <c r="A1160" s="4" t="s">
        <v>1267</v>
      </c>
      <c r="B1160" s="5">
        <v>45854</v>
      </c>
      <c r="C1160" s="6" t="s">
        <v>36</v>
      </c>
      <c r="D1160" s="6" t="s">
        <v>59</v>
      </c>
      <c r="E1160" s="6" t="s">
        <v>28</v>
      </c>
      <c r="F1160" s="6" t="s">
        <v>39</v>
      </c>
      <c r="G1160" s="6" t="s">
        <v>30</v>
      </c>
      <c r="H1160" s="6" t="s">
        <v>31</v>
      </c>
      <c r="I1160" s="6" t="s">
        <v>85</v>
      </c>
      <c r="J1160" s="6" t="s">
        <v>33</v>
      </c>
      <c r="K1160" s="6" t="s">
        <v>34</v>
      </c>
      <c r="L1160" s="6">
        <v>35</v>
      </c>
      <c r="M1160" s="7">
        <v>43500</v>
      </c>
      <c r="N1160" s="8">
        <v>0.2</v>
      </c>
      <c r="O1160" s="9">
        <v>29520</v>
      </c>
    </row>
    <row r="1161" spans="1:15" ht="18" x14ac:dyDescent="0.35">
      <c r="A1161" s="4" t="s">
        <v>1268</v>
      </c>
      <c r="B1161" s="5">
        <v>45854</v>
      </c>
      <c r="C1161" s="6" t="s">
        <v>26</v>
      </c>
      <c r="D1161" s="6" t="s">
        <v>163</v>
      </c>
      <c r="E1161" s="6" t="s">
        <v>50</v>
      </c>
      <c r="F1161" s="6" t="s">
        <v>19</v>
      </c>
      <c r="G1161" s="6" t="s">
        <v>40</v>
      </c>
      <c r="H1161" s="6" t="s">
        <v>41</v>
      </c>
      <c r="I1161" s="6" t="s">
        <v>156</v>
      </c>
      <c r="J1161" s="6" t="s">
        <v>57</v>
      </c>
      <c r="K1161" s="6" t="s">
        <v>78</v>
      </c>
      <c r="L1161" s="6">
        <v>11</v>
      </c>
      <c r="M1161" s="7">
        <v>48500</v>
      </c>
      <c r="N1161" s="8">
        <v>0.18</v>
      </c>
      <c r="O1161" s="9">
        <v>30200</v>
      </c>
    </row>
    <row r="1162" spans="1:15" ht="18" x14ac:dyDescent="0.35">
      <c r="A1162" s="4" t="s">
        <v>1269</v>
      </c>
      <c r="B1162" s="5">
        <v>45854</v>
      </c>
      <c r="C1162" s="6" t="s">
        <v>26</v>
      </c>
      <c r="D1162" s="6" t="s">
        <v>27</v>
      </c>
      <c r="E1162" s="6" t="s">
        <v>28</v>
      </c>
      <c r="F1162" s="6" t="s">
        <v>29</v>
      </c>
      <c r="G1162" s="6" t="s">
        <v>20</v>
      </c>
      <c r="H1162" s="6" t="s">
        <v>45</v>
      </c>
      <c r="I1162" s="6" t="s">
        <v>103</v>
      </c>
      <c r="J1162" s="6" t="s">
        <v>33</v>
      </c>
      <c r="K1162" s="6" t="s">
        <v>24</v>
      </c>
      <c r="L1162" s="6">
        <v>31</v>
      </c>
      <c r="M1162" s="7">
        <v>1599</v>
      </c>
      <c r="N1162" s="8">
        <v>0.2</v>
      </c>
      <c r="O1162" s="9">
        <v>920</v>
      </c>
    </row>
    <row r="1163" spans="1:15" ht="18" x14ac:dyDescent="0.35">
      <c r="A1163" s="4" t="s">
        <v>1270</v>
      </c>
      <c r="B1163" s="5">
        <v>45855</v>
      </c>
      <c r="C1163" s="6" t="s">
        <v>26</v>
      </c>
      <c r="D1163" s="6" t="s">
        <v>74</v>
      </c>
      <c r="E1163" s="6" t="s">
        <v>105</v>
      </c>
      <c r="F1163" s="6" t="s">
        <v>19</v>
      </c>
      <c r="G1163" s="6" t="s">
        <v>70</v>
      </c>
      <c r="H1163" s="6" t="s">
        <v>71</v>
      </c>
      <c r="I1163" s="6" t="s">
        <v>80</v>
      </c>
      <c r="J1163" s="6" t="s">
        <v>23</v>
      </c>
      <c r="K1163" s="6" t="s">
        <v>34</v>
      </c>
      <c r="L1163" s="6">
        <v>25</v>
      </c>
      <c r="M1163" s="7">
        <v>1299</v>
      </c>
      <c r="N1163" s="8">
        <v>0.2</v>
      </c>
      <c r="O1163" s="9">
        <v>720</v>
      </c>
    </row>
    <row r="1164" spans="1:15" ht="18" x14ac:dyDescent="0.35">
      <c r="A1164" s="4" t="s">
        <v>1271</v>
      </c>
      <c r="B1164" s="5">
        <v>45855</v>
      </c>
      <c r="C1164" s="6" t="s">
        <v>36</v>
      </c>
      <c r="D1164" s="6" t="s">
        <v>59</v>
      </c>
      <c r="E1164" s="6" t="s">
        <v>60</v>
      </c>
      <c r="F1164" s="6" t="s">
        <v>19</v>
      </c>
      <c r="G1164" s="6" t="s">
        <v>20</v>
      </c>
      <c r="H1164" s="6" t="s">
        <v>45</v>
      </c>
      <c r="I1164" s="6" t="s">
        <v>196</v>
      </c>
      <c r="J1164" s="6" t="s">
        <v>33</v>
      </c>
      <c r="K1164" s="6" t="s">
        <v>78</v>
      </c>
      <c r="L1164" s="6">
        <v>3</v>
      </c>
      <c r="M1164" s="7">
        <v>2499</v>
      </c>
      <c r="N1164" s="8">
        <v>0.18</v>
      </c>
      <c r="O1164" s="9">
        <v>1510</v>
      </c>
    </row>
    <row r="1165" spans="1:15" ht="18" x14ac:dyDescent="0.35">
      <c r="A1165" s="4" t="s">
        <v>1272</v>
      </c>
      <c r="B1165" s="5">
        <v>45856</v>
      </c>
      <c r="C1165" s="6" t="s">
        <v>82</v>
      </c>
      <c r="D1165" s="6" t="s">
        <v>183</v>
      </c>
      <c r="E1165" s="6" t="s">
        <v>60</v>
      </c>
      <c r="F1165" s="6" t="s">
        <v>29</v>
      </c>
      <c r="G1165" s="6" t="s">
        <v>30</v>
      </c>
      <c r="H1165" s="6" t="s">
        <v>31</v>
      </c>
      <c r="I1165" s="6" t="s">
        <v>85</v>
      </c>
      <c r="J1165" s="6" t="s">
        <v>23</v>
      </c>
      <c r="K1165" s="6" t="s">
        <v>34</v>
      </c>
      <c r="L1165" s="6">
        <v>5</v>
      </c>
      <c r="M1165" s="7">
        <v>43500</v>
      </c>
      <c r="N1165" s="8">
        <v>0.08</v>
      </c>
      <c r="O1165" s="9">
        <v>29520</v>
      </c>
    </row>
    <row r="1166" spans="1:15" ht="18" x14ac:dyDescent="0.35">
      <c r="A1166" s="4" t="s">
        <v>1273</v>
      </c>
      <c r="B1166" s="5">
        <v>45857</v>
      </c>
      <c r="C1166" s="6" t="s">
        <v>82</v>
      </c>
      <c r="D1166" s="6" t="s">
        <v>183</v>
      </c>
      <c r="E1166" s="6" t="s">
        <v>28</v>
      </c>
      <c r="F1166" s="6" t="s">
        <v>29</v>
      </c>
      <c r="G1166" s="6" t="s">
        <v>70</v>
      </c>
      <c r="H1166" s="6" t="s">
        <v>71</v>
      </c>
      <c r="I1166" s="6" t="s">
        <v>88</v>
      </c>
      <c r="J1166" s="6" t="s">
        <v>57</v>
      </c>
      <c r="K1166" s="6" t="s">
        <v>34</v>
      </c>
      <c r="L1166" s="6">
        <v>36</v>
      </c>
      <c r="M1166" s="7">
        <v>999</v>
      </c>
      <c r="N1166" s="8">
        <v>0.2</v>
      </c>
      <c r="O1166" s="9">
        <v>540</v>
      </c>
    </row>
    <row r="1167" spans="1:15" ht="18" x14ac:dyDescent="0.35">
      <c r="A1167" s="4" t="s">
        <v>1274</v>
      </c>
      <c r="B1167" s="5">
        <v>45857</v>
      </c>
      <c r="C1167" s="6" t="s">
        <v>36</v>
      </c>
      <c r="D1167" s="6" t="s">
        <v>59</v>
      </c>
      <c r="E1167" s="6" t="s">
        <v>84</v>
      </c>
      <c r="F1167" s="6" t="s">
        <v>39</v>
      </c>
      <c r="G1167" s="6" t="s">
        <v>20</v>
      </c>
      <c r="H1167" s="6" t="s">
        <v>45</v>
      </c>
      <c r="I1167" s="6" t="s">
        <v>196</v>
      </c>
      <c r="J1167" s="6" t="s">
        <v>23</v>
      </c>
      <c r="K1167" s="6" t="s">
        <v>24</v>
      </c>
      <c r="L1167" s="6">
        <v>5</v>
      </c>
      <c r="M1167" s="7">
        <v>2499</v>
      </c>
      <c r="N1167" s="8">
        <v>0.12</v>
      </c>
      <c r="O1167" s="9">
        <v>1510</v>
      </c>
    </row>
    <row r="1168" spans="1:15" ht="18" x14ac:dyDescent="0.35">
      <c r="A1168" s="4" t="s">
        <v>1275</v>
      </c>
      <c r="B1168" s="5">
        <v>45858</v>
      </c>
      <c r="C1168" s="6" t="s">
        <v>82</v>
      </c>
      <c r="D1168" s="6" t="s">
        <v>183</v>
      </c>
      <c r="E1168" s="6" t="s">
        <v>38</v>
      </c>
      <c r="F1168" s="6" t="s">
        <v>29</v>
      </c>
      <c r="G1168" s="6" t="s">
        <v>54</v>
      </c>
      <c r="H1168" s="6" t="s">
        <v>55</v>
      </c>
      <c r="I1168" s="6" t="s">
        <v>148</v>
      </c>
      <c r="J1168" s="6" t="s">
        <v>57</v>
      </c>
      <c r="K1168" s="6" t="s">
        <v>24</v>
      </c>
      <c r="L1168" s="6">
        <v>33</v>
      </c>
      <c r="M1168" s="7">
        <v>4680</v>
      </c>
      <c r="N1168" s="8">
        <v>0.12</v>
      </c>
      <c r="O1168" s="9">
        <v>3250</v>
      </c>
    </row>
    <row r="1169" spans="1:15" ht="18" x14ac:dyDescent="0.35">
      <c r="A1169" s="4" t="s">
        <v>1276</v>
      </c>
      <c r="B1169" s="5">
        <v>45859</v>
      </c>
      <c r="C1169" s="6" t="s">
        <v>26</v>
      </c>
      <c r="D1169" s="6" t="s">
        <v>53</v>
      </c>
      <c r="E1169" s="6" t="s">
        <v>60</v>
      </c>
      <c r="F1169" s="6" t="s">
        <v>39</v>
      </c>
      <c r="G1169" s="6" t="s">
        <v>20</v>
      </c>
      <c r="H1169" s="6" t="s">
        <v>45</v>
      </c>
      <c r="I1169" s="6" t="s">
        <v>103</v>
      </c>
      <c r="J1169" s="6" t="s">
        <v>23</v>
      </c>
      <c r="K1169" s="6" t="s">
        <v>24</v>
      </c>
      <c r="L1169" s="6">
        <v>37</v>
      </c>
      <c r="M1169" s="7">
        <v>1599</v>
      </c>
      <c r="N1169" s="8">
        <v>0.05</v>
      </c>
      <c r="O1169" s="9">
        <v>920</v>
      </c>
    </row>
    <row r="1170" spans="1:15" ht="18" x14ac:dyDescent="0.35">
      <c r="A1170" s="4" t="s">
        <v>1277</v>
      </c>
      <c r="B1170" s="5">
        <v>45859</v>
      </c>
      <c r="C1170" s="6" t="s">
        <v>48</v>
      </c>
      <c r="D1170" s="6" t="s">
        <v>49</v>
      </c>
      <c r="E1170" s="6" t="s">
        <v>50</v>
      </c>
      <c r="F1170" s="6" t="s">
        <v>29</v>
      </c>
      <c r="G1170" s="6" t="s">
        <v>40</v>
      </c>
      <c r="H1170" s="6" t="s">
        <v>41</v>
      </c>
      <c r="I1170" s="6" t="s">
        <v>42</v>
      </c>
      <c r="J1170" s="6" t="s">
        <v>23</v>
      </c>
      <c r="K1170" s="6" t="s">
        <v>66</v>
      </c>
      <c r="L1170" s="6">
        <v>39</v>
      </c>
      <c r="M1170" s="7">
        <v>55230</v>
      </c>
      <c r="N1170" s="8">
        <v>0.12</v>
      </c>
      <c r="O1170" s="9">
        <v>33800</v>
      </c>
    </row>
    <row r="1171" spans="1:15" ht="18" x14ac:dyDescent="0.35">
      <c r="A1171" s="4" t="s">
        <v>1278</v>
      </c>
      <c r="B1171" s="5">
        <v>45859</v>
      </c>
      <c r="C1171" s="6" t="s">
        <v>36</v>
      </c>
      <c r="D1171" s="6" t="s">
        <v>59</v>
      </c>
      <c r="E1171" s="6" t="s">
        <v>105</v>
      </c>
      <c r="F1171" s="6" t="s">
        <v>29</v>
      </c>
      <c r="G1171" s="6" t="s">
        <v>30</v>
      </c>
      <c r="H1171" s="6" t="s">
        <v>61</v>
      </c>
      <c r="I1171" s="6" t="s">
        <v>96</v>
      </c>
      <c r="J1171" s="6" t="s">
        <v>33</v>
      </c>
      <c r="K1171" s="6" t="s">
        <v>78</v>
      </c>
      <c r="L1171" s="6">
        <v>20</v>
      </c>
      <c r="M1171" s="7">
        <v>25110</v>
      </c>
      <c r="N1171" s="8">
        <v>0.18</v>
      </c>
      <c r="O1171" s="9">
        <v>16730</v>
      </c>
    </row>
    <row r="1172" spans="1:15" ht="18" x14ac:dyDescent="0.35">
      <c r="A1172" s="4" t="s">
        <v>1279</v>
      </c>
      <c r="B1172" s="5">
        <v>45861</v>
      </c>
      <c r="C1172" s="6" t="s">
        <v>16</v>
      </c>
      <c r="D1172" s="6" t="s">
        <v>111</v>
      </c>
      <c r="E1172" s="6" t="s">
        <v>105</v>
      </c>
      <c r="F1172" s="6" t="s">
        <v>19</v>
      </c>
      <c r="G1172" s="6" t="s">
        <v>20</v>
      </c>
      <c r="H1172" s="6" t="s">
        <v>21</v>
      </c>
      <c r="I1172" s="6" t="s">
        <v>51</v>
      </c>
      <c r="J1172" s="6" t="s">
        <v>23</v>
      </c>
      <c r="K1172" s="6" t="s">
        <v>78</v>
      </c>
      <c r="L1172" s="6">
        <v>10</v>
      </c>
      <c r="M1172" s="7">
        <v>5999</v>
      </c>
      <c r="N1172" s="8">
        <v>0.2</v>
      </c>
      <c r="O1172" s="9">
        <v>3890</v>
      </c>
    </row>
    <row r="1173" spans="1:15" ht="18" x14ac:dyDescent="0.35">
      <c r="A1173" s="4" t="s">
        <v>1280</v>
      </c>
      <c r="B1173" s="5">
        <v>45861</v>
      </c>
      <c r="C1173" s="6" t="s">
        <v>36</v>
      </c>
      <c r="D1173" s="6" t="s">
        <v>121</v>
      </c>
      <c r="E1173" s="6" t="s">
        <v>18</v>
      </c>
      <c r="F1173" s="6" t="s">
        <v>19</v>
      </c>
      <c r="G1173" s="6" t="s">
        <v>30</v>
      </c>
      <c r="H1173" s="6" t="s">
        <v>31</v>
      </c>
      <c r="I1173" s="6" t="s">
        <v>106</v>
      </c>
      <c r="J1173" s="6" t="s">
        <v>33</v>
      </c>
      <c r="K1173" s="6" t="s">
        <v>78</v>
      </c>
      <c r="L1173" s="6">
        <v>39</v>
      </c>
      <c r="M1173" s="7">
        <v>52990</v>
      </c>
      <c r="N1173" s="8">
        <v>0.2</v>
      </c>
      <c r="O1173" s="9">
        <v>35100</v>
      </c>
    </row>
    <row r="1174" spans="1:15" ht="18" x14ac:dyDescent="0.35">
      <c r="A1174" s="4" t="s">
        <v>1281</v>
      </c>
      <c r="B1174" s="5">
        <v>45862</v>
      </c>
      <c r="C1174" s="6" t="s">
        <v>82</v>
      </c>
      <c r="D1174" s="6" t="s">
        <v>87</v>
      </c>
      <c r="E1174" s="6" t="s">
        <v>101</v>
      </c>
      <c r="F1174" s="6" t="s">
        <v>29</v>
      </c>
      <c r="G1174" s="6" t="s">
        <v>20</v>
      </c>
      <c r="H1174" s="6" t="s">
        <v>45</v>
      </c>
      <c r="I1174" s="6" t="s">
        <v>196</v>
      </c>
      <c r="J1174" s="6" t="s">
        <v>57</v>
      </c>
      <c r="K1174" s="6" t="s">
        <v>66</v>
      </c>
      <c r="L1174" s="6">
        <v>9</v>
      </c>
      <c r="M1174" s="7">
        <v>2499</v>
      </c>
      <c r="N1174" s="8">
        <v>0.1</v>
      </c>
      <c r="O1174" s="9">
        <v>1510</v>
      </c>
    </row>
    <row r="1175" spans="1:15" ht="18" x14ac:dyDescent="0.35">
      <c r="A1175" s="4" t="s">
        <v>1282</v>
      </c>
      <c r="B1175" s="5">
        <v>45862</v>
      </c>
      <c r="C1175" s="6" t="s">
        <v>26</v>
      </c>
      <c r="D1175" s="6" t="s">
        <v>27</v>
      </c>
      <c r="E1175" s="6" t="s">
        <v>101</v>
      </c>
      <c r="F1175" s="6" t="s">
        <v>29</v>
      </c>
      <c r="G1175" s="6" t="s">
        <v>40</v>
      </c>
      <c r="H1175" s="6" t="s">
        <v>76</v>
      </c>
      <c r="I1175" s="6" t="s">
        <v>113</v>
      </c>
      <c r="J1175" s="6" t="s">
        <v>33</v>
      </c>
      <c r="K1175" s="6" t="s">
        <v>66</v>
      </c>
      <c r="L1175" s="6">
        <v>25</v>
      </c>
      <c r="M1175" s="7">
        <v>22999</v>
      </c>
      <c r="N1175" s="8">
        <v>0.12</v>
      </c>
      <c r="O1175" s="9">
        <v>15100</v>
      </c>
    </row>
    <row r="1176" spans="1:15" ht="18" x14ac:dyDescent="0.35">
      <c r="A1176" s="4" t="s">
        <v>1283</v>
      </c>
      <c r="B1176" s="5">
        <v>45864</v>
      </c>
      <c r="C1176" s="6" t="s">
        <v>26</v>
      </c>
      <c r="D1176" s="6" t="s">
        <v>27</v>
      </c>
      <c r="E1176" s="6" t="s">
        <v>38</v>
      </c>
      <c r="F1176" s="6" t="s">
        <v>29</v>
      </c>
      <c r="G1176" s="6" t="s">
        <v>30</v>
      </c>
      <c r="H1176" s="6" t="s">
        <v>61</v>
      </c>
      <c r="I1176" s="6" t="s">
        <v>186</v>
      </c>
      <c r="J1176" s="6" t="s">
        <v>33</v>
      </c>
      <c r="K1176" s="6" t="s">
        <v>24</v>
      </c>
      <c r="L1176" s="6">
        <v>32</v>
      </c>
      <c r="M1176" s="7">
        <v>6999</v>
      </c>
      <c r="N1176" s="8">
        <v>0.08</v>
      </c>
      <c r="O1176" s="9">
        <v>4320</v>
      </c>
    </row>
    <row r="1177" spans="1:15" ht="18" x14ac:dyDescent="0.35">
      <c r="A1177" s="4" t="s">
        <v>1284</v>
      </c>
      <c r="B1177" s="5">
        <v>45864</v>
      </c>
      <c r="C1177" s="6" t="s">
        <v>82</v>
      </c>
      <c r="D1177" s="6" t="s">
        <v>100</v>
      </c>
      <c r="E1177" s="6" t="s">
        <v>50</v>
      </c>
      <c r="F1177" s="6" t="s">
        <v>29</v>
      </c>
      <c r="G1177" s="6" t="s">
        <v>40</v>
      </c>
      <c r="H1177" s="6" t="s">
        <v>64</v>
      </c>
      <c r="I1177" s="6" t="s">
        <v>159</v>
      </c>
      <c r="J1177" s="6" t="s">
        <v>57</v>
      </c>
      <c r="K1177" s="6" t="s">
        <v>34</v>
      </c>
      <c r="L1177" s="6">
        <v>30</v>
      </c>
      <c r="M1177" s="7">
        <v>3299</v>
      </c>
      <c r="N1177" s="8">
        <v>0.1</v>
      </c>
      <c r="O1177" s="9">
        <v>2050</v>
      </c>
    </row>
    <row r="1178" spans="1:15" ht="18" x14ac:dyDescent="0.35">
      <c r="A1178" s="4" t="s">
        <v>1285</v>
      </c>
      <c r="B1178" s="5">
        <v>45865</v>
      </c>
      <c r="C1178" s="6" t="s">
        <v>82</v>
      </c>
      <c r="D1178" s="6" t="s">
        <v>87</v>
      </c>
      <c r="E1178" s="6" t="s">
        <v>38</v>
      </c>
      <c r="F1178" s="6" t="s">
        <v>29</v>
      </c>
      <c r="G1178" s="6" t="s">
        <v>20</v>
      </c>
      <c r="H1178" s="6" t="s">
        <v>21</v>
      </c>
      <c r="I1178" s="6" t="s">
        <v>51</v>
      </c>
      <c r="J1178" s="6" t="s">
        <v>23</v>
      </c>
      <c r="K1178" s="6" t="s">
        <v>66</v>
      </c>
      <c r="L1178" s="6">
        <v>7</v>
      </c>
      <c r="M1178" s="7">
        <v>5999</v>
      </c>
      <c r="N1178" s="8">
        <v>0.18</v>
      </c>
      <c r="O1178" s="9">
        <v>3890</v>
      </c>
    </row>
    <row r="1179" spans="1:15" ht="18" x14ac:dyDescent="0.35">
      <c r="A1179" s="4" t="s">
        <v>1286</v>
      </c>
      <c r="B1179" s="5">
        <v>45867</v>
      </c>
      <c r="C1179" s="6" t="s">
        <v>16</v>
      </c>
      <c r="D1179" s="6" t="s">
        <v>126</v>
      </c>
      <c r="E1179" s="6" t="s">
        <v>69</v>
      </c>
      <c r="F1179" s="6" t="s">
        <v>19</v>
      </c>
      <c r="G1179" s="6" t="s">
        <v>20</v>
      </c>
      <c r="H1179" s="6" t="s">
        <v>45</v>
      </c>
      <c r="I1179" s="6" t="s">
        <v>103</v>
      </c>
      <c r="J1179" s="6" t="s">
        <v>57</v>
      </c>
      <c r="K1179" s="6" t="s">
        <v>24</v>
      </c>
      <c r="L1179" s="6">
        <v>38</v>
      </c>
      <c r="M1179" s="7">
        <v>1599</v>
      </c>
      <c r="N1179" s="8">
        <v>0.05</v>
      </c>
      <c r="O1179" s="9">
        <v>920</v>
      </c>
    </row>
    <row r="1180" spans="1:15" ht="18" x14ac:dyDescent="0.35">
      <c r="A1180" s="4" t="s">
        <v>1287</v>
      </c>
      <c r="B1180" s="5">
        <v>45868</v>
      </c>
      <c r="C1180" s="6" t="s">
        <v>48</v>
      </c>
      <c r="D1180" s="6" t="s">
        <v>136</v>
      </c>
      <c r="E1180" s="6" t="s">
        <v>60</v>
      </c>
      <c r="F1180" s="6" t="s">
        <v>19</v>
      </c>
      <c r="G1180" s="6" t="s">
        <v>70</v>
      </c>
      <c r="H1180" s="6" t="s">
        <v>71</v>
      </c>
      <c r="I1180" s="6" t="s">
        <v>88</v>
      </c>
      <c r="J1180" s="6" t="s">
        <v>33</v>
      </c>
      <c r="K1180" s="6" t="s">
        <v>66</v>
      </c>
      <c r="L1180" s="6">
        <v>14</v>
      </c>
      <c r="M1180" s="7">
        <v>999</v>
      </c>
      <c r="N1180" s="8">
        <v>0.12</v>
      </c>
      <c r="O1180" s="9">
        <v>540</v>
      </c>
    </row>
    <row r="1181" spans="1:15" ht="18" x14ac:dyDescent="0.35">
      <c r="A1181" s="4" t="s">
        <v>1288</v>
      </c>
      <c r="B1181" s="5">
        <v>45868</v>
      </c>
      <c r="C1181" s="6" t="s">
        <v>48</v>
      </c>
      <c r="D1181" s="6" t="s">
        <v>93</v>
      </c>
      <c r="E1181" s="6" t="s">
        <v>60</v>
      </c>
      <c r="F1181" s="6" t="s">
        <v>29</v>
      </c>
      <c r="G1181" s="6" t="s">
        <v>20</v>
      </c>
      <c r="H1181" s="6" t="s">
        <v>21</v>
      </c>
      <c r="I1181" s="6" t="s">
        <v>22</v>
      </c>
      <c r="J1181" s="6" t="s">
        <v>23</v>
      </c>
      <c r="K1181" s="6" t="s">
        <v>66</v>
      </c>
      <c r="L1181" s="6">
        <v>20</v>
      </c>
      <c r="M1181" s="7">
        <v>4499</v>
      </c>
      <c r="N1181" s="8">
        <v>0.12</v>
      </c>
      <c r="O1181" s="9">
        <v>2910</v>
      </c>
    </row>
    <row r="1182" spans="1:15" ht="18" x14ac:dyDescent="0.35">
      <c r="A1182" s="4" t="s">
        <v>1289</v>
      </c>
      <c r="B1182" s="5">
        <v>45868</v>
      </c>
      <c r="C1182" s="6" t="s">
        <v>16</v>
      </c>
      <c r="D1182" s="6" t="s">
        <v>126</v>
      </c>
      <c r="E1182" s="6" t="s">
        <v>101</v>
      </c>
      <c r="F1182" s="6" t="s">
        <v>39</v>
      </c>
      <c r="G1182" s="6" t="s">
        <v>70</v>
      </c>
      <c r="H1182" s="6" t="s">
        <v>71</v>
      </c>
      <c r="I1182" s="6" t="s">
        <v>80</v>
      </c>
      <c r="J1182" s="6" t="s">
        <v>33</v>
      </c>
      <c r="K1182" s="6" t="s">
        <v>24</v>
      </c>
      <c r="L1182" s="6">
        <v>2</v>
      </c>
      <c r="M1182" s="7">
        <v>1299</v>
      </c>
      <c r="N1182" s="8">
        <v>0.15</v>
      </c>
      <c r="O1182" s="9">
        <v>720</v>
      </c>
    </row>
    <row r="1183" spans="1:15" ht="18" x14ac:dyDescent="0.35">
      <c r="A1183" s="4" t="s">
        <v>1290</v>
      </c>
      <c r="B1183" s="5">
        <v>45869</v>
      </c>
      <c r="C1183" s="6" t="s">
        <v>26</v>
      </c>
      <c r="D1183" s="6" t="s">
        <v>74</v>
      </c>
      <c r="E1183" s="6" t="s">
        <v>84</v>
      </c>
      <c r="F1183" s="6" t="s">
        <v>29</v>
      </c>
      <c r="G1183" s="6" t="s">
        <v>54</v>
      </c>
      <c r="H1183" s="6" t="s">
        <v>90</v>
      </c>
      <c r="I1183" s="6" t="s">
        <v>91</v>
      </c>
      <c r="J1183" s="6" t="s">
        <v>33</v>
      </c>
      <c r="K1183" s="6" t="s">
        <v>66</v>
      </c>
      <c r="L1183" s="6">
        <v>11</v>
      </c>
      <c r="M1183" s="7">
        <v>31990</v>
      </c>
      <c r="N1183" s="8">
        <v>0.1</v>
      </c>
      <c r="O1183" s="9">
        <v>21800</v>
      </c>
    </row>
    <row r="1184" spans="1:15" ht="18" x14ac:dyDescent="0.35">
      <c r="A1184" s="4" t="s">
        <v>1291</v>
      </c>
      <c r="B1184" s="5">
        <v>45870</v>
      </c>
      <c r="C1184" s="6" t="s">
        <v>48</v>
      </c>
      <c r="D1184" s="6" t="s">
        <v>136</v>
      </c>
      <c r="E1184" s="6" t="s">
        <v>50</v>
      </c>
      <c r="F1184" s="6" t="s">
        <v>19</v>
      </c>
      <c r="G1184" s="6" t="s">
        <v>30</v>
      </c>
      <c r="H1184" s="6" t="s">
        <v>61</v>
      </c>
      <c r="I1184" s="6" t="s">
        <v>186</v>
      </c>
      <c r="J1184" s="6" t="s">
        <v>57</v>
      </c>
      <c r="K1184" s="6" t="s">
        <v>66</v>
      </c>
      <c r="L1184" s="6">
        <v>3</v>
      </c>
      <c r="M1184" s="7">
        <v>6999</v>
      </c>
      <c r="N1184" s="8">
        <v>0.15</v>
      </c>
      <c r="O1184" s="9">
        <v>4320</v>
      </c>
    </row>
    <row r="1185" spans="1:15" ht="18" x14ac:dyDescent="0.35">
      <c r="A1185" s="4" t="s">
        <v>1292</v>
      </c>
      <c r="B1185" s="5">
        <v>45870</v>
      </c>
      <c r="C1185" s="6" t="s">
        <v>48</v>
      </c>
      <c r="D1185" s="6" t="s">
        <v>68</v>
      </c>
      <c r="E1185" s="6" t="s">
        <v>38</v>
      </c>
      <c r="F1185" s="6" t="s">
        <v>29</v>
      </c>
      <c r="G1185" s="6" t="s">
        <v>40</v>
      </c>
      <c r="H1185" s="6" t="s">
        <v>41</v>
      </c>
      <c r="I1185" s="6" t="s">
        <v>156</v>
      </c>
      <c r="J1185" s="6" t="s">
        <v>23</v>
      </c>
      <c r="K1185" s="6" t="s">
        <v>24</v>
      </c>
      <c r="L1185" s="6">
        <v>7</v>
      </c>
      <c r="M1185" s="7">
        <v>48500</v>
      </c>
      <c r="N1185" s="8">
        <v>0.15</v>
      </c>
      <c r="O1185" s="9">
        <v>30200</v>
      </c>
    </row>
    <row r="1186" spans="1:15" ht="18" x14ac:dyDescent="0.35">
      <c r="A1186" s="4" t="s">
        <v>1293</v>
      </c>
      <c r="B1186" s="5">
        <v>45870</v>
      </c>
      <c r="C1186" s="6" t="s">
        <v>26</v>
      </c>
      <c r="D1186" s="6" t="s">
        <v>74</v>
      </c>
      <c r="E1186" s="6" t="s">
        <v>75</v>
      </c>
      <c r="F1186" s="6" t="s">
        <v>19</v>
      </c>
      <c r="G1186" s="6" t="s">
        <v>54</v>
      </c>
      <c r="H1186" s="6" t="s">
        <v>129</v>
      </c>
      <c r="I1186" s="6" t="s">
        <v>145</v>
      </c>
      <c r="J1186" s="6" t="s">
        <v>57</v>
      </c>
      <c r="K1186" s="6" t="s">
        <v>66</v>
      </c>
      <c r="L1186" s="6">
        <v>17</v>
      </c>
      <c r="M1186" s="7">
        <v>31490</v>
      </c>
      <c r="N1186" s="8">
        <v>0.1</v>
      </c>
      <c r="O1186" s="9">
        <v>21300</v>
      </c>
    </row>
    <row r="1187" spans="1:15" ht="18" x14ac:dyDescent="0.35">
      <c r="A1187" s="4" t="s">
        <v>1294</v>
      </c>
      <c r="B1187" s="5">
        <v>45870</v>
      </c>
      <c r="C1187" s="6" t="s">
        <v>48</v>
      </c>
      <c r="D1187" s="6" t="s">
        <v>93</v>
      </c>
      <c r="E1187" s="6" t="s">
        <v>60</v>
      </c>
      <c r="F1187" s="6" t="s">
        <v>39</v>
      </c>
      <c r="G1187" s="6" t="s">
        <v>30</v>
      </c>
      <c r="H1187" s="6" t="s">
        <v>31</v>
      </c>
      <c r="I1187" s="6" t="s">
        <v>85</v>
      </c>
      <c r="J1187" s="6" t="s">
        <v>57</v>
      </c>
      <c r="K1187" s="6" t="s">
        <v>24</v>
      </c>
      <c r="L1187" s="6">
        <v>2</v>
      </c>
      <c r="M1187" s="7">
        <v>43500</v>
      </c>
      <c r="N1187" s="8">
        <v>0.2</v>
      </c>
      <c r="O1187" s="9">
        <v>29520</v>
      </c>
    </row>
    <row r="1188" spans="1:15" ht="18" x14ac:dyDescent="0.35">
      <c r="A1188" s="4" t="s">
        <v>1295</v>
      </c>
      <c r="B1188" s="5">
        <v>45871</v>
      </c>
      <c r="C1188" s="6" t="s">
        <v>26</v>
      </c>
      <c r="D1188" s="6" t="s">
        <v>74</v>
      </c>
      <c r="E1188" s="6" t="s">
        <v>38</v>
      </c>
      <c r="F1188" s="6" t="s">
        <v>29</v>
      </c>
      <c r="G1188" s="6" t="s">
        <v>20</v>
      </c>
      <c r="H1188" s="6" t="s">
        <v>21</v>
      </c>
      <c r="I1188" s="6" t="s">
        <v>22</v>
      </c>
      <c r="J1188" s="6" t="s">
        <v>57</v>
      </c>
      <c r="K1188" s="6" t="s">
        <v>24</v>
      </c>
      <c r="L1188" s="6">
        <v>26</v>
      </c>
      <c r="M1188" s="7">
        <v>4499</v>
      </c>
      <c r="N1188" s="8">
        <v>0.12</v>
      </c>
      <c r="O1188" s="9">
        <v>2910</v>
      </c>
    </row>
    <row r="1189" spans="1:15" ht="18" x14ac:dyDescent="0.35">
      <c r="A1189" s="4" t="s">
        <v>1296</v>
      </c>
      <c r="B1189" s="5">
        <v>45872</v>
      </c>
      <c r="C1189" s="6" t="s">
        <v>82</v>
      </c>
      <c r="D1189" s="6" t="s">
        <v>183</v>
      </c>
      <c r="E1189" s="6" t="s">
        <v>60</v>
      </c>
      <c r="F1189" s="6" t="s">
        <v>29</v>
      </c>
      <c r="G1189" s="6" t="s">
        <v>30</v>
      </c>
      <c r="H1189" s="6" t="s">
        <v>31</v>
      </c>
      <c r="I1189" s="6" t="s">
        <v>85</v>
      </c>
      <c r="J1189" s="6" t="s">
        <v>57</v>
      </c>
      <c r="K1189" s="6" t="s">
        <v>66</v>
      </c>
      <c r="L1189" s="6">
        <v>29</v>
      </c>
      <c r="M1189" s="7">
        <v>43500</v>
      </c>
      <c r="N1189" s="8">
        <v>0.2</v>
      </c>
      <c r="O1189" s="9">
        <v>29520</v>
      </c>
    </row>
    <row r="1190" spans="1:15" ht="18" x14ac:dyDescent="0.35">
      <c r="A1190" s="4" t="s">
        <v>1297</v>
      </c>
      <c r="B1190" s="5">
        <v>45872</v>
      </c>
      <c r="C1190" s="6" t="s">
        <v>48</v>
      </c>
      <c r="D1190" s="6" t="s">
        <v>136</v>
      </c>
      <c r="E1190" s="6" t="s">
        <v>75</v>
      </c>
      <c r="F1190" s="6" t="s">
        <v>19</v>
      </c>
      <c r="G1190" s="6" t="s">
        <v>40</v>
      </c>
      <c r="H1190" s="6" t="s">
        <v>76</v>
      </c>
      <c r="I1190" s="6" t="s">
        <v>77</v>
      </c>
      <c r="J1190" s="6" t="s">
        <v>23</v>
      </c>
      <c r="K1190" s="6" t="s">
        <v>24</v>
      </c>
      <c r="L1190" s="6">
        <v>12</v>
      </c>
      <c r="M1190" s="7">
        <v>52990</v>
      </c>
      <c r="N1190" s="8">
        <v>0.05</v>
      </c>
      <c r="O1190" s="9">
        <v>39500</v>
      </c>
    </row>
    <row r="1191" spans="1:15" ht="18" x14ac:dyDescent="0.35">
      <c r="A1191" s="4" t="s">
        <v>1298</v>
      </c>
      <c r="B1191" s="5">
        <v>45873</v>
      </c>
      <c r="C1191" s="6" t="s">
        <v>16</v>
      </c>
      <c r="D1191" s="6" t="s">
        <v>126</v>
      </c>
      <c r="E1191" s="6" t="s">
        <v>105</v>
      </c>
      <c r="F1191" s="6" t="s">
        <v>19</v>
      </c>
      <c r="G1191" s="6" t="s">
        <v>20</v>
      </c>
      <c r="H1191" s="6" t="s">
        <v>45</v>
      </c>
      <c r="I1191" s="6" t="s">
        <v>103</v>
      </c>
      <c r="J1191" s="6" t="s">
        <v>57</v>
      </c>
      <c r="K1191" s="6" t="s">
        <v>24</v>
      </c>
      <c r="L1191" s="6">
        <v>36</v>
      </c>
      <c r="M1191" s="7">
        <v>1599</v>
      </c>
      <c r="N1191" s="8">
        <v>0.05</v>
      </c>
      <c r="O1191" s="9">
        <v>920</v>
      </c>
    </row>
    <row r="1192" spans="1:15" ht="18" x14ac:dyDescent="0.35">
      <c r="A1192" s="4" t="s">
        <v>1299</v>
      </c>
      <c r="B1192" s="5">
        <v>45874</v>
      </c>
      <c r="C1192" s="6" t="s">
        <v>82</v>
      </c>
      <c r="D1192" s="6" t="s">
        <v>100</v>
      </c>
      <c r="E1192" s="6" t="s">
        <v>69</v>
      </c>
      <c r="F1192" s="6" t="s">
        <v>39</v>
      </c>
      <c r="G1192" s="6" t="s">
        <v>70</v>
      </c>
      <c r="H1192" s="6" t="s">
        <v>71</v>
      </c>
      <c r="I1192" s="6" t="s">
        <v>80</v>
      </c>
      <c r="J1192" s="6" t="s">
        <v>57</v>
      </c>
      <c r="K1192" s="6" t="s">
        <v>34</v>
      </c>
      <c r="L1192" s="6">
        <v>10</v>
      </c>
      <c r="M1192" s="7">
        <v>1299</v>
      </c>
      <c r="N1192" s="8">
        <v>0.12</v>
      </c>
      <c r="O1192" s="9">
        <v>720</v>
      </c>
    </row>
    <row r="1193" spans="1:15" ht="18" x14ac:dyDescent="0.35">
      <c r="A1193" s="4" t="s">
        <v>1300</v>
      </c>
      <c r="B1193" s="5">
        <v>45874</v>
      </c>
      <c r="C1193" s="6" t="s">
        <v>48</v>
      </c>
      <c r="D1193" s="6" t="s">
        <v>49</v>
      </c>
      <c r="E1193" s="6" t="s">
        <v>84</v>
      </c>
      <c r="F1193" s="6" t="s">
        <v>39</v>
      </c>
      <c r="G1193" s="6" t="s">
        <v>20</v>
      </c>
      <c r="H1193" s="6" t="s">
        <v>45</v>
      </c>
      <c r="I1193" s="6" t="s">
        <v>196</v>
      </c>
      <c r="J1193" s="6" t="s">
        <v>23</v>
      </c>
      <c r="K1193" s="6" t="s">
        <v>24</v>
      </c>
      <c r="L1193" s="6">
        <v>34</v>
      </c>
      <c r="M1193" s="7">
        <v>2499</v>
      </c>
      <c r="N1193" s="8">
        <v>0.08</v>
      </c>
      <c r="O1193" s="9">
        <v>1510</v>
      </c>
    </row>
    <row r="1194" spans="1:15" ht="18" x14ac:dyDescent="0.35">
      <c r="A1194" s="4" t="s">
        <v>1301</v>
      </c>
      <c r="B1194" s="5">
        <v>45874</v>
      </c>
      <c r="C1194" s="6" t="s">
        <v>36</v>
      </c>
      <c r="D1194" s="6" t="s">
        <v>59</v>
      </c>
      <c r="E1194" s="6" t="s">
        <v>38</v>
      </c>
      <c r="F1194" s="6" t="s">
        <v>29</v>
      </c>
      <c r="G1194" s="6" t="s">
        <v>20</v>
      </c>
      <c r="H1194" s="6" t="s">
        <v>45</v>
      </c>
      <c r="I1194" s="6" t="s">
        <v>46</v>
      </c>
      <c r="J1194" s="6" t="s">
        <v>57</v>
      </c>
      <c r="K1194" s="6" t="s">
        <v>34</v>
      </c>
      <c r="L1194" s="6">
        <v>36</v>
      </c>
      <c r="M1194" s="7">
        <v>1899</v>
      </c>
      <c r="N1194" s="8">
        <v>0.18</v>
      </c>
      <c r="O1194" s="9">
        <v>1080</v>
      </c>
    </row>
    <row r="1195" spans="1:15" ht="18" x14ac:dyDescent="0.35">
      <c r="A1195" s="4" t="s">
        <v>1302</v>
      </c>
      <c r="B1195" s="5">
        <v>45875</v>
      </c>
      <c r="C1195" s="6" t="s">
        <v>36</v>
      </c>
      <c r="D1195" s="6" t="s">
        <v>121</v>
      </c>
      <c r="E1195" s="6" t="s">
        <v>101</v>
      </c>
      <c r="F1195" s="6" t="s">
        <v>39</v>
      </c>
      <c r="G1195" s="6" t="s">
        <v>40</v>
      </c>
      <c r="H1195" s="6" t="s">
        <v>76</v>
      </c>
      <c r="I1195" s="6" t="s">
        <v>77</v>
      </c>
      <c r="J1195" s="6" t="s">
        <v>57</v>
      </c>
      <c r="K1195" s="6" t="s">
        <v>24</v>
      </c>
      <c r="L1195" s="6">
        <v>15</v>
      </c>
      <c r="M1195" s="7">
        <v>52990</v>
      </c>
      <c r="N1195" s="8">
        <v>0.12</v>
      </c>
      <c r="O1195" s="9">
        <v>39500</v>
      </c>
    </row>
    <row r="1196" spans="1:15" ht="18" x14ac:dyDescent="0.35">
      <c r="A1196" s="4" t="s">
        <v>1303</v>
      </c>
      <c r="B1196" s="5">
        <v>45875</v>
      </c>
      <c r="C1196" s="6" t="s">
        <v>26</v>
      </c>
      <c r="D1196" s="6" t="s">
        <v>163</v>
      </c>
      <c r="E1196" s="6" t="s">
        <v>75</v>
      </c>
      <c r="F1196" s="6" t="s">
        <v>29</v>
      </c>
      <c r="G1196" s="6" t="s">
        <v>20</v>
      </c>
      <c r="H1196" s="6" t="s">
        <v>45</v>
      </c>
      <c r="I1196" s="6" t="s">
        <v>103</v>
      </c>
      <c r="J1196" s="6" t="s">
        <v>33</v>
      </c>
      <c r="K1196" s="6" t="s">
        <v>78</v>
      </c>
      <c r="L1196" s="6">
        <v>24</v>
      </c>
      <c r="M1196" s="7">
        <v>1599</v>
      </c>
      <c r="N1196" s="8">
        <v>0.1</v>
      </c>
      <c r="O1196" s="9">
        <v>920</v>
      </c>
    </row>
    <row r="1197" spans="1:15" ht="18" x14ac:dyDescent="0.35">
      <c r="A1197" s="4" t="s">
        <v>1304</v>
      </c>
      <c r="B1197" s="5">
        <v>45876</v>
      </c>
      <c r="C1197" s="6" t="s">
        <v>82</v>
      </c>
      <c r="D1197" s="6" t="s">
        <v>183</v>
      </c>
      <c r="E1197" s="6" t="s">
        <v>75</v>
      </c>
      <c r="F1197" s="6" t="s">
        <v>19</v>
      </c>
      <c r="G1197" s="6" t="s">
        <v>20</v>
      </c>
      <c r="H1197" s="6" t="s">
        <v>45</v>
      </c>
      <c r="I1197" s="6" t="s">
        <v>196</v>
      </c>
      <c r="J1197" s="6" t="s">
        <v>23</v>
      </c>
      <c r="K1197" s="6" t="s">
        <v>24</v>
      </c>
      <c r="L1197" s="6">
        <v>15</v>
      </c>
      <c r="M1197" s="7">
        <v>2499</v>
      </c>
      <c r="N1197" s="8">
        <v>0.1</v>
      </c>
      <c r="O1197" s="9">
        <v>1510</v>
      </c>
    </row>
    <row r="1198" spans="1:15" ht="18" x14ac:dyDescent="0.35">
      <c r="A1198" s="4" t="s">
        <v>1305</v>
      </c>
      <c r="B1198" s="5">
        <v>45878</v>
      </c>
      <c r="C1198" s="6" t="s">
        <v>16</v>
      </c>
      <c r="D1198" s="6" t="s">
        <v>111</v>
      </c>
      <c r="E1198" s="6" t="s">
        <v>60</v>
      </c>
      <c r="F1198" s="6" t="s">
        <v>29</v>
      </c>
      <c r="G1198" s="6" t="s">
        <v>40</v>
      </c>
      <c r="H1198" s="6" t="s">
        <v>41</v>
      </c>
      <c r="I1198" s="6" t="s">
        <v>42</v>
      </c>
      <c r="J1198" s="6" t="s">
        <v>57</v>
      </c>
      <c r="K1198" s="6" t="s">
        <v>66</v>
      </c>
      <c r="L1198" s="6">
        <v>4</v>
      </c>
      <c r="M1198" s="7">
        <v>55230</v>
      </c>
      <c r="N1198" s="8">
        <v>0.15</v>
      </c>
      <c r="O1198" s="9">
        <v>33800</v>
      </c>
    </row>
    <row r="1199" spans="1:15" ht="18" x14ac:dyDescent="0.35">
      <c r="A1199" s="4" t="s">
        <v>1306</v>
      </c>
      <c r="B1199" s="5">
        <v>45879</v>
      </c>
      <c r="C1199" s="6" t="s">
        <v>26</v>
      </c>
      <c r="D1199" s="6" t="s">
        <v>27</v>
      </c>
      <c r="E1199" s="6" t="s">
        <v>105</v>
      </c>
      <c r="F1199" s="6" t="s">
        <v>19</v>
      </c>
      <c r="G1199" s="6" t="s">
        <v>20</v>
      </c>
      <c r="H1199" s="6" t="s">
        <v>45</v>
      </c>
      <c r="I1199" s="6" t="s">
        <v>46</v>
      </c>
      <c r="J1199" s="6" t="s">
        <v>33</v>
      </c>
      <c r="K1199" s="6" t="s">
        <v>24</v>
      </c>
      <c r="L1199" s="6">
        <v>7</v>
      </c>
      <c r="M1199" s="7">
        <v>1899</v>
      </c>
      <c r="N1199" s="8">
        <v>0.12</v>
      </c>
      <c r="O1199" s="9">
        <v>1080</v>
      </c>
    </row>
    <row r="1200" spans="1:15" ht="18" x14ac:dyDescent="0.35">
      <c r="A1200" s="4" t="s">
        <v>1307</v>
      </c>
      <c r="B1200" s="5">
        <v>45879</v>
      </c>
      <c r="C1200" s="6" t="s">
        <v>26</v>
      </c>
      <c r="D1200" s="6" t="s">
        <v>163</v>
      </c>
      <c r="E1200" s="6" t="s">
        <v>101</v>
      </c>
      <c r="F1200" s="6" t="s">
        <v>29</v>
      </c>
      <c r="G1200" s="6" t="s">
        <v>40</v>
      </c>
      <c r="H1200" s="6" t="s">
        <v>64</v>
      </c>
      <c r="I1200" s="6" t="s">
        <v>153</v>
      </c>
      <c r="J1200" s="6" t="s">
        <v>23</v>
      </c>
      <c r="K1200" s="6" t="s">
        <v>24</v>
      </c>
      <c r="L1200" s="6">
        <v>40</v>
      </c>
      <c r="M1200" s="7">
        <v>4490</v>
      </c>
      <c r="N1200" s="8">
        <v>0.05</v>
      </c>
      <c r="O1200" s="9">
        <v>2950</v>
      </c>
    </row>
    <row r="1201" spans="1:15" ht="18" x14ac:dyDescent="0.35">
      <c r="A1201" s="4" t="s">
        <v>1308</v>
      </c>
      <c r="B1201" s="5">
        <v>45881</v>
      </c>
      <c r="C1201" s="6" t="s">
        <v>82</v>
      </c>
      <c r="D1201" s="6" t="s">
        <v>183</v>
      </c>
      <c r="E1201" s="6" t="s">
        <v>50</v>
      </c>
      <c r="F1201" s="6" t="s">
        <v>19</v>
      </c>
      <c r="G1201" s="6" t="s">
        <v>30</v>
      </c>
      <c r="H1201" s="6" t="s">
        <v>61</v>
      </c>
      <c r="I1201" s="6" t="s">
        <v>186</v>
      </c>
      <c r="J1201" s="6" t="s">
        <v>33</v>
      </c>
      <c r="K1201" s="6" t="s">
        <v>24</v>
      </c>
      <c r="L1201" s="6">
        <v>6</v>
      </c>
      <c r="M1201" s="7">
        <v>6999</v>
      </c>
      <c r="N1201" s="8">
        <v>0.05</v>
      </c>
      <c r="O1201" s="9">
        <v>4320</v>
      </c>
    </row>
    <row r="1202" spans="1:15" ht="18" x14ac:dyDescent="0.35">
      <c r="A1202" s="4" t="s">
        <v>1309</v>
      </c>
      <c r="B1202" s="5">
        <v>45881</v>
      </c>
      <c r="C1202" s="6" t="s">
        <v>36</v>
      </c>
      <c r="D1202" s="6" t="s">
        <v>121</v>
      </c>
      <c r="E1202" s="6" t="s">
        <v>28</v>
      </c>
      <c r="F1202" s="6" t="s">
        <v>19</v>
      </c>
      <c r="G1202" s="6" t="s">
        <v>70</v>
      </c>
      <c r="H1202" s="6" t="s">
        <v>71</v>
      </c>
      <c r="I1202" s="6" t="s">
        <v>72</v>
      </c>
      <c r="J1202" s="6" t="s">
        <v>23</v>
      </c>
      <c r="K1202" s="6" t="s">
        <v>34</v>
      </c>
      <c r="L1202" s="6">
        <v>32</v>
      </c>
      <c r="M1202" s="7">
        <v>3499</v>
      </c>
      <c r="N1202" s="8">
        <v>0.15</v>
      </c>
      <c r="O1202" s="9">
        <v>2190</v>
      </c>
    </row>
    <row r="1203" spans="1:15" ht="18" x14ac:dyDescent="0.35">
      <c r="A1203" s="4" t="s">
        <v>1310</v>
      </c>
      <c r="B1203" s="5">
        <v>45882</v>
      </c>
      <c r="C1203" s="6" t="s">
        <v>48</v>
      </c>
      <c r="D1203" s="6" t="s">
        <v>49</v>
      </c>
      <c r="E1203" s="6" t="s">
        <v>101</v>
      </c>
      <c r="F1203" s="6" t="s">
        <v>19</v>
      </c>
      <c r="G1203" s="6" t="s">
        <v>20</v>
      </c>
      <c r="H1203" s="6" t="s">
        <v>21</v>
      </c>
      <c r="I1203" s="6" t="s">
        <v>115</v>
      </c>
      <c r="J1203" s="6" t="s">
        <v>23</v>
      </c>
      <c r="K1203" s="6" t="s">
        <v>24</v>
      </c>
      <c r="L1203" s="6">
        <v>40</v>
      </c>
      <c r="M1203" s="7">
        <v>6499</v>
      </c>
      <c r="N1203" s="8">
        <v>0.18</v>
      </c>
      <c r="O1203" s="9">
        <v>4210</v>
      </c>
    </row>
    <row r="1204" spans="1:15" ht="18" x14ac:dyDescent="0.35">
      <c r="A1204" s="4" t="s">
        <v>1311</v>
      </c>
      <c r="B1204" s="5">
        <v>45882</v>
      </c>
      <c r="C1204" s="6" t="s">
        <v>48</v>
      </c>
      <c r="D1204" s="6" t="s">
        <v>93</v>
      </c>
      <c r="E1204" s="6" t="s">
        <v>69</v>
      </c>
      <c r="F1204" s="6" t="s">
        <v>39</v>
      </c>
      <c r="G1204" s="6" t="s">
        <v>54</v>
      </c>
      <c r="H1204" s="6" t="s">
        <v>90</v>
      </c>
      <c r="I1204" s="6" t="s">
        <v>91</v>
      </c>
      <c r="J1204" s="6" t="s">
        <v>57</v>
      </c>
      <c r="K1204" s="6" t="s">
        <v>78</v>
      </c>
      <c r="L1204" s="6">
        <v>9</v>
      </c>
      <c r="M1204" s="7">
        <v>31990</v>
      </c>
      <c r="N1204" s="8">
        <v>0.05</v>
      </c>
      <c r="O1204" s="9">
        <v>21800</v>
      </c>
    </row>
    <row r="1205" spans="1:15" ht="18" x14ac:dyDescent="0.35">
      <c r="A1205" s="4" t="s">
        <v>1312</v>
      </c>
      <c r="B1205" s="5">
        <v>45883</v>
      </c>
      <c r="C1205" s="6" t="s">
        <v>36</v>
      </c>
      <c r="D1205" s="6" t="s">
        <v>44</v>
      </c>
      <c r="E1205" s="6" t="s">
        <v>18</v>
      </c>
      <c r="F1205" s="6" t="s">
        <v>19</v>
      </c>
      <c r="G1205" s="6" t="s">
        <v>20</v>
      </c>
      <c r="H1205" s="6" t="s">
        <v>21</v>
      </c>
      <c r="I1205" s="6" t="s">
        <v>51</v>
      </c>
      <c r="J1205" s="6" t="s">
        <v>57</v>
      </c>
      <c r="K1205" s="6" t="s">
        <v>34</v>
      </c>
      <c r="L1205" s="6">
        <v>11</v>
      </c>
      <c r="M1205" s="7">
        <v>5999</v>
      </c>
      <c r="N1205" s="8">
        <v>0.12</v>
      </c>
      <c r="O1205" s="9">
        <v>3890</v>
      </c>
    </row>
    <row r="1206" spans="1:15" ht="18" x14ac:dyDescent="0.35">
      <c r="A1206" s="4" t="s">
        <v>1313</v>
      </c>
      <c r="B1206" s="5">
        <v>45883</v>
      </c>
      <c r="C1206" s="6" t="s">
        <v>82</v>
      </c>
      <c r="D1206" s="6" t="s">
        <v>83</v>
      </c>
      <c r="E1206" s="6" t="s">
        <v>38</v>
      </c>
      <c r="F1206" s="6" t="s">
        <v>29</v>
      </c>
      <c r="G1206" s="6" t="s">
        <v>40</v>
      </c>
      <c r="H1206" s="6" t="s">
        <v>76</v>
      </c>
      <c r="I1206" s="6" t="s">
        <v>77</v>
      </c>
      <c r="J1206" s="6" t="s">
        <v>33</v>
      </c>
      <c r="K1206" s="6" t="s">
        <v>24</v>
      </c>
      <c r="L1206" s="6">
        <v>16</v>
      </c>
      <c r="M1206" s="7">
        <v>52990</v>
      </c>
      <c r="N1206" s="8">
        <v>0.18</v>
      </c>
      <c r="O1206" s="9">
        <v>39500</v>
      </c>
    </row>
    <row r="1207" spans="1:15" ht="18" x14ac:dyDescent="0.35">
      <c r="A1207" s="4" t="s">
        <v>1314</v>
      </c>
      <c r="B1207" s="5">
        <v>45883</v>
      </c>
      <c r="C1207" s="6" t="s">
        <v>36</v>
      </c>
      <c r="D1207" s="6" t="s">
        <v>37</v>
      </c>
      <c r="E1207" s="6" t="s">
        <v>84</v>
      </c>
      <c r="F1207" s="6" t="s">
        <v>19</v>
      </c>
      <c r="G1207" s="6" t="s">
        <v>70</v>
      </c>
      <c r="H1207" s="6" t="s">
        <v>71</v>
      </c>
      <c r="I1207" s="6" t="s">
        <v>72</v>
      </c>
      <c r="J1207" s="6" t="s">
        <v>33</v>
      </c>
      <c r="K1207" s="6" t="s">
        <v>34</v>
      </c>
      <c r="L1207" s="6">
        <v>30</v>
      </c>
      <c r="M1207" s="7">
        <v>3499</v>
      </c>
      <c r="N1207" s="8">
        <v>0.05</v>
      </c>
      <c r="O1207" s="9">
        <v>2190</v>
      </c>
    </row>
    <row r="1208" spans="1:15" ht="18" x14ac:dyDescent="0.35">
      <c r="A1208" s="4" t="s">
        <v>1315</v>
      </c>
      <c r="B1208" s="5">
        <v>45883</v>
      </c>
      <c r="C1208" s="6" t="s">
        <v>36</v>
      </c>
      <c r="D1208" s="6" t="s">
        <v>44</v>
      </c>
      <c r="E1208" s="6" t="s">
        <v>38</v>
      </c>
      <c r="F1208" s="6" t="s">
        <v>39</v>
      </c>
      <c r="G1208" s="6" t="s">
        <v>40</v>
      </c>
      <c r="H1208" s="6" t="s">
        <v>64</v>
      </c>
      <c r="I1208" s="6" t="s">
        <v>65</v>
      </c>
      <c r="J1208" s="6" t="s">
        <v>23</v>
      </c>
      <c r="K1208" s="6" t="s">
        <v>34</v>
      </c>
      <c r="L1208" s="6">
        <v>34</v>
      </c>
      <c r="M1208" s="7">
        <v>1930</v>
      </c>
      <c r="N1208" s="8">
        <v>0.15</v>
      </c>
      <c r="O1208" s="9">
        <v>1120</v>
      </c>
    </row>
    <row r="1209" spans="1:15" ht="18" x14ac:dyDescent="0.35">
      <c r="A1209" s="4" t="s">
        <v>1316</v>
      </c>
      <c r="B1209" s="5">
        <v>45883</v>
      </c>
      <c r="C1209" s="6" t="s">
        <v>82</v>
      </c>
      <c r="D1209" s="6" t="s">
        <v>100</v>
      </c>
      <c r="E1209" s="6" t="s">
        <v>60</v>
      </c>
      <c r="F1209" s="6" t="s">
        <v>19</v>
      </c>
      <c r="G1209" s="6" t="s">
        <v>40</v>
      </c>
      <c r="H1209" s="6" t="s">
        <v>76</v>
      </c>
      <c r="I1209" s="6" t="s">
        <v>139</v>
      </c>
      <c r="J1209" s="6" t="s">
        <v>33</v>
      </c>
      <c r="K1209" s="6" t="s">
        <v>24</v>
      </c>
      <c r="L1209" s="6">
        <v>33</v>
      </c>
      <c r="M1209" s="7">
        <v>25999</v>
      </c>
      <c r="N1209" s="8">
        <v>0.2</v>
      </c>
      <c r="O1209" s="9">
        <v>17800</v>
      </c>
    </row>
    <row r="1210" spans="1:15" ht="18" x14ac:dyDescent="0.35">
      <c r="A1210" s="4" t="s">
        <v>1317</v>
      </c>
      <c r="B1210" s="5">
        <v>45883</v>
      </c>
      <c r="C1210" s="6" t="s">
        <v>82</v>
      </c>
      <c r="D1210" s="6" t="s">
        <v>83</v>
      </c>
      <c r="E1210" s="6" t="s">
        <v>69</v>
      </c>
      <c r="F1210" s="6" t="s">
        <v>29</v>
      </c>
      <c r="G1210" s="6" t="s">
        <v>54</v>
      </c>
      <c r="H1210" s="6" t="s">
        <v>90</v>
      </c>
      <c r="I1210" s="6" t="s">
        <v>134</v>
      </c>
      <c r="J1210" s="6" t="s">
        <v>33</v>
      </c>
      <c r="K1210" s="6" t="s">
        <v>24</v>
      </c>
      <c r="L1210" s="6">
        <v>17</v>
      </c>
      <c r="M1210" s="7">
        <v>32800</v>
      </c>
      <c r="N1210" s="8">
        <v>0.18</v>
      </c>
      <c r="O1210" s="9">
        <v>23100</v>
      </c>
    </row>
    <row r="1211" spans="1:15" ht="18" x14ac:dyDescent="0.35">
      <c r="A1211" s="4" t="s">
        <v>1318</v>
      </c>
      <c r="B1211" s="5">
        <v>45883</v>
      </c>
      <c r="C1211" s="6" t="s">
        <v>82</v>
      </c>
      <c r="D1211" s="6" t="s">
        <v>83</v>
      </c>
      <c r="E1211" s="6" t="s">
        <v>38</v>
      </c>
      <c r="F1211" s="6" t="s">
        <v>29</v>
      </c>
      <c r="G1211" s="6" t="s">
        <v>54</v>
      </c>
      <c r="H1211" s="6" t="s">
        <v>55</v>
      </c>
      <c r="I1211" s="6" t="s">
        <v>108</v>
      </c>
      <c r="J1211" s="6" t="s">
        <v>33</v>
      </c>
      <c r="K1211" s="6" t="s">
        <v>24</v>
      </c>
      <c r="L1211" s="6">
        <v>29</v>
      </c>
      <c r="M1211" s="7">
        <v>5890</v>
      </c>
      <c r="N1211" s="8">
        <v>0.05</v>
      </c>
      <c r="O1211" s="9">
        <v>3980</v>
      </c>
    </row>
    <row r="1212" spans="1:15" ht="18" x14ac:dyDescent="0.35">
      <c r="A1212" s="4" t="s">
        <v>1319</v>
      </c>
      <c r="B1212" s="5">
        <v>45884</v>
      </c>
      <c r="C1212" s="6" t="s">
        <v>26</v>
      </c>
      <c r="D1212" s="6" t="s">
        <v>27</v>
      </c>
      <c r="E1212" s="6" t="s">
        <v>84</v>
      </c>
      <c r="F1212" s="6" t="s">
        <v>29</v>
      </c>
      <c r="G1212" s="6" t="s">
        <v>40</v>
      </c>
      <c r="H1212" s="6" t="s">
        <v>76</v>
      </c>
      <c r="I1212" s="6" t="s">
        <v>113</v>
      </c>
      <c r="J1212" s="6" t="s">
        <v>23</v>
      </c>
      <c r="K1212" s="6" t="s">
        <v>24</v>
      </c>
      <c r="L1212" s="6">
        <v>9</v>
      </c>
      <c r="M1212" s="7">
        <v>22999</v>
      </c>
      <c r="N1212" s="8">
        <v>0.05</v>
      </c>
      <c r="O1212" s="9">
        <v>15100</v>
      </c>
    </row>
    <row r="1213" spans="1:15" ht="18" x14ac:dyDescent="0.35">
      <c r="A1213" s="4" t="s">
        <v>1320</v>
      </c>
      <c r="B1213" s="5">
        <v>45884</v>
      </c>
      <c r="C1213" s="6" t="s">
        <v>48</v>
      </c>
      <c r="D1213" s="6" t="s">
        <v>68</v>
      </c>
      <c r="E1213" s="6" t="s">
        <v>60</v>
      </c>
      <c r="F1213" s="6" t="s">
        <v>19</v>
      </c>
      <c r="G1213" s="6" t="s">
        <v>30</v>
      </c>
      <c r="H1213" s="6" t="s">
        <v>61</v>
      </c>
      <c r="I1213" s="6" t="s">
        <v>96</v>
      </c>
      <c r="J1213" s="6" t="s">
        <v>23</v>
      </c>
      <c r="K1213" s="6" t="s">
        <v>24</v>
      </c>
      <c r="L1213" s="6">
        <v>35</v>
      </c>
      <c r="M1213" s="7">
        <v>25110</v>
      </c>
      <c r="N1213" s="8">
        <v>0.08</v>
      </c>
      <c r="O1213" s="9">
        <v>16730</v>
      </c>
    </row>
    <row r="1214" spans="1:15" ht="18" x14ac:dyDescent="0.35">
      <c r="A1214" s="4" t="s">
        <v>1321</v>
      </c>
      <c r="B1214" s="5">
        <v>45884</v>
      </c>
      <c r="C1214" s="6" t="s">
        <v>16</v>
      </c>
      <c r="D1214" s="6" t="s">
        <v>17</v>
      </c>
      <c r="E1214" s="6" t="s">
        <v>69</v>
      </c>
      <c r="F1214" s="6" t="s">
        <v>29</v>
      </c>
      <c r="G1214" s="6" t="s">
        <v>70</v>
      </c>
      <c r="H1214" s="6" t="s">
        <v>71</v>
      </c>
      <c r="I1214" s="6" t="s">
        <v>72</v>
      </c>
      <c r="J1214" s="6" t="s">
        <v>23</v>
      </c>
      <c r="K1214" s="6" t="s">
        <v>24</v>
      </c>
      <c r="L1214" s="6">
        <v>27</v>
      </c>
      <c r="M1214" s="7">
        <v>3499</v>
      </c>
      <c r="N1214" s="8">
        <v>0.12</v>
      </c>
      <c r="O1214" s="9">
        <v>2190</v>
      </c>
    </row>
    <row r="1215" spans="1:15" ht="18" x14ac:dyDescent="0.35">
      <c r="A1215" s="4" t="s">
        <v>1322</v>
      </c>
      <c r="B1215" s="5">
        <v>45885</v>
      </c>
      <c r="C1215" s="6" t="s">
        <v>36</v>
      </c>
      <c r="D1215" s="6" t="s">
        <v>121</v>
      </c>
      <c r="E1215" s="6" t="s">
        <v>75</v>
      </c>
      <c r="F1215" s="6" t="s">
        <v>19</v>
      </c>
      <c r="G1215" s="6" t="s">
        <v>40</v>
      </c>
      <c r="H1215" s="6" t="s">
        <v>76</v>
      </c>
      <c r="I1215" s="6" t="s">
        <v>139</v>
      </c>
      <c r="J1215" s="6" t="s">
        <v>57</v>
      </c>
      <c r="K1215" s="6" t="s">
        <v>78</v>
      </c>
      <c r="L1215" s="6">
        <v>28</v>
      </c>
      <c r="M1215" s="7">
        <v>25999</v>
      </c>
      <c r="N1215" s="8">
        <v>0.18</v>
      </c>
      <c r="O1215" s="9">
        <v>17800</v>
      </c>
    </row>
    <row r="1216" spans="1:15" ht="18" x14ac:dyDescent="0.35">
      <c r="A1216" s="4" t="s">
        <v>1323</v>
      </c>
      <c r="B1216" s="5">
        <v>45885</v>
      </c>
      <c r="C1216" s="6" t="s">
        <v>26</v>
      </c>
      <c r="D1216" s="6" t="s">
        <v>74</v>
      </c>
      <c r="E1216" s="6" t="s">
        <v>75</v>
      </c>
      <c r="F1216" s="6" t="s">
        <v>29</v>
      </c>
      <c r="G1216" s="6" t="s">
        <v>54</v>
      </c>
      <c r="H1216" s="6" t="s">
        <v>129</v>
      </c>
      <c r="I1216" s="6" t="s">
        <v>192</v>
      </c>
      <c r="J1216" s="6" t="s">
        <v>23</v>
      </c>
      <c r="K1216" s="6" t="s">
        <v>24</v>
      </c>
      <c r="L1216" s="6">
        <v>6</v>
      </c>
      <c r="M1216" s="7">
        <v>29010</v>
      </c>
      <c r="N1216" s="8">
        <v>0.08</v>
      </c>
      <c r="O1216" s="9">
        <v>19100</v>
      </c>
    </row>
    <row r="1217" spans="1:15" ht="18" x14ac:dyDescent="0.35">
      <c r="A1217" s="4" t="s">
        <v>1324</v>
      </c>
      <c r="B1217" s="5">
        <v>45885</v>
      </c>
      <c r="C1217" s="6" t="s">
        <v>48</v>
      </c>
      <c r="D1217" s="6" t="s">
        <v>136</v>
      </c>
      <c r="E1217" s="6" t="s">
        <v>50</v>
      </c>
      <c r="F1217" s="6" t="s">
        <v>19</v>
      </c>
      <c r="G1217" s="6" t="s">
        <v>70</v>
      </c>
      <c r="H1217" s="6" t="s">
        <v>71</v>
      </c>
      <c r="I1217" s="6" t="s">
        <v>72</v>
      </c>
      <c r="J1217" s="6" t="s">
        <v>23</v>
      </c>
      <c r="K1217" s="6" t="s">
        <v>24</v>
      </c>
      <c r="L1217" s="6">
        <v>33</v>
      </c>
      <c r="M1217" s="7">
        <v>3499</v>
      </c>
      <c r="N1217" s="8">
        <v>0.08</v>
      </c>
      <c r="O1217" s="9">
        <v>2190</v>
      </c>
    </row>
    <row r="1218" spans="1:15" ht="18" x14ac:dyDescent="0.35">
      <c r="A1218" s="4" t="s">
        <v>1325</v>
      </c>
      <c r="B1218" s="5">
        <v>45886</v>
      </c>
      <c r="C1218" s="6" t="s">
        <v>16</v>
      </c>
      <c r="D1218" s="6" t="s">
        <v>126</v>
      </c>
      <c r="E1218" s="6" t="s">
        <v>84</v>
      </c>
      <c r="F1218" s="6" t="s">
        <v>39</v>
      </c>
      <c r="G1218" s="6" t="s">
        <v>70</v>
      </c>
      <c r="H1218" s="6" t="s">
        <v>71</v>
      </c>
      <c r="I1218" s="6" t="s">
        <v>80</v>
      </c>
      <c r="J1218" s="6" t="s">
        <v>33</v>
      </c>
      <c r="K1218" s="6" t="s">
        <v>66</v>
      </c>
      <c r="L1218" s="6">
        <v>32</v>
      </c>
      <c r="M1218" s="7">
        <v>1299</v>
      </c>
      <c r="N1218" s="8">
        <v>0.12</v>
      </c>
      <c r="O1218" s="9">
        <v>720</v>
      </c>
    </row>
    <row r="1219" spans="1:15" ht="18" x14ac:dyDescent="0.35">
      <c r="A1219" s="4" t="s">
        <v>1326</v>
      </c>
      <c r="B1219" s="5">
        <v>45886</v>
      </c>
      <c r="C1219" s="6" t="s">
        <v>16</v>
      </c>
      <c r="D1219" s="6" t="s">
        <v>111</v>
      </c>
      <c r="E1219" s="6" t="s">
        <v>75</v>
      </c>
      <c r="F1219" s="6" t="s">
        <v>29</v>
      </c>
      <c r="G1219" s="6" t="s">
        <v>40</v>
      </c>
      <c r="H1219" s="6" t="s">
        <v>64</v>
      </c>
      <c r="I1219" s="6" t="s">
        <v>153</v>
      </c>
      <c r="J1219" s="6" t="s">
        <v>23</v>
      </c>
      <c r="K1219" s="6" t="s">
        <v>24</v>
      </c>
      <c r="L1219" s="6">
        <v>24</v>
      </c>
      <c r="M1219" s="7">
        <v>4490</v>
      </c>
      <c r="N1219" s="8">
        <v>0.2</v>
      </c>
      <c r="O1219" s="9">
        <v>2950</v>
      </c>
    </row>
    <row r="1220" spans="1:15" ht="18" x14ac:dyDescent="0.35">
      <c r="A1220" s="4" t="s">
        <v>1327</v>
      </c>
      <c r="B1220" s="5">
        <v>45886</v>
      </c>
      <c r="C1220" s="6" t="s">
        <v>16</v>
      </c>
      <c r="D1220" s="6" t="s">
        <v>111</v>
      </c>
      <c r="E1220" s="6" t="s">
        <v>18</v>
      </c>
      <c r="F1220" s="6" t="s">
        <v>19</v>
      </c>
      <c r="G1220" s="6" t="s">
        <v>30</v>
      </c>
      <c r="H1220" s="6" t="s">
        <v>31</v>
      </c>
      <c r="I1220" s="6" t="s">
        <v>85</v>
      </c>
      <c r="J1220" s="6" t="s">
        <v>23</v>
      </c>
      <c r="K1220" s="6" t="s">
        <v>24</v>
      </c>
      <c r="L1220" s="6">
        <v>29</v>
      </c>
      <c r="M1220" s="7">
        <v>43500</v>
      </c>
      <c r="N1220" s="8">
        <v>0.05</v>
      </c>
      <c r="O1220" s="9">
        <v>29520</v>
      </c>
    </row>
    <row r="1221" spans="1:15" ht="18" x14ac:dyDescent="0.35">
      <c r="A1221" s="4" t="s">
        <v>1328</v>
      </c>
      <c r="B1221" s="5">
        <v>45887</v>
      </c>
      <c r="C1221" s="6" t="s">
        <v>26</v>
      </c>
      <c r="D1221" s="6" t="s">
        <v>74</v>
      </c>
      <c r="E1221" s="6" t="s">
        <v>101</v>
      </c>
      <c r="F1221" s="6" t="s">
        <v>29</v>
      </c>
      <c r="G1221" s="6" t="s">
        <v>30</v>
      </c>
      <c r="H1221" s="6" t="s">
        <v>31</v>
      </c>
      <c r="I1221" s="6" t="s">
        <v>106</v>
      </c>
      <c r="J1221" s="6" t="s">
        <v>33</v>
      </c>
      <c r="K1221" s="6" t="s">
        <v>24</v>
      </c>
      <c r="L1221" s="6">
        <v>3</v>
      </c>
      <c r="M1221" s="7">
        <v>52990</v>
      </c>
      <c r="N1221" s="8">
        <v>0.1</v>
      </c>
      <c r="O1221" s="9">
        <v>35100</v>
      </c>
    </row>
    <row r="1222" spans="1:15" ht="18" x14ac:dyDescent="0.35">
      <c r="A1222" s="4" t="s">
        <v>1329</v>
      </c>
      <c r="B1222" s="5">
        <v>45888</v>
      </c>
      <c r="C1222" s="6" t="s">
        <v>16</v>
      </c>
      <c r="D1222" s="6" t="s">
        <v>126</v>
      </c>
      <c r="E1222" s="6" t="s">
        <v>28</v>
      </c>
      <c r="F1222" s="6" t="s">
        <v>39</v>
      </c>
      <c r="G1222" s="6" t="s">
        <v>70</v>
      </c>
      <c r="H1222" s="6" t="s">
        <v>71</v>
      </c>
      <c r="I1222" s="6" t="s">
        <v>80</v>
      </c>
      <c r="J1222" s="6" t="s">
        <v>23</v>
      </c>
      <c r="K1222" s="6" t="s">
        <v>66</v>
      </c>
      <c r="L1222" s="6">
        <v>30</v>
      </c>
      <c r="M1222" s="7">
        <v>1299</v>
      </c>
      <c r="N1222" s="8">
        <v>0.2</v>
      </c>
      <c r="O1222" s="9">
        <v>720</v>
      </c>
    </row>
    <row r="1223" spans="1:15" ht="18" x14ac:dyDescent="0.35">
      <c r="A1223" s="4" t="s">
        <v>1330</v>
      </c>
      <c r="B1223" s="5">
        <v>45888</v>
      </c>
      <c r="C1223" s="6" t="s">
        <v>26</v>
      </c>
      <c r="D1223" s="6" t="s">
        <v>74</v>
      </c>
      <c r="E1223" s="6" t="s">
        <v>75</v>
      </c>
      <c r="F1223" s="6" t="s">
        <v>19</v>
      </c>
      <c r="G1223" s="6" t="s">
        <v>20</v>
      </c>
      <c r="H1223" s="6" t="s">
        <v>45</v>
      </c>
      <c r="I1223" s="6" t="s">
        <v>196</v>
      </c>
      <c r="J1223" s="6" t="s">
        <v>23</v>
      </c>
      <c r="K1223" s="6" t="s">
        <v>24</v>
      </c>
      <c r="L1223" s="6">
        <v>39</v>
      </c>
      <c r="M1223" s="7">
        <v>2499</v>
      </c>
      <c r="N1223" s="8">
        <v>0.2</v>
      </c>
      <c r="O1223" s="9">
        <v>1510</v>
      </c>
    </row>
    <row r="1224" spans="1:15" ht="18" x14ac:dyDescent="0.35">
      <c r="A1224" s="4" t="s">
        <v>1331</v>
      </c>
      <c r="B1224" s="5">
        <v>45888</v>
      </c>
      <c r="C1224" s="6" t="s">
        <v>16</v>
      </c>
      <c r="D1224" s="6" t="s">
        <v>98</v>
      </c>
      <c r="E1224" s="6" t="s">
        <v>105</v>
      </c>
      <c r="F1224" s="6" t="s">
        <v>39</v>
      </c>
      <c r="G1224" s="6" t="s">
        <v>70</v>
      </c>
      <c r="H1224" s="6" t="s">
        <v>71</v>
      </c>
      <c r="I1224" s="6" t="s">
        <v>80</v>
      </c>
      <c r="J1224" s="6" t="s">
        <v>57</v>
      </c>
      <c r="K1224" s="6" t="s">
        <v>34</v>
      </c>
      <c r="L1224" s="6">
        <v>30</v>
      </c>
      <c r="M1224" s="7">
        <v>1299</v>
      </c>
      <c r="N1224" s="8">
        <v>0.1</v>
      </c>
      <c r="O1224" s="9">
        <v>720</v>
      </c>
    </row>
    <row r="1225" spans="1:15" ht="18" x14ac:dyDescent="0.35">
      <c r="A1225" s="4" t="s">
        <v>1332</v>
      </c>
      <c r="B1225" s="5">
        <v>45888</v>
      </c>
      <c r="C1225" s="6" t="s">
        <v>26</v>
      </c>
      <c r="D1225" s="6" t="s">
        <v>27</v>
      </c>
      <c r="E1225" s="6" t="s">
        <v>69</v>
      </c>
      <c r="F1225" s="6" t="s">
        <v>29</v>
      </c>
      <c r="G1225" s="6" t="s">
        <v>30</v>
      </c>
      <c r="H1225" s="6" t="s">
        <v>31</v>
      </c>
      <c r="I1225" s="6" t="s">
        <v>85</v>
      </c>
      <c r="J1225" s="6" t="s">
        <v>33</v>
      </c>
      <c r="K1225" s="6" t="s">
        <v>66</v>
      </c>
      <c r="L1225" s="6">
        <v>24</v>
      </c>
      <c r="M1225" s="7">
        <v>43500</v>
      </c>
      <c r="N1225" s="8">
        <v>0.12</v>
      </c>
      <c r="O1225" s="9">
        <v>29520</v>
      </c>
    </row>
    <row r="1226" spans="1:15" ht="18" x14ac:dyDescent="0.35">
      <c r="A1226" s="4" t="s">
        <v>1333</v>
      </c>
      <c r="B1226" s="5">
        <v>45889</v>
      </c>
      <c r="C1226" s="6" t="s">
        <v>48</v>
      </c>
      <c r="D1226" s="6" t="s">
        <v>49</v>
      </c>
      <c r="E1226" s="6" t="s">
        <v>38</v>
      </c>
      <c r="F1226" s="6" t="s">
        <v>19</v>
      </c>
      <c r="G1226" s="6" t="s">
        <v>40</v>
      </c>
      <c r="H1226" s="6" t="s">
        <v>41</v>
      </c>
      <c r="I1226" s="6" t="s">
        <v>42</v>
      </c>
      <c r="J1226" s="6" t="s">
        <v>57</v>
      </c>
      <c r="K1226" s="6" t="s">
        <v>78</v>
      </c>
      <c r="L1226" s="6">
        <v>20</v>
      </c>
      <c r="M1226" s="7">
        <v>55230</v>
      </c>
      <c r="N1226" s="8">
        <v>0.15</v>
      </c>
      <c r="O1226" s="9">
        <v>33800</v>
      </c>
    </row>
    <row r="1227" spans="1:15" ht="18" x14ac:dyDescent="0.35">
      <c r="A1227" s="4" t="s">
        <v>1334</v>
      </c>
      <c r="B1227" s="5">
        <v>45889</v>
      </c>
      <c r="C1227" s="6" t="s">
        <v>48</v>
      </c>
      <c r="D1227" s="6" t="s">
        <v>136</v>
      </c>
      <c r="E1227" s="6" t="s">
        <v>28</v>
      </c>
      <c r="F1227" s="6" t="s">
        <v>29</v>
      </c>
      <c r="G1227" s="6" t="s">
        <v>40</v>
      </c>
      <c r="H1227" s="6" t="s">
        <v>64</v>
      </c>
      <c r="I1227" s="6" t="s">
        <v>153</v>
      </c>
      <c r="J1227" s="6" t="s">
        <v>57</v>
      </c>
      <c r="K1227" s="6" t="s">
        <v>24</v>
      </c>
      <c r="L1227" s="6">
        <v>23</v>
      </c>
      <c r="M1227" s="7">
        <v>4490</v>
      </c>
      <c r="N1227" s="8">
        <v>0.1</v>
      </c>
      <c r="O1227" s="9">
        <v>2950</v>
      </c>
    </row>
    <row r="1228" spans="1:15" ht="18" x14ac:dyDescent="0.35">
      <c r="A1228" s="4" t="s">
        <v>1335</v>
      </c>
      <c r="B1228" s="5">
        <v>45891</v>
      </c>
      <c r="C1228" s="6" t="s">
        <v>48</v>
      </c>
      <c r="D1228" s="6" t="s">
        <v>93</v>
      </c>
      <c r="E1228" s="6" t="s">
        <v>75</v>
      </c>
      <c r="F1228" s="6" t="s">
        <v>39</v>
      </c>
      <c r="G1228" s="6" t="s">
        <v>20</v>
      </c>
      <c r="H1228" s="6" t="s">
        <v>45</v>
      </c>
      <c r="I1228" s="6" t="s">
        <v>46</v>
      </c>
      <c r="J1228" s="6" t="s">
        <v>57</v>
      </c>
      <c r="K1228" s="6" t="s">
        <v>24</v>
      </c>
      <c r="L1228" s="6">
        <v>32</v>
      </c>
      <c r="M1228" s="7">
        <v>1899</v>
      </c>
      <c r="N1228" s="8">
        <v>0.18</v>
      </c>
      <c r="O1228" s="9">
        <v>1080</v>
      </c>
    </row>
    <row r="1229" spans="1:15" ht="18" x14ac:dyDescent="0.35">
      <c r="A1229" s="4" t="s">
        <v>1336</v>
      </c>
      <c r="B1229" s="5">
        <v>45891</v>
      </c>
      <c r="C1229" s="6" t="s">
        <v>26</v>
      </c>
      <c r="D1229" s="6" t="s">
        <v>53</v>
      </c>
      <c r="E1229" s="6" t="s">
        <v>28</v>
      </c>
      <c r="F1229" s="6" t="s">
        <v>39</v>
      </c>
      <c r="G1229" s="6" t="s">
        <v>20</v>
      </c>
      <c r="H1229" s="6" t="s">
        <v>21</v>
      </c>
      <c r="I1229" s="6" t="s">
        <v>22</v>
      </c>
      <c r="J1229" s="6" t="s">
        <v>57</v>
      </c>
      <c r="K1229" s="6" t="s">
        <v>24</v>
      </c>
      <c r="L1229" s="6">
        <v>7</v>
      </c>
      <c r="M1229" s="7">
        <v>4499</v>
      </c>
      <c r="N1229" s="8">
        <v>0.1</v>
      </c>
      <c r="O1229" s="9">
        <v>2910</v>
      </c>
    </row>
    <row r="1230" spans="1:15" ht="18" x14ac:dyDescent="0.35">
      <c r="A1230" s="4" t="s">
        <v>1337</v>
      </c>
      <c r="B1230" s="5">
        <v>45892</v>
      </c>
      <c r="C1230" s="6" t="s">
        <v>26</v>
      </c>
      <c r="D1230" s="6" t="s">
        <v>163</v>
      </c>
      <c r="E1230" s="6" t="s">
        <v>18</v>
      </c>
      <c r="F1230" s="6" t="s">
        <v>29</v>
      </c>
      <c r="G1230" s="6" t="s">
        <v>70</v>
      </c>
      <c r="H1230" s="6" t="s">
        <v>71</v>
      </c>
      <c r="I1230" s="6" t="s">
        <v>80</v>
      </c>
      <c r="J1230" s="6" t="s">
        <v>33</v>
      </c>
      <c r="K1230" s="6" t="s">
        <v>34</v>
      </c>
      <c r="L1230" s="6">
        <v>27</v>
      </c>
      <c r="M1230" s="7">
        <v>1299</v>
      </c>
      <c r="N1230" s="8">
        <v>0.12</v>
      </c>
      <c r="O1230" s="9">
        <v>720</v>
      </c>
    </row>
    <row r="1231" spans="1:15" ht="18" x14ac:dyDescent="0.35">
      <c r="A1231" s="4" t="s">
        <v>1338</v>
      </c>
      <c r="B1231" s="5">
        <v>45892</v>
      </c>
      <c r="C1231" s="6" t="s">
        <v>16</v>
      </c>
      <c r="D1231" s="6" t="s">
        <v>126</v>
      </c>
      <c r="E1231" s="6" t="s">
        <v>69</v>
      </c>
      <c r="F1231" s="6" t="s">
        <v>39</v>
      </c>
      <c r="G1231" s="6" t="s">
        <v>40</v>
      </c>
      <c r="H1231" s="6" t="s">
        <v>76</v>
      </c>
      <c r="I1231" s="6" t="s">
        <v>113</v>
      </c>
      <c r="J1231" s="6" t="s">
        <v>57</v>
      </c>
      <c r="K1231" s="6" t="s">
        <v>24</v>
      </c>
      <c r="L1231" s="6">
        <v>2</v>
      </c>
      <c r="M1231" s="7">
        <v>22999</v>
      </c>
      <c r="N1231" s="8">
        <v>0.1</v>
      </c>
      <c r="O1231" s="9">
        <v>15100</v>
      </c>
    </row>
    <row r="1232" spans="1:15" ht="18" x14ac:dyDescent="0.35">
      <c r="A1232" s="4" t="s">
        <v>1339</v>
      </c>
      <c r="B1232" s="5">
        <v>45893</v>
      </c>
      <c r="C1232" s="6" t="s">
        <v>26</v>
      </c>
      <c r="D1232" s="6" t="s">
        <v>53</v>
      </c>
      <c r="E1232" s="6" t="s">
        <v>28</v>
      </c>
      <c r="F1232" s="6" t="s">
        <v>29</v>
      </c>
      <c r="G1232" s="6" t="s">
        <v>20</v>
      </c>
      <c r="H1232" s="6" t="s">
        <v>45</v>
      </c>
      <c r="I1232" s="6" t="s">
        <v>46</v>
      </c>
      <c r="J1232" s="6" t="s">
        <v>57</v>
      </c>
      <c r="K1232" s="6" t="s">
        <v>24</v>
      </c>
      <c r="L1232" s="6">
        <v>32</v>
      </c>
      <c r="M1232" s="7">
        <v>1899</v>
      </c>
      <c r="N1232" s="8">
        <v>0.08</v>
      </c>
      <c r="O1232" s="9">
        <v>1080</v>
      </c>
    </row>
    <row r="1233" spans="1:15" ht="18" x14ac:dyDescent="0.35">
      <c r="A1233" s="4" t="s">
        <v>1340</v>
      </c>
      <c r="B1233" s="5">
        <v>45894</v>
      </c>
      <c r="C1233" s="6" t="s">
        <v>48</v>
      </c>
      <c r="D1233" s="6" t="s">
        <v>136</v>
      </c>
      <c r="E1233" s="6" t="s">
        <v>28</v>
      </c>
      <c r="F1233" s="6" t="s">
        <v>29</v>
      </c>
      <c r="G1233" s="6" t="s">
        <v>20</v>
      </c>
      <c r="H1233" s="6" t="s">
        <v>21</v>
      </c>
      <c r="I1233" s="6" t="s">
        <v>22</v>
      </c>
      <c r="J1233" s="6" t="s">
        <v>57</v>
      </c>
      <c r="K1233" s="6" t="s">
        <v>78</v>
      </c>
      <c r="L1233" s="6">
        <v>32</v>
      </c>
      <c r="M1233" s="7">
        <v>4499</v>
      </c>
      <c r="N1233" s="8">
        <v>0.12</v>
      </c>
      <c r="O1233" s="9">
        <v>2910</v>
      </c>
    </row>
    <row r="1234" spans="1:15" ht="18" x14ac:dyDescent="0.35">
      <c r="A1234" s="4" t="s">
        <v>1341</v>
      </c>
      <c r="B1234" s="5">
        <v>45894</v>
      </c>
      <c r="C1234" s="6" t="s">
        <v>36</v>
      </c>
      <c r="D1234" s="6" t="s">
        <v>59</v>
      </c>
      <c r="E1234" s="6" t="s">
        <v>50</v>
      </c>
      <c r="F1234" s="6" t="s">
        <v>19</v>
      </c>
      <c r="G1234" s="6" t="s">
        <v>54</v>
      </c>
      <c r="H1234" s="6" t="s">
        <v>129</v>
      </c>
      <c r="I1234" s="6" t="s">
        <v>192</v>
      </c>
      <c r="J1234" s="6" t="s">
        <v>57</v>
      </c>
      <c r="K1234" s="6" t="s">
        <v>24</v>
      </c>
      <c r="L1234" s="6">
        <v>37</v>
      </c>
      <c r="M1234" s="7">
        <v>29010</v>
      </c>
      <c r="N1234" s="8">
        <v>0.05</v>
      </c>
      <c r="O1234" s="9">
        <v>19100</v>
      </c>
    </row>
    <row r="1235" spans="1:15" ht="18" x14ac:dyDescent="0.35">
      <c r="A1235" s="4" t="s">
        <v>1342</v>
      </c>
      <c r="B1235" s="5">
        <v>45895</v>
      </c>
      <c r="C1235" s="6" t="s">
        <v>26</v>
      </c>
      <c r="D1235" s="6" t="s">
        <v>53</v>
      </c>
      <c r="E1235" s="6" t="s">
        <v>69</v>
      </c>
      <c r="F1235" s="6" t="s">
        <v>29</v>
      </c>
      <c r="G1235" s="6" t="s">
        <v>40</v>
      </c>
      <c r="H1235" s="6" t="s">
        <v>76</v>
      </c>
      <c r="I1235" s="6" t="s">
        <v>139</v>
      </c>
      <c r="J1235" s="6" t="s">
        <v>23</v>
      </c>
      <c r="K1235" s="6" t="s">
        <v>24</v>
      </c>
      <c r="L1235" s="6">
        <v>21</v>
      </c>
      <c r="M1235" s="7">
        <v>25999</v>
      </c>
      <c r="N1235" s="8">
        <v>0.18</v>
      </c>
      <c r="O1235" s="9">
        <v>17800</v>
      </c>
    </row>
    <row r="1236" spans="1:15" ht="18" x14ac:dyDescent="0.35">
      <c r="A1236" s="4" t="s">
        <v>1343</v>
      </c>
      <c r="B1236" s="5">
        <v>45895</v>
      </c>
      <c r="C1236" s="6" t="s">
        <v>26</v>
      </c>
      <c r="D1236" s="6" t="s">
        <v>74</v>
      </c>
      <c r="E1236" s="6" t="s">
        <v>101</v>
      </c>
      <c r="F1236" s="6" t="s">
        <v>39</v>
      </c>
      <c r="G1236" s="6" t="s">
        <v>70</v>
      </c>
      <c r="H1236" s="6" t="s">
        <v>71</v>
      </c>
      <c r="I1236" s="6" t="s">
        <v>88</v>
      </c>
      <c r="J1236" s="6" t="s">
        <v>23</v>
      </c>
      <c r="K1236" s="6" t="s">
        <v>34</v>
      </c>
      <c r="L1236" s="6">
        <v>6</v>
      </c>
      <c r="M1236" s="7">
        <v>999</v>
      </c>
      <c r="N1236" s="8">
        <v>0.2</v>
      </c>
      <c r="O1236" s="9">
        <v>540</v>
      </c>
    </row>
    <row r="1237" spans="1:15" ht="18" x14ac:dyDescent="0.35">
      <c r="A1237" s="4" t="s">
        <v>1344</v>
      </c>
      <c r="B1237" s="5">
        <v>45895</v>
      </c>
      <c r="C1237" s="6" t="s">
        <v>26</v>
      </c>
      <c r="D1237" s="6" t="s">
        <v>53</v>
      </c>
      <c r="E1237" s="6" t="s">
        <v>18</v>
      </c>
      <c r="F1237" s="6" t="s">
        <v>19</v>
      </c>
      <c r="G1237" s="6" t="s">
        <v>70</v>
      </c>
      <c r="H1237" s="6" t="s">
        <v>71</v>
      </c>
      <c r="I1237" s="6" t="s">
        <v>80</v>
      </c>
      <c r="J1237" s="6" t="s">
        <v>33</v>
      </c>
      <c r="K1237" s="6" t="s">
        <v>34</v>
      </c>
      <c r="L1237" s="6">
        <v>8</v>
      </c>
      <c r="M1237" s="7">
        <v>1299</v>
      </c>
      <c r="N1237" s="8">
        <v>0.1</v>
      </c>
      <c r="O1237" s="9">
        <v>720</v>
      </c>
    </row>
    <row r="1238" spans="1:15" ht="18" x14ac:dyDescent="0.35">
      <c r="A1238" s="4" t="s">
        <v>1345</v>
      </c>
      <c r="B1238" s="5">
        <v>45895</v>
      </c>
      <c r="C1238" s="6" t="s">
        <v>82</v>
      </c>
      <c r="D1238" s="6" t="s">
        <v>100</v>
      </c>
      <c r="E1238" s="6" t="s">
        <v>84</v>
      </c>
      <c r="F1238" s="6" t="s">
        <v>29</v>
      </c>
      <c r="G1238" s="6" t="s">
        <v>30</v>
      </c>
      <c r="H1238" s="6" t="s">
        <v>61</v>
      </c>
      <c r="I1238" s="6" t="s">
        <v>96</v>
      </c>
      <c r="J1238" s="6" t="s">
        <v>57</v>
      </c>
      <c r="K1238" s="6" t="s">
        <v>24</v>
      </c>
      <c r="L1238" s="6">
        <v>8</v>
      </c>
      <c r="M1238" s="7">
        <v>25110</v>
      </c>
      <c r="N1238" s="8">
        <v>0.12</v>
      </c>
      <c r="O1238" s="9">
        <v>16730</v>
      </c>
    </row>
    <row r="1239" spans="1:15" ht="18" x14ac:dyDescent="0.35">
      <c r="A1239" s="4" t="s">
        <v>1346</v>
      </c>
      <c r="B1239" s="5">
        <v>45895</v>
      </c>
      <c r="C1239" s="6" t="s">
        <v>82</v>
      </c>
      <c r="D1239" s="6" t="s">
        <v>100</v>
      </c>
      <c r="E1239" s="6" t="s">
        <v>18</v>
      </c>
      <c r="F1239" s="6" t="s">
        <v>39</v>
      </c>
      <c r="G1239" s="6" t="s">
        <v>54</v>
      </c>
      <c r="H1239" s="6" t="s">
        <v>129</v>
      </c>
      <c r="I1239" s="6" t="s">
        <v>192</v>
      </c>
      <c r="J1239" s="6" t="s">
        <v>23</v>
      </c>
      <c r="K1239" s="6" t="s">
        <v>66</v>
      </c>
      <c r="L1239" s="6">
        <v>40</v>
      </c>
      <c r="M1239" s="7">
        <v>29010</v>
      </c>
      <c r="N1239" s="8">
        <v>0.1</v>
      </c>
      <c r="O1239" s="9">
        <v>19100</v>
      </c>
    </row>
    <row r="1240" spans="1:15" ht="18" x14ac:dyDescent="0.35">
      <c r="A1240" s="4" t="s">
        <v>1347</v>
      </c>
      <c r="B1240" s="5">
        <v>45896</v>
      </c>
      <c r="C1240" s="6" t="s">
        <v>16</v>
      </c>
      <c r="D1240" s="6" t="s">
        <v>98</v>
      </c>
      <c r="E1240" s="6" t="s">
        <v>60</v>
      </c>
      <c r="F1240" s="6" t="s">
        <v>29</v>
      </c>
      <c r="G1240" s="6" t="s">
        <v>30</v>
      </c>
      <c r="H1240" s="6" t="s">
        <v>31</v>
      </c>
      <c r="I1240" s="6" t="s">
        <v>106</v>
      </c>
      <c r="J1240" s="6" t="s">
        <v>57</v>
      </c>
      <c r="K1240" s="6" t="s">
        <v>24</v>
      </c>
      <c r="L1240" s="6">
        <v>38</v>
      </c>
      <c r="M1240" s="7">
        <v>52990</v>
      </c>
      <c r="N1240" s="8">
        <v>0.05</v>
      </c>
      <c r="O1240" s="9">
        <v>35100</v>
      </c>
    </row>
    <row r="1241" spans="1:15" ht="18" x14ac:dyDescent="0.35">
      <c r="A1241" s="4" t="s">
        <v>1348</v>
      </c>
      <c r="B1241" s="5">
        <v>45897</v>
      </c>
      <c r="C1241" s="6" t="s">
        <v>16</v>
      </c>
      <c r="D1241" s="6" t="s">
        <v>17</v>
      </c>
      <c r="E1241" s="6" t="s">
        <v>105</v>
      </c>
      <c r="F1241" s="6" t="s">
        <v>39</v>
      </c>
      <c r="G1241" s="6" t="s">
        <v>70</v>
      </c>
      <c r="H1241" s="6" t="s">
        <v>71</v>
      </c>
      <c r="I1241" s="6" t="s">
        <v>80</v>
      </c>
      <c r="J1241" s="6" t="s">
        <v>23</v>
      </c>
      <c r="K1241" s="6" t="s">
        <v>24</v>
      </c>
      <c r="L1241" s="6">
        <v>17</v>
      </c>
      <c r="M1241" s="7">
        <v>1299</v>
      </c>
      <c r="N1241" s="8">
        <v>0.08</v>
      </c>
      <c r="O1241" s="9">
        <v>720</v>
      </c>
    </row>
    <row r="1242" spans="1:15" ht="18" x14ac:dyDescent="0.35">
      <c r="A1242" s="4" t="s">
        <v>1349</v>
      </c>
      <c r="B1242" s="5">
        <v>45897</v>
      </c>
      <c r="C1242" s="6" t="s">
        <v>48</v>
      </c>
      <c r="D1242" s="6" t="s">
        <v>49</v>
      </c>
      <c r="E1242" s="6" t="s">
        <v>50</v>
      </c>
      <c r="F1242" s="6" t="s">
        <v>29</v>
      </c>
      <c r="G1242" s="6" t="s">
        <v>70</v>
      </c>
      <c r="H1242" s="6" t="s">
        <v>71</v>
      </c>
      <c r="I1242" s="6" t="s">
        <v>88</v>
      </c>
      <c r="J1242" s="6" t="s">
        <v>33</v>
      </c>
      <c r="K1242" s="6" t="s">
        <v>78</v>
      </c>
      <c r="L1242" s="6">
        <v>6</v>
      </c>
      <c r="M1242" s="7">
        <v>999</v>
      </c>
      <c r="N1242" s="8">
        <v>0.15</v>
      </c>
      <c r="O1242" s="9">
        <v>540</v>
      </c>
    </row>
    <row r="1243" spans="1:15" ht="18" x14ac:dyDescent="0.35">
      <c r="A1243" s="4" t="s">
        <v>1350</v>
      </c>
      <c r="B1243" s="5">
        <v>45898</v>
      </c>
      <c r="C1243" s="6" t="s">
        <v>26</v>
      </c>
      <c r="D1243" s="6" t="s">
        <v>53</v>
      </c>
      <c r="E1243" s="6" t="s">
        <v>60</v>
      </c>
      <c r="F1243" s="6" t="s">
        <v>19</v>
      </c>
      <c r="G1243" s="6" t="s">
        <v>40</v>
      </c>
      <c r="H1243" s="6" t="s">
        <v>41</v>
      </c>
      <c r="I1243" s="6" t="s">
        <v>156</v>
      </c>
      <c r="J1243" s="6" t="s">
        <v>57</v>
      </c>
      <c r="K1243" s="6" t="s">
        <v>24</v>
      </c>
      <c r="L1243" s="6">
        <v>36</v>
      </c>
      <c r="M1243" s="7">
        <v>48500</v>
      </c>
      <c r="N1243" s="8">
        <v>0.18</v>
      </c>
      <c r="O1243" s="9">
        <v>30200</v>
      </c>
    </row>
    <row r="1244" spans="1:15" ht="18" x14ac:dyDescent="0.35">
      <c r="A1244" s="4" t="s">
        <v>1351</v>
      </c>
      <c r="B1244" s="5">
        <v>45900</v>
      </c>
      <c r="C1244" s="6" t="s">
        <v>48</v>
      </c>
      <c r="D1244" s="6" t="s">
        <v>49</v>
      </c>
      <c r="E1244" s="6" t="s">
        <v>28</v>
      </c>
      <c r="F1244" s="6" t="s">
        <v>19</v>
      </c>
      <c r="G1244" s="6" t="s">
        <v>40</v>
      </c>
      <c r="H1244" s="6" t="s">
        <v>64</v>
      </c>
      <c r="I1244" s="6" t="s">
        <v>153</v>
      </c>
      <c r="J1244" s="6" t="s">
        <v>57</v>
      </c>
      <c r="K1244" s="6" t="s">
        <v>24</v>
      </c>
      <c r="L1244" s="6">
        <v>16</v>
      </c>
      <c r="M1244" s="7">
        <v>4490</v>
      </c>
      <c r="N1244" s="8">
        <v>0.05</v>
      </c>
      <c r="O1244" s="9">
        <v>2950</v>
      </c>
    </row>
    <row r="1245" spans="1:15" ht="18" x14ac:dyDescent="0.35">
      <c r="A1245" s="4" t="s">
        <v>1352</v>
      </c>
      <c r="B1245" s="5">
        <v>45900</v>
      </c>
      <c r="C1245" s="6" t="s">
        <v>36</v>
      </c>
      <c r="D1245" s="6" t="s">
        <v>121</v>
      </c>
      <c r="E1245" s="6" t="s">
        <v>18</v>
      </c>
      <c r="F1245" s="6" t="s">
        <v>39</v>
      </c>
      <c r="G1245" s="6" t="s">
        <v>20</v>
      </c>
      <c r="H1245" s="6" t="s">
        <v>21</v>
      </c>
      <c r="I1245" s="6" t="s">
        <v>115</v>
      </c>
      <c r="J1245" s="6" t="s">
        <v>23</v>
      </c>
      <c r="K1245" s="6" t="s">
        <v>78</v>
      </c>
      <c r="L1245" s="6">
        <v>22</v>
      </c>
      <c r="M1245" s="7">
        <v>6499</v>
      </c>
      <c r="N1245" s="8">
        <v>0.1</v>
      </c>
      <c r="O1245" s="9">
        <v>4210</v>
      </c>
    </row>
    <row r="1246" spans="1:15" ht="18" x14ac:dyDescent="0.35">
      <c r="A1246" s="4" t="s">
        <v>1353</v>
      </c>
      <c r="B1246" s="5">
        <v>45900</v>
      </c>
      <c r="C1246" s="6" t="s">
        <v>16</v>
      </c>
      <c r="D1246" s="6" t="s">
        <v>111</v>
      </c>
      <c r="E1246" s="6" t="s">
        <v>28</v>
      </c>
      <c r="F1246" s="6" t="s">
        <v>19</v>
      </c>
      <c r="G1246" s="6" t="s">
        <v>54</v>
      </c>
      <c r="H1246" s="6" t="s">
        <v>90</v>
      </c>
      <c r="I1246" s="6" t="s">
        <v>91</v>
      </c>
      <c r="J1246" s="6" t="s">
        <v>23</v>
      </c>
      <c r="K1246" s="6" t="s">
        <v>24</v>
      </c>
      <c r="L1246" s="6">
        <v>11</v>
      </c>
      <c r="M1246" s="7">
        <v>31990</v>
      </c>
      <c r="N1246" s="8">
        <v>0.15</v>
      </c>
      <c r="O1246" s="9">
        <v>21800</v>
      </c>
    </row>
    <row r="1247" spans="1:15" ht="18" x14ac:dyDescent="0.35">
      <c r="A1247" s="4" t="s">
        <v>1354</v>
      </c>
      <c r="B1247" s="5">
        <v>45900</v>
      </c>
      <c r="C1247" s="6" t="s">
        <v>16</v>
      </c>
      <c r="D1247" s="6" t="s">
        <v>17</v>
      </c>
      <c r="E1247" s="6" t="s">
        <v>18</v>
      </c>
      <c r="F1247" s="6" t="s">
        <v>19</v>
      </c>
      <c r="G1247" s="6" t="s">
        <v>54</v>
      </c>
      <c r="H1247" s="6" t="s">
        <v>55</v>
      </c>
      <c r="I1247" s="6" t="s">
        <v>108</v>
      </c>
      <c r="J1247" s="6" t="s">
        <v>23</v>
      </c>
      <c r="K1247" s="6" t="s">
        <v>24</v>
      </c>
      <c r="L1247" s="6">
        <v>21</v>
      </c>
      <c r="M1247" s="7">
        <v>5890</v>
      </c>
      <c r="N1247" s="8">
        <v>0.15</v>
      </c>
      <c r="O1247" s="9">
        <v>3980</v>
      </c>
    </row>
    <row r="1248" spans="1:15" ht="18" x14ac:dyDescent="0.35">
      <c r="A1248" s="4" t="s">
        <v>1355</v>
      </c>
      <c r="B1248" s="5">
        <v>45901</v>
      </c>
      <c r="C1248" s="6" t="s">
        <v>48</v>
      </c>
      <c r="D1248" s="6" t="s">
        <v>93</v>
      </c>
      <c r="E1248" s="6" t="s">
        <v>18</v>
      </c>
      <c r="F1248" s="6" t="s">
        <v>29</v>
      </c>
      <c r="G1248" s="6" t="s">
        <v>40</v>
      </c>
      <c r="H1248" s="6" t="s">
        <v>64</v>
      </c>
      <c r="I1248" s="6" t="s">
        <v>65</v>
      </c>
      <c r="J1248" s="6" t="s">
        <v>57</v>
      </c>
      <c r="K1248" s="6" t="s">
        <v>24</v>
      </c>
      <c r="L1248" s="6">
        <v>34</v>
      </c>
      <c r="M1248" s="7">
        <v>1930</v>
      </c>
      <c r="N1248" s="8">
        <v>0.08</v>
      </c>
      <c r="O1248" s="9">
        <v>1120</v>
      </c>
    </row>
    <row r="1249" spans="1:15" ht="18" x14ac:dyDescent="0.35">
      <c r="A1249" s="4" t="s">
        <v>1356</v>
      </c>
      <c r="B1249" s="5">
        <v>45901</v>
      </c>
      <c r="C1249" s="6" t="s">
        <v>48</v>
      </c>
      <c r="D1249" s="6" t="s">
        <v>93</v>
      </c>
      <c r="E1249" s="6" t="s">
        <v>105</v>
      </c>
      <c r="F1249" s="6" t="s">
        <v>19</v>
      </c>
      <c r="G1249" s="6" t="s">
        <v>54</v>
      </c>
      <c r="H1249" s="6" t="s">
        <v>55</v>
      </c>
      <c r="I1249" s="6" t="s">
        <v>56</v>
      </c>
      <c r="J1249" s="6" t="s">
        <v>23</v>
      </c>
      <c r="K1249" s="6" t="s">
        <v>24</v>
      </c>
      <c r="L1249" s="6">
        <v>21</v>
      </c>
      <c r="M1249" s="7">
        <v>7299</v>
      </c>
      <c r="N1249" s="8">
        <v>0.18</v>
      </c>
      <c r="O1249" s="9">
        <v>5010</v>
      </c>
    </row>
    <row r="1250" spans="1:15" ht="18" x14ac:dyDescent="0.35">
      <c r="A1250" s="4" t="s">
        <v>1357</v>
      </c>
      <c r="B1250" s="5">
        <v>45902</v>
      </c>
      <c r="C1250" s="6" t="s">
        <v>36</v>
      </c>
      <c r="D1250" s="6" t="s">
        <v>37</v>
      </c>
      <c r="E1250" s="6" t="s">
        <v>75</v>
      </c>
      <c r="F1250" s="6" t="s">
        <v>29</v>
      </c>
      <c r="G1250" s="6" t="s">
        <v>30</v>
      </c>
      <c r="H1250" s="6" t="s">
        <v>31</v>
      </c>
      <c r="I1250" s="6" t="s">
        <v>32</v>
      </c>
      <c r="J1250" s="6" t="s">
        <v>23</v>
      </c>
      <c r="K1250" s="6" t="s">
        <v>34</v>
      </c>
      <c r="L1250" s="6">
        <v>28</v>
      </c>
      <c r="M1250" s="7">
        <v>38990</v>
      </c>
      <c r="N1250" s="8">
        <v>0.1</v>
      </c>
      <c r="O1250" s="9">
        <v>25400</v>
      </c>
    </row>
    <row r="1251" spans="1:15" ht="18" x14ac:dyDescent="0.35">
      <c r="A1251" s="4" t="s">
        <v>1358</v>
      </c>
      <c r="B1251" s="5">
        <v>45902</v>
      </c>
      <c r="C1251" s="6" t="s">
        <v>82</v>
      </c>
      <c r="D1251" s="6" t="s">
        <v>183</v>
      </c>
      <c r="E1251" s="6" t="s">
        <v>50</v>
      </c>
      <c r="F1251" s="6" t="s">
        <v>29</v>
      </c>
      <c r="G1251" s="6" t="s">
        <v>54</v>
      </c>
      <c r="H1251" s="6" t="s">
        <v>90</v>
      </c>
      <c r="I1251" s="6" t="s">
        <v>91</v>
      </c>
      <c r="J1251" s="6" t="s">
        <v>23</v>
      </c>
      <c r="K1251" s="6" t="s">
        <v>24</v>
      </c>
      <c r="L1251" s="6">
        <v>36</v>
      </c>
      <c r="M1251" s="7">
        <v>31990</v>
      </c>
      <c r="N1251" s="8">
        <v>0.1</v>
      </c>
      <c r="O1251" s="9">
        <v>21800</v>
      </c>
    </row>
    <row r="1252" spans="1:15" ht="18" x14ac:dyDescent="0.35">
      <c r="A1252" s="4" t="s">
        <v>1359</v>
      </c>
      <c r="B1252" s="5">
        <v>45903</v>
      </c>
      <c r="C1252" s="6" t="s">
        <v>48</v>
      </c>
      <c r="D1252" s="6" t="s">
        <v>68</v>
      </c>
      <c r="E1252" s="6" t="s">
        <v>60</v>
      </c>
      <c r="F1252" s="6" t="s">
        <v>19</v>
      </c>
      <c r="G1252" s="6" t="s">
        <v>54</v>
      </c>
      <c r="H1252" s="6" t="s">
        <v>90</v>
      </c>
      <c r="I1252" s="6" t="s">
        <v>134</v>
      </c>
      <c r="J1252" s="6" t="s">
        <v>33</v>
      </c>
      <c r="K1252" s="6" t="s">
        <v>66</v>
      </c>
      <c r="L1252" s="6">
        <v>31</v>
      </c>
      <c r="M1252" s="7">
        <v>32800</v>
      </c>
      <c r="N1252" s="8">
        <v>0.12</v>
      </c>
      <c r="O1252" s="9">
        <v>23100</v>
      </c>
    </row>
    <row r="1253" spans="1:15" ht="18" x14ac:dyDescent="0.35">
      <c r="A1253" s="4" t="s">
        <v>1360</v>
      </c>
      <c r="B1253" s="5">
        <v>45904</v>
      </c>
      <c r="C1253" s="6" t="s">
        <v>48</v>
      </c>
      <c r="D1253" s="6" t="s">
        <v>136</v>
      </c>
      <c r="E1253" s="6" t="s">
        <v>60</v>
      </c>
      <c r="F1253" s="6" t="s">
        <v>29</v>
      </c>
      <c r="G1253" s="6" t="s">
        <v>54</v>
      </c>
      <c r="H1253" s="6" t="s">
        <v>55</v>
      </c>
      <c r="I1253" s="6" t="s">
        <v>148</v>
      </c>
      <c r="J1253" s="6" t="s">
        <v>23</v>
      </c>
      <c r="K1253" s="6" t="s">
        <v>24</v>
      </c>
      <c r="L1253" s="6">
        <v>2</v>
      </c>
      <c r="M1253" s="7">
        <v>4680</v>
      </c>
      <c r="N1253" s="8">
        <v>0.08</v>
      </c>
      <c r="O1253" s="9">
        <v>3250</v>
      </c>
    </row>
    <row r="1254" spans="1:15" ht="18" x14ac:dyDescent="0.35">
      <c r="A1254" s="4" t="s">
        <v>1361</v>
      </c>
      <c r="B1254" s="5">
        <v>45904</v>
      </c>
      <c r="C1254" s="6" t="s">
        <v>36</v>
      </c>
      <c r="D1254" s="6" t="s">
        <v>121</v>
      </c>
      <c r="E1254" s="6" t="s">
        <v>101</v>
      </c>
      <c r="F1254" s="6" t="s">
        <v>19</v>
      </c>
      <c r="G1254" s="6" t="s">
        <v>20</v>
      </c>
      <c r="H1254" s="6" t="s">
        <v>45</v>
      </c>
      <c r="I1254" s="6" t="s">
        <v>103</v>
      </c>
      <c r="J1254" s="6" t="s">
        <v>57</v>
      </c>
      <c r="K1254" s="6" t="s">
        <v>34</v>
      </c>
      <c r="L1254" s="6">
        <v>36</v>
      </c>
      <c r="M1254" s="7">
        <v>1599</v>
      </c>
      <c r="N1254" s="8">
        <v>0.15</v>
      </c>
      <c r="O1254" s="9">
        <v>920</v>
      </c>
    </row>
    <row r="1255" spans="1:15" ht="18" x14ac:dyDescent="0.35">
      <c r="A1255" s="4" t="s">
        <v>1362</v>
      </c>
      <c r="B1255" s="5">
        <v>45904</v>
      </c>
      <c r="C1255" s="6" t="s">
        <v>48</v>
      </c>
      <c r="D1255" s="6" t="s">
        <v>49</v>
      </c>
      <c r="E1255" s="6" t="s">
        <v>75</v>
      </c>
      <c r="F1255" s="6" t="s">
        <v>29</v>
      </c>
      <c r="G1255" s="6" t="s">
        <v>70</v>
      </c>
      <c r="H1255" s="6" t="s">
        <v>71</v>
      </c>
      <c r="I1255" s="6" t="s">
        <v>88</v>
      </c>
      <c r="J1255" s="6" t="s">
        <v>23</v>
      </c>
      <c r="K1255" s="6" t="s">
        <v>66</v>
      </c>
      <c r="L1255" s="6">
        <v>2</v>
      </c>
      <c r="M1255" s="7">
        <v>999</v>
      </c>
      <c r="N1255" s="8">
        <v>0.15</v>
      </c>
      <c r="O1255" s="9">
        <v>540</v>
      </c>
    </row>
    <row r="1256" spans="1:15" ht="18" x14ac:dyDescent="0.35">
      <c r="A1256" s="4" t="s">
        <v>1363</v>
      </c>
      <c r="B1256" s="5">
        <v>45905</v>
      </c>
      <c r="C1256" s="6" t="s">
        <v>26</v>
      </c>
      <c r="D1256" s="6" t="s">
        <v>74</v>
      </c>
      <c r="E1256" s="6" t="s">
        <v>105</v>
      </c>
      <c r="F1256" s="6" t="s">
        <v>19</v>
      </c>
      <c r="G1256" s="6" t="s">
        <v>54</v>
      </c>
      <c r="H1256" s="6" t="s">
        <v>129</v>
      </c>
      <c r="I1256" s="6" t="s">
        <v>192</v>
      </c>
      <c r="J1256" s="6" t="s">
        <v>57</v>
      </c>
      <c r="K1256" s="6" t="s">
        <v>66</v>
      </c>
      <c r="L1256" s="6">
        <v>6</v>
      </c>
      <c r="M1256" s="7">
        <v>29010</v>
      </c>
      <c r="N1256" s="8">
        <v>0.18</v>
      </c>
      <c r="O1256" s="9">
        <v>19100</v>
      </c>
    </row>
    <row r="1257" spans="1:15" ht="18" x14ac:dyDescent="0.35">
      <c r="A1257" s="4" t="s">
        <v>1364</v>
      </c>
      <c r="B1257" s="5">
        <v>45905</v>
      </c>
      <c r="C1257" s="6" t="s">
        <v>36</v>
      </c>
      <c r="D1257" s="6" t="s">
        <v>59</v>
      </c>
      <c r="E1257" s="6" t="s">
        <v>38</v>
      </c>
      <c r="F1257" s="6" t="s">
        <v>19</v>
      </c>
      <c r="G1257" s="6" t="s">
        <v>20</v>
      </c>
      <c r="H1257" s="6" t="s">
        <v>45</v>
      </c>
      <c r="I1257" s="6" t="s">
        <v>196</v>
      </c>
      <c r="J1257" s="6" t="s">
        <v>33</v>
      </c>
      <c r="K1257" s="6" t="s">
        <v>78</v>
      </c>
      <c r="L1257" s="6">
        <v>31</v>
      </c>
      <c r="M1257" s="7">
        <v>2499</v>
      </c>
      <c r="N1257" s="8">
        <v>0.08</v>
      </c>
      <c r="O1257" s="9">
        <v>1510</v>
      </c>
    </row>
    <row r="1258" spans="1:15" ht="18" x14ac:dyDescent="0.35">
      <c r="A1258" s="4" t="s">
        <v>1365</v>
      </c>
      <c r="B1258" s="5">
        <v>45905</v>
      </c>
      <c r="C1258" s="6" t="s">
        <v>82</v>
      </c>
      <c r="D1258" s="6" t="s">
        <v>87</v>
      </c>
      <c r="E1258" s="6" t="s">
        <v>75</v>
      </c>
      <c r="F1258" s="6" t="s">
        <v>19</v>
      </c>
      <c r="G1258" s="6" t="s">
        <v>20</v>
      </c>
      <c r="H1258" s="6" t="s">
        <v>45</v>
      </c>
      <c r="I1258" s="6" t="s">
        <v>103</v>
      </c>
      <c r="J1258" s="6" t="s">
        <v>23</v>
      </c>
      <c r="K1258" s="6" t="s">
        <v>24</v>
      </c>
      <c r="L1258" s="6">
        <v>22</v>
      </c>
      <c r="M1258" s="7">
        <v>1599</v>
      </c>
      <c r="N1258" s="8">
        <v>0.15</v>
      </c>
      <c r="O1258" s="9">
        <v>920</v>
      </c>
    </row>
    <row r="1259" spans="1:15" ht="18" x14ac:dyDescent="0.35">
      <c r="A1259" s="4" t="s">
        <v>1366</v>
      </c>
      <c r="B1259" s="5">
        <v>45905</v>
      </c>
      <c r="C1259" s="6" t="s">
        <v>26</v>
      </c>
      <c r="D1259" s="6" t="s">
        <v>74</v>
      </c>
      <c r="E1259" s="6" t="s">
        <v>69</v>
      </c>
      <c r="F1259" s="6" t="s">
        <v>19</v>
      </c>
      <c r="G1259" s="6" t="s">
        <v>40</v>
      </c>
      <c r="H1259" s="6" t="s">
        <v>76</v>
      </c>
      <c r="I1259" s="6" t="s">
        <v>139</v>
      </c>
      <c r="J1259" s="6" t="s">
        <v>57</v>
      </c>
      <c r="K1259" s="6" t="s">
        <v>24</v>
      </c>
      <c r="L1259" s="6">
        <v>21</v>
      </c>
      <c r="M1259" s="7">
        <v>25999</v>
      </c>
      <c r="N1259" s="8">
        <v>0.15</v>
      </c>
      <c r="O1259" s="9">
        <v>17800</v>
      </c>
    </row>
    <row r="1260" spans="1:15" ht="18" x14ac:dyDescent="0.35">
      <c r="A1260" s="4" t="s">
        <v>1367</v>
      </c>
      <c r="B1260" s="5">
        <v>45906</v>
      </c>
      <c r="C1260" s="6" t="s">
        <v>16</v>
      </c>
      <c r="D1260" s="6" t="s">
        <v>111</v>
      </c>
      <c r="E1260" s="6" t="s">
        <v>75</v>
      </c>
      <c r="F1260" s="6" t="s">
        <v>39</v>
      </c>
      <c r="G1260" s="6" t="s">
        <v>54</v>
      </c>
      <c r="H1260" s="6" t="s">
        <v>55</v>
      </c>
      <c r="I1260" s="6" t="s">
        <v>56</v>
      </c>
      <c r="J1260" s="6" t="s">
        <v>57</v>
      </c>
      <c r="K1260" s="6" t="s">
        <v>24</v>
      </c>
      <c r="L1260" s="6">
        <v>20</v>
      </c>
      <c r="M1260" s="7">
        <v>7299</v>
      </c>
      <c r="N1260" s="8">
        <v>0.1</v>
      </c>
      <c r="O1260" s="9">
        <v>5010</v>
      </c>
    </row>
    <row r="1261" spans="1:15" ht="18" x14ac:dyDescent="0.35">
      <c r="A1261" s="4" t="s">
        <v>1368</v>
      </c>
      <c r="B1261" s="5">
        <v>45907</v>
      </c>
      <c r="C1261" s="6" t="s">
        <v>36</v>
      </c>
      <c r="D1261" s="6" t="s">
        <v>59</v>
      </c>
      <c r="E1261" s="6" t="s">
        <v>75</v>
      </c>
      <c r="F1261" s="6" t="s">
        <v>19</v>
      </c>
      <c r="G1261" s="6" t="s">
        <v>20</v>
      </c>
      <c r="H1261" s="6" t="s">
        <v>45</v>
      </c>
      <c r="I1261" s="6" t="s">
        <v>196</v>
      </c>
      <c r="J1261" s="6" t="s">
        <v>23</v>
      </c>
      <c r="K1261" s="6" t="s">
        <v>66</v>
      </c>
      <c r="L1261" s="6">
        <v>40</v>
      </c>
      <c r="M1261" s="7">
        <v>2499</v>
      </c>
      <c r="N1261" s="8">
        <v>0.18</v>
      </c>
      <c r="O1261" s="9">
        <v>1510</v>
      </c>
    </row>
    <row r="1262" spans="1:15" ht="18" x14ac:dyDescent="0.35">
      <c r="A1262" s="4" t="s">
        <v>1369</v>
      </c>
      <c r="B1262" s="5">
        <v>45907</v>
      </c>
      <c r="C1262" s="6" t="s">
        <v>48</v>
      </c>
      <c r="D1262" s="6" t="s">
        <v>49</v>
      </c>
      <c r="E1262" s="6" t="s">
        <v>69</v>
      </c>
      <c r="F1262" s="6" t="s">
        <v>19</v>
      </c>
      <c r="G1262" s="6" t="s">
        <v>54</v>
      </c>
      <c r="H1262" s="6" t="s">
        <v>55</v>
      </c>
      <c r="I1262" s="6" t="s">
        <v>108</v>
      </c>
      <c r="J1262" s="6" t="s">
        <v>23</v>
      </c>
      <c r="K1262" s="6" t="s">
        <v>24</v>
      </c>
      <c r="L1262" s="6">
        <v>27</v>
      </c>
      <c r="M1262" s="7">
        <v>5890</v>
      </c>
      <c r="N1262" s="8">
        <v>0.05</v>
      </c>
      <c r="O1262" s="9">
        <v>3980</v>
      </c>
    </row>
    <row r="1263" spans="1:15" ht="18" x14ac:dyDescent="0.35">
      <c r="A1263" s="4" t="s">
        <v>1370</v>
      </c>
      <c r="B1263" s="5">
        <v>45907</v>
      </c>
      <c r="C1263" s="6" t="s">
        <v>16</v>
      </c>
      <c r="D1263" s="6" t="s">
        <v>126</v>
      </c>
      <c r="E1263" s="6" t="s">
        <v>84</v>
      </c>
      <c r="F1263" s="6" t="s">
        <v>39</v>
      </c>
      <c r="G1263" s="6" t="s">
        <v>30</v>
      </c>
      <c r="H1263" s="6" t="s">
        <v>31</v>
      </c>
      <c r="I1263" s="6" t="s">
        <v>32</v>
      </c>
      <c r="J1263" s="6" t="s">
        <v>33</v>
      </c>
      <c r="K1263" s="6" t="s">
        <v>24</v>
      </c>
      <c r="L1263" s="6">
        <v>22</v>
      </c>
      <c r="M1263" s="7">
        <v>38990</v>
      </c>
      <c r="N1263" s="8">
        <v>0.2</v>
      </c>
      <c r="O1263" s="9">
        <v>25400</v>
      </c>
    </row>
    <row r="1264" spans="1:15" ht="18" x14ac:dyDescent="0.35">
      <c r="A1264" s="4" t="s">
        <v>1371</v>
      </c>
      <c r="B1264" s="5">
        <v>45907</v>
      </c>
      <c r="C1264" s="6" t="s">
        <v>36</v>
      </c>
      <c r="D1264" s="6" t="s">
        <v>37</v>
      </c>
      <c r="E1264" s="6" t="s">
        <v>69</v>
      </c>
      <c r="F1264" s="6" t="s">
        <v>39</v>
      </c>
      <c r="G1264" s="6" t="s">
        <v>70</v>
      </c>
      <c r="H1264" s="6" t="s">
        <v>71</v>
      </c>
      <c r="I1264" s="6" t="s">
        <v>88</v>
      </c>
      <c r="J1264" s="6" t="s">
        <v>57</v>
      </c>
      <c r="K1264" s="6" t="s">
        <v>24</v>
      </c>
      <c r="L1264" s="6">
        <v>25</v>
      </c>
      <c r="M1264" s="7">
        <v>999</v>
      </c>
      <c r="N1264" s="8">
        <v>0.05</v>
      </c>
      <c r="O1264" s="9">
        <v>540</v>
      </c>
    </row>
    <row r="1265" spans="1:15" ht="18" x14ac:dyDescent="0.35">
      <c r="A1265" s="4" t="s">
        <v>1372</v>
      </c>
      <c r="B1265" s="5">
        <v>45908</v>
      </c>
      <c r="C1265" s="6" t="s">
        <v>48</v>
      </c>
      <c r="D1265" s="6" t="s">
        <v>136</v>
      </c>
      <c r="E1265" s="6" t="s">
        <v>60</v>
      </c>
      <c r="F1265" s="6" t="s">
        <v>39</v>
      </c>
      <c r="G1265" s="6" t="s">
        <v>20</v>
      </c>
      <c r="H1265" s="6" t="s">
        <v>21</v>
      </c>
      <c r="I1265" s="6" t="s">
        <v>51</v>
      </c>
      <c r="J1265" s="6" t="s">
        <v>57</v>
      </c>
      <c r="K1265" s="6" t="s">
        <v>24</v>
      </c>
      <c r="L1265" s="6">
        <v>12</v>
      </c>
      <c r="M1265" s="7">
        <v>5999</v>
      </c>
      <c r="N1265" s="8">
        <v>0.2</v>
      </c>
      <c r="O1265" s="9">
        <v>3890</v>
      </c>
    </row>
    <row r="1266" spans="1:15" ht="18" x14ac:dyDescent="0.35">
      <c r="A1266" s="4" t="s">
        <v>1373</v>
      </c>
      <c r="B1266" s="5">
        <v>45908</v>
      </c>
      <c r="C1266" s="6" t="s">
        <v>36</v>
      </c>
      <c r="D1266" s="6" t="s">
        <v>44</v>
      </c>
      <c r="E1266" s="6" t="s">
        <v>69</v>
      </c>
      <c r="F1266" s="6" t="s">
        <v>39</v>
      </c>
      <c r="G1266" s="6" t="s">
        <v>30</v>
      </c>
      <c r="H1266" s="6" t="s">
        <v>61</v>
      </c>
      <c r="I1266" s="6" t="s">
        <v>186</v>
      </c>
      <c r="J1266" s="6" t="s">
        <v>23</v>
      </c>
      <c r="K1266" s="6" t="s">
        <v>24</v>
      </c>
      <c r="L1266" s="6">
        <v>36</v>
      </c>
      <c r="M1266" s="7">
        <v>6999</v>
      </c>
      <c r="N1266" s="8">
        <v>0.08</v>
      </c>
      <c r="O1266" s="9">
        <v>4320</v>
      </c>
    </row>
    <row r="1267" spans="1:15" ht="18" x14ac:dyDescent="0.35">
      <c r="A1267" s="4" t="s">
        <v>1374</v>
      </c>
      <c r="B1267" s="5">
        <v>45909</v>
      </c>
      <c r="C1267" s="6" t="s">
        <v>48</v>
      </c>
      <c r="D1267" s="6" t="s">
        <v>68</v>
      </c>
      <c r="E1267" s="6" t="s">
        <v>60</v>
      </c>
      <c r="F1267" s="6" t="s">
        <v>19</v>
      </c>
      <c r="G1267" s="6" t="s">
        <v>54</v>
      </c>
      <c r="H1267" s="6" t="s">
        <v>129</v>
      </c>
      <c r="I1267" s="6" t="s">
        <v>145</v>
      </c>
      <c r="J1267" s="6" t="s">
        <v>23</v>
      </c>
      <c r="K1267" s="6" t="s">
        <v>24</v>
      </c>
      <c r="L1267" s="6">
        <v>1</v>
      </c>
      <c r="M1267" s="7">
        <v>31490</v>
      </c>
      <c r="N1267" s="8">
        <v>0.08</v>
      </c>
      <c r="O1267" s="9">
        <v>21300</v>
      </c>
    </row>
    <row r="1268" spans="1:15" ht="18" x14ac:dyDescent="0.35">
      <c r="A1268" s="4" t="s">
        <v>1375</v>
      </c>
      <c r="B1268" s="5">
        <v>45909</v>
      </c>
      <c r="C1268" s="6" t="s">
        <v>36</v>
      </c>
      <c r="D1268" s="6" t="s">
        <v>121</v>
      </c>
      <c r="E1268" s="6" t="s">
        <v>50</v>
      </c>
      <c r="F1268" s="6" t="s">
        <v>19</v>
      </c>
      <c r="G1268" s="6" t="s">
        <v>70</v>
      </c>
      <c r="H1268" s="6" t="s">
        <v>71</v>
      </c>
      <c r="I1268" s="6" t="s">
        <v>72</v>
      </c>
      <c r="J1268" s="6" t="s">
        <v>33</v>
      </c>
      <c r="K1268" s="6" t="s">
        <v>24</v>
      </c>
      <c r="L1268" s="6">
        <v>36</v>
      </c>
      <c r="M1268" s="7">
        <v>3499</v>
      </c>
      <c r="N1268" s="8">
        <v>0.18</v>
      </c>
      <c r="O1268" s="9">
        <v>2190</v>
      </c>
    </row>
    <row r="1269" spans="1:15" ht="18" x14ac:dyDescent="0.35">
      <c r="A1269" s="4" t="s">
        <v>1376</v>
      </c>
      <c r="B1269" s="5">
        <v>45909</v>
      </c>
      <c r="C1269" s="6" t="s">
        <v>26</v>
      </c>
      <c r="D1269" s="6" t="s">
        <v>53</v>
      </c>
      <c r="E1269" s="6" t="s">
        <v>75</v>
      </c>
      <c r="F1269" s="6" t="s">
        <v>39</v>
      </c>
      <c r="G1269" s="6" t="s">
        <v>30</v>
      </c>
      <c r="H1269" s="6" t="s">
        <v>31</v>
      </c>
      <c r="I1269" s="6" t="s">
        <v>106</v>
      </c>
      <c r="J1269" s="6" t="s">
        <v>23</v>
      </c>
      <c r="K1269" s="6" t="s">
        <v>24</v>
      </c>
      <c r="L1269" s="6">
        <v>29</v>
      </c>
      <c r="M1269" s="7">
        <v>52990</v>
      </c>
      <c r="N1269" s="8">
        <v>0.05</v>
      </c>
      <c r="O1269" s="9">
        <v>35100</v>
      </c>
    </row>
    <row r="1270" spans="1:15" ht="18" x14ac:dyDescent="0.35">
      <c r="A1270" s="4" t="s">
        <v>1377</v>
      </c>
      <c r="B1270" s="5">
        <v>45910</v>
      </c>
      <c r="C1270" s="6" t="s">
        <v>48</v>
      </c>
      <c r="D1270" s="6" t="s">
        <v>68</v>
      </c>
      <c r="E1270" s="6" t="s">
        <v>105</v>
      </c>
      <c r="F1270" s="6" t="s">
        <v>29</v>
      </c>
      <c r="G1270" s="6" t="s">
        <v>40</v>
      </c>
      <c r="H1270" s="6" t="s">
        <v>64</v>
      </c>
      <c r="I1270" s="6" t="s">
        <v>153</v>
      </c>
      <c r="J1270" s="6" t="s">
        <v>57</v>
      </c>
      <c r="K1270" s="6" t="s">
        <v>66</v>
      </c>
      <c r="L1270" s="6">
        <v>15</v>
      </c>
      <c r="M1270" s="7">
        <v>4490</v>
      </c>
      <c r="N1270" s="8">
        <v>0.08</v>
      </c>
      <c r="O1270" s="9">
        <v>2950</v>
      </c>
    </row>
    <row r="1271" spans="1:15" ht="18" x14ac:dyDescent="0.35">
      <c r="A1271" s="4" t="s">
        <v>1378</v>
      </c>
      <c r="B1271" s="5">
        <v>45911</v>
      </c>
      <c r="C1271" s="6" t="s">
        <v>16</v>
      </c>
      <c r="D1271" s="6" t="s">
        <v>126</v>
      </c>
      <c r="E1271" s="6" t="s">
        <v>75</v>
      </c>
      <c r="F1271" s="6" t="s">
        <v>19</v>
      </c>
      <c r="G1271" s="6" t="s">
        <v>40</v>
      </c>
      <c r="H1271" s="6" t="s">
        <v>41</v>
      </c>
      <c r="I1271" s="6" t="s">
        <v>119</v>
      </c>
      <c r="J1271" s="6" t="s">
        <v>23</v>
      </c>
      <c r="K1271" s="6" t="s">
        <v>34</v>
      </c>
      <c r="L1271" s="6">
        <v>27</v>
      </c>
      <c r="M1271" s="7">
        <v>48990</v>
      </c>
      <c r="N1271" s="8">
        <v>0.2</v>
      </c>
      <c r="O1271" s="9">
        <v>30100</v>
      </c>
    </row>
    <row r="1272" spans="1:15" ht="18" x14ac:dyDescent="0.35">
      <c r="A1272" s="4" t="s">
        <v>1379</v>
      </c>
      <c r="B1272" s="5">
        <v>45911</v>
      </c>
      <c r="C1272" s="6" t="s">
        <v>48</v>
      </c>
      <c r="D1272" s="6" t="s">
        <v>93</v>
      </c>
      <c r="E1272" s="6" t="s">
        <v>101</v>
      </c>
      <c r="F1272" s="6" t="s">
        <v>29</v>
      </c>
      <c r="G1272" s="6" t="s">
        <v>40</v>
      </c>
      <c r="H1272" s="6" t="s">
        <v>76</v>
      </c>
      <c r="I1272" s="6" t="s">
        <v>139</v>
      </c>
      <c r="J1272" s="6" t="s">
        <v>33</v>
      </c>
      <c r="K1272" s="6" t="s">
        <v>34</v>
      </c>
      <c r="L1272" s="6">
        <v>23</v>
      </c>
      <c r="M1272" s="7">
        <v>25999</v>
      </c>
      <c r="N1272" s="8">
        <v>0.1</v>
      </c>
      <c r="O1272" s="9">
        <v>17800</v>
      </c>
    </row>
    <row r="1273" spans="1:15" ht="18" x14ac:dyDescent="0.35">
      <c r="A1273" s="4" t="s">
        <v>1380</v>
      </c>
      <c r="B1273" s="5">
        <v>45911</v>
      </c>
      <c r="C1273" s="6" t="s">
        <v>48</v>
      </c>
      <c r="D1273" s="6" t="s">
        <v>136</v>
      </c>
      <c r="E1273" s="6" t="s">
        <v>38</v>
      </c>
      <c r="F1273" s="6" t="s">
        <v>39</v>
      </c>
      <c r="G1273" s="6" t="s">
        <v>40</v>
      </c>
      <c r="H1273" s="6" t="s">
        <v>41</v>
      </c>
      <c r="I1273" s="6" t="s">
        <v>156</v>
      </c>
      <c r="J1273" s="6" t="s">
        <v>57</v>
      </c>
      <c r="K1273" s="6" t="s">
        <v>24</v>
      </c>
      <c r="L1273" s="6">
        <v>3</v>
      </c>
      <c r="M1273" s="7">
        <v>48500</v>
      </c>
      <c r="N1273" s="8">
        <v>0.12</v>
      </c>
      <c r="O1273" s="9">
        <v>30200</v>
      </c>
    </row>
    <row r="1274" spans="1:15" ht="18" x14ac:dyDescent="0.35">
      <c r="A1274" s="4" t="s">
        <v>1381</v>
      </c>
      <c r="B1274" s="5">
        <v>45911</v>
      </c>
      <c r="C1274" s="6" t="s">
        <v>16</v>
      </c>
      <c r="D1274" s="6" t="s">
        <v>126</v>
      </c>
      <c r="E1274" s="6" t="s">
        <v>101</v>
      </c>
      <c r="F1274" s="6" t="s">
        <v>19</v>
      </c>
      <c r="G1274" s="6" t="s">
        <v>40</v>
      </c>
      <c r="H1274" s="6" t="s">
        <v>41</v>
      </c>
      <c r="I1274" s="6" t="s">
        <v>156</v>
      </c>
      <c r="J1274" s="6" t="s">
        <v>23</v>
      </c>
      <c r="K1274" s="6" t="s">
        <v>34</v>
      </c>
      <c r="L1274" s="6">
        <v>16</v>
      </c>
      <c r="M1274" s="7">
        <v>48500</v>
      </c>
      <c r="N1274" s="8">
        <v>0.15</v>
      </c>
      <c r="O1274" s="9">
        <v>30200</v>
      </c>
    </row>
    <row r="1275" spans="1:15" ht="18" x14ac:dyDescent="0.35">
      <c r="A1275" s="4" t="s">
        <v>1382</v>
      </c>
      <c r="B1275" s="5">
        <v>45911</v>
      </c>
      <c r="C1275" s="6" t="s">
        <v>36</v>
      </c>
      <c r="D1275" s="6" t="s">
        <v>44</v>
      </c>
      <c r="E1275" s="6" t="s">
        <v>60</v>
      </c>
      <c r="F1275" s="6" t="s">
        <v>39</v>
      </c>
      <c r="G1275" s="6" t="s">
        <v>54</v>
      </c>
      <c r="H1275" s="6" t="s">
        <v>55</v>
      </c>
      <c r="I1275" s="6" t="s">
        <v>108</v>
      </c>
      <c r="J1275" s="6" t="s">
        <v>33</v>
      </c>
      <c r="K1275" s="6" t="s">
        <v>24</v>
      </c>
      <c r="L1275" s="6">
        <v>2</v>
      </c>
      <c r="M1275" s="7">
        <v>5890</v>
      </c>
      <c r="N1275" s="8">
        <v>0.18</v>
      </c>
      <c r="O1275" s="9">
        <v>3980</v>
      </c>
    </row>
    <row r="1276" spans="1:15" ht="18" x14ac:dyDescent="0.35">
      <c r="A1276" s="4" t="s">
        <v>1383</v>
      </c>
      <c r="B1276" s="5">
        <v>45911</v>
      </c>
      <c r="C1276" s="6" t="s">
        <v>82</v>
      </c>
      <c r="D1276" s="6" t="s">
        <v>183</v>
      </c>
      <c r="E1276" s="6" t="s">
        <v>18</v>
      </c>
      <c r="F1276" s="6" t="s">
        <v>39</v>
      </c>
      <c r="G1276" s="6" t="s">
        <v>30</v>
      </c>
      <c r="H1276" s="6" t="s">
        <v>31</v>
      </c>
      <c r="I1276" s="6" t="s">
        <v>106</v>
      </c>
      <c r="J1276" s="6" t="s">
        <v>33</v>
      </c>
      <c r="K1276" s="6" t="s">
        <v>24</v>
      </c>
      <c r="L1276" s="6">
        <v>39</v>
      </c>
      <c r="M1276" s="7">
        <v>52990</v>
      </c>
      <c r="N1276" s="8">
        <v>0.2</v>
      </c>
      <c r="O1276" s="9">
        <v>35100</v>
      </c>
    </row>
    <row r="1277" spans="1:15" ht="18" x14ac:dyDescent="0.35">
      <c r="A1277" s="4" t="s">
        <v>1384</v>
      </c>
      <c r="B1277" s="5">
        <v>45912</v>
      </c>
      <c r="C1277" s="6" t="s">
        <v>26</v>
      </c>
      <c r="D1277" s="6" t="s">
        <v>74</v>
      </c>
      <c r="E1277" s="6" t="s">
        <v>69</v>
      </c>
      <c r="F1277" s="6" t="s">
        <v>39</v>
      </c>
      <c r="G1277" s="6" t="s">
        <v>30</v>
      </c>
      <c r="H1277" s="6" t="s">
        <v>61</v>
      </c>
      <c r="I1277" s="6" t="s">
        <v>62</v>
      </c>
      <c r="J1277" s="6" t="s">
        <v>33</v>
      </c>
      <c r="K1277" s="6" t="s">
        <v>34</v>
      </c>
      <c r="L1277" s="6">
        <v>27</v>
      </c>
      <c r="M1277" s="7">
        <v>12490</v>
      </c>
      <c r="N1277" s="8">
        <v>0.15</v>
      </c>
      <c r="O1277" s="9">
        <v>7900</v>
      </c>
    </row>
    <row r="1278" spans="1:15" ht="18" x14ac:dyDescent="0.35">
      <c r="A1278" s="4" t="s">
        <v>1385</v>
      </c>
      <c r="B1278" s="5">
        <v>45912</v>
      </c>
      <c r="C1278" s="6" t="s">
        <v>36</v>
      </c>
      <c r="D1278" s="6" t="s">
        <v>44</v>
      </c>
      <c r="E1278" s="6" t="s">
        <v>84</v>
      </c>
      <c r="F1278" s="6" t="s">
        <v>19</v>
      </c>
      <c r="G1278" s="6" t="s">
        <v>70</v>
      </c>
      <c r="H1278" s="6" t="s">
        <v>71</v>
      </c>
      <c r="I1278" s="6" t="s">
        <v>80</v>
      </c>
      <c r="J1278" s="6" t="s">
        <v>57</v>
      </c>
      <c r="K1278" s="6" t="s">
        <v>24</v>
      </c>
      <c r="L1278" s="6">
        <v>10</v>
      </c>
      <c r="M1278" s="7">
        <v>1299</v>
      </c>
      <c r="N1278" s="8">
        <v>0.1</v>
      </c>
      <c r="O1278" s="9">
        <v>720</v>
      </c>
    </row>
    <row r="1279" spans="1:15" ht="18" x14ac:dyDescent="0.35">
      <c r="A1279" s="4" t="s">
        <v>1386</v>
      </c>
      <c r="B1279" s="5">
        <v>45913</v>
      </c>
      <c r="C1279" s="6" t="s">
        <v>26</v>
      </c>
      <c r="D1279" s="6" t="s">
        <v>74</v>
      </c>
      <c r="E1279" s="6" t="s">
        <v>38</v>
      </c>
      <c r="F1279" s="6" t="s">
        <v>29</v>
      </c>
      <c r="G1279" s="6" t="s">
        <v>30</v>
      </c>
      <c r="H1279" s="6" t="s">
        <v>31</v>
      </c>
      <c r="I1279" s="6" t="s">
        <v>32</v>
      </c>
      <c r="J1279" s="6" t="s">
        <v>57</v>
      </c>
      <c r="K1279" s="6" t="s">
        <v>34</v>
      </c>
      <c r="L1279" s="6">
        <v>10</v>
      </c>
      <c r="M1279" s="7">
        <v>38990</v>
      </c>
      <c r="N1279" s="8">
        <v>0.12</v>
      </c>
      <c r="O1279" s="9">
        <v>25400</v>
      </c>
    </row>
    <row r="1280" spans="1:15" ht="18" x14ac:dyDescent="0.35">
      <c r="A1280" s="4" t="s">
        <v>1387</v>
      </c>
      <c r="B1280" s="5">
        <v>45914</v>
      </c>
      <c r="C1280" s="6" t="s">
        <v>48</v>
      </c>
      <c r="D1280" s="6" t="s">
        <v>68</v>
      </c>
      <c r="E1280" s="6" t="s">
        <v>60</v>
      </c>
      <c r="F1280" s="6" t="s">
        <v>39</v>
      </c>
      <c r="G1280" s="6" t="s">
        <v>20</v>
      </c>
      <c r="H1280" s="6" t="s">
        <v>21</v>
      </c>
      <c r="I1280" s="6" t="s">
        <v>115</v>
      </c>
      <c r="J1280" s="6" t="s">
        <v>33</v>
      </c>
      <c r="K1280" s="6" t="s">
        <v>24</v>
      </c>
      <c r="L1280" s="6">
        <v>1</v>
      </c>
      <c r="M1280" s="7">
        <v>6499</v>
      </c>
      <c r="N1280" s="8">
        <v>0.2</v>
      </c>
      <c r="O1280" s="9">
        <v>4210</v>
      </c>
    </row>
    <row r="1281" spans="1:15" ht="18" x14ac:dyDescent="0.35">
      <c r="A1281" s="4" t="s">
        <v>1388</v>
      </c>
      <c r="B1281" s="5">
        <v>45914</v>
      </c>
      <c r="C1281" s="6" t="s">
        <v>16</v>
      </c>
      <c r="D1281" s="6" t="s">
        <v>111</v>
      </c>
      <c r="E1281" s="6" t="s">
        <v>69</v>
      </c>
      <c r="F1281" s="6" t="s">
        <v>29</v>
      </c>
      <c r="G1281" s="6" t="s">
        <v>70</v>
      </c>
      <c r="H1281" s="6" t="s">
        <v>71</v>
      </c>
      <c r="I1281" s="6" t="s">
        <v>80</v>
      </c>
      <c r="J1281" s="6" t="s">
        <v>33</v>
      </c>
      <c r="K1281" s="6" t="s">
        <v>24</v>
      </c>
      <c r="L1281" s="6">
        <v>34</v>
      </c>
      <c r="M1281" s="7">
        <v>1299</v>
      </c>
      <c r="N1281" s="8">
        <v>0.05</v>
      </c>
      <c r="O1281" s="9">
        <v>720</v>
      </c>
    </row>
    <row r="1282" spans="1:15" ht="18" x14ac:dyDescent="0.35">
      <c r="A1282" s="4" t="s">
        <v>1389</v>
      </c>
      <c r="B1282" s="5">
        <v>45914</v>
      </c>
      <c r="C1282" s="6" t="s">
        <v>82</v>
      </c>
      <c r="D1282" s="6" t="s">
        <v>183</v>
      </c>
      <c r="E1282" s="6" t="s">
        <v>105</v>
      </c>
      <c r="F1282" s="6" t="s">
        <v>39</v>
      </c>
      <c r="G1282" s="6" t="s">
        <v>20</v>
      </c>
      <c r="H1282" s="6" t="s">
        <v>21</v>
      </c>
      <c r="I1282" s="6" t="s">
        <v>51</v>
      </c>
      <c r="J1282" s="6" t="s">
        <v>57</v>
      </c>
      <c r="K1282" s="6" t="s">
        <v>66</v>
      </c>
      <c r="L1282" s="6">
        <v>12</v>
      </c>
      <c r="M1282" s="7">
        <v>5999</v>
      </c>
      <c r="N1282" s="8">
        <v>0.1</v>
      </c>
      <c r="O1282" s="9">
        <v>3890</v>
      </c>
    </row>
    <row r="1283" spans="1:15" ht="18" x14ac:dyDescent="0.35">
      <c r="A1283" s="4" t="s">
        <v>1390</v>
      </c>
      <c r="B1283" s="5">
        <v>45914</v>
      </c>
      <c r="C1283" s="6" t="s">
        <v>26</v>
      </c>
      <c r="D1283" s="6" t="s">
        <v>163</v>
      </c>
      <c r="E1283" s="6" t="s">
        <v>84</v>
      </c>
      <c r="F1283" s="6" t="s">
        <v>19</v>
      </c>
      <c r="G1283" s="6" t="s">
        <v>30</v>
      </c>
      <c r="H1283" s="6" t="s">
        <v>61</v>
      </c>
      <c r="I1283" s="6" t="s">
        <v>96</v>
      </c>
      <c r="J1283" s="6" t="s">
        <v>33</v>
      </c>
      <c r="K1283" s="6" t="s">
        <v>24</v>
      </c>
      <c r="L1283" s="6">
        <v>14</v>
      </c>
      <c r="M1283" s="7">
        <v>25110</v>
      </c>
      <c r="N1283" s="8">
        <v>0.1</v>
      </c>
      <c r="O1283" s="9">
        <v>16730</v>
      </c>
    </row>
    <row r="1284" spans="1:15" ht="18" x14ac:dyDescent="0.35">
      <c r="A1284" s="4" t="s">
        <v>1391</v>
      </c>
      <c r="B1284" s="5">
        <v>45915</v>
      </c>
      <c r="C1284" s="6" t="s">
        <v>16</v>
      </c>
      <c r="D1284" s="6" t="s">
        <v>17</v>
      </c>
      <c r="E1284" s="6" t="s">
        <v>18</v>
      </c>
      <c r="F1284" s="6" t="s">
        <v>39</v>
      </c>
      <c r="G1284" s="6" t="s">
        <v>70</v>
      </c>
      <c r="H1284" s="6" t="s">
        <v>71</v>
      </c>
      <c r="I1284" s="6" t="s">
        <v>72</v>
      </c>
      <c r="J1284" s="6" t="s">
        <v>57</v>
      </c>
      <c r="K1284" s="6" t="s">
        <v>24</v>
      </c>
      <c r="L1284" s="6">
        <v>20</v>
      </c>
      <c r="M1284" s="7">
        <v>3499</v>
      </c>
      <c r="N1284" s="8">
        <v>0.1</v>
      </c>
      <c r="O1284" s="9">
        <v>2190</v>
      </c>
    </row>
    <row r="1285" spans="1:15" ht="18" x14ac:dyDescent="0.35">
      <c r="A1285" s="4" t="s">
        <v>1392</v>
      </c>
      <c r="B1285" s="5">
        <v>45915</v>
      </c>
      <c r="C1285" s="6" t="s">
        <v>16</v>
      </c>
      <c r="D1285" s="6" t="s">
        <v>17</v>
      </c>
      <c r="E1285" s="6" t="s">
        <v>28</v>
      </c>
      <c r="F1285" s="6" t="s">
        <v>39</v>
      </c>
      <c r="G1285" s="6" t="s">
        <v>20</v>
      </c>
      <c r="H1285" s="6" t="s">
        <v>45</v>
      </c>
      <c r="I1285" s="6" t="s">
        <v>46</v>
      </c>
      <c r="J1285" s="6" t="s">
        <v>33</v>
      </c>
      <c r="K1285" s="6" t="s">
        <v>24</v>
      </c>
      <c r="L1285" s="6">
        <v>33</v>
      </c>
      <c r="M1285" s="7">
        <v>1899</v>
      </c>
      <c r="N1285" s="8">
        <v>0.2</v>
      </c>
      <c r="O1285" s="9">
        <v>1080</v>
      </c>
    </row>
    <row r="1286" spans="1:15" ht="18" x14ac:dyDescent="0.35">
      <c r="A1286" s="4" t="s">
        <v>1393</v>
      </c>
      <c r="B1286" s="5">
        <v>45915</v>
      </c>
      <c r="C1286" s="6" t="s">
        <v>26</v>
      </c>
      <c r="D1286" s="6" t="s">
        <v>27</v>
      </c>
      <c r="E1286" s="6" t="s">
        <v>75</v>
      </c>
      <c r="F1286" s="6" t="s">
        <v>39</v>
      </c>
      <c r="G1286" s="6" t="s">
        <v>54</v>
      </c>
      <c r="H1286" s="6" t="s">
        <v>129</v>
      </c>
      <c r="I1286" s="6" t="s">
        <v>130</v>
      </c>
      <c r="J1286" s="6" t="s">
        <v>33</v>
      </c>
      <c r="K1286" s="6" t="s">
        <v>78</v>
      </c>
      <c r="L1286" s="6">
        <v>29</v>
      </c>
      <c r="M1286" s="7">
        <v>27890</v>
      </c>
      <c r="N1286" s="8">
        <v>0.05</v>
      </c>
      <c r="O1286" s="9">
        <v>18800</v>
      </c>
    </row>
    <row r="1287" spans="1:15" ht="18" x14ac:dyDescent="0.35">
      <c r="A1287" s="4" t="s">
        <v>1394</v>
      </c>
      <c r="B1287" s="5">
        <v>45916</v>
      </c>
      <c r="C1287" s="6" t="s">
        <v>16</v>
      </c>
      <c r="D1287" s="6" t="s">
        <v>17</v>
      </c>
      <c r="E1287" s="6" t="s">
        <v>50</v>
      </c>
      <c r="F1287" s="6" t="s">
        <v>39</v>
      </c>
      <c r="G1287" s="6" t="s">
        <v>70</v>
      </c>
      <c r="H1287" s="6" t="s">
        <v>71</v>
      </c>
      <c r="I1287" s="6" t="s">
        <v>72</v>
      </c>
      <c r="J1287" s="6" t="s">
        <v>23</v>
      </c>
      <c r="K1287" s="6" t="s">
        <v>34</v>
      </c>
      <c r="L1287" s="6">
        <v>10</v>
      </c>
      <c r="M1287" s="7">
        <v>3499</v>
      </c>
      <c r="N1287" s="8">
        <v>0.2</v>
      </c>
      <c r="O1287" s="9">
        <v>2190</v>
      </c>
    </row>
    <row r="1288" spans="1:15" ht="18" x14ac:dyDescent="0.35">
      <c r="A1288" s="4" t="s">
        <v>1395</v>
      </c>
      <c r="B1288" s="5">
        <v>45917</v>
      </c>
      <c r="C1288" s="6" t="s">
        <v>36</v>
      </c>
      <c r="D1288" s="6" t="s">
        <v>59</v>
      </c>
      <c r="E1288" s="6" t="s">
        <v>18</v>
      </c>
      <c r="F1288" s="6" t="s">
        <v>19</v>
      </c>
      <c r="G1288" s="6" t="s">
        <v>20</v>
      </c>
      <c r="H1288" s="6" t="s">
        <v>21</v>
      </c>
      <c r="I1288" s="6" t="s">
        <v>22</v>
      </c>
      <c r="J1288" s="6" t="s">
        <v>33</v>
      </c>
      <c r="K1288" s="6" t="s">
        <v>24</v>
      </c>
      <c r="L1288" s="6">
        <v>17</v>
      </c>
      <c r="M1288" s="7">
        <v>4499</v>
      </c>
      <c r="N1288" s="8">
        <v>0.18</v>
      </c>
      <c r="O1288" s="9">
        <v>2910</v>
      </c>
    </row>
    <row r="1289" spans="1:15" ht="18" x14ac:dyDescent="0.35">
      <c r="A1289" s="4" t="s">
        <v>1396</v>
      </c>
      <c r="B1289" s="5">
        <v>45917</v>
      </c>
      <c r="C1289" s="6" t="s">
        <v>82</v>
      </c>
      <c r="D1289" s="6" t="s">
        <v>100</v>
      </c>
      <c r="E1289" s="6" t="s">
        <v>50</v>
      </c>
      <c r="F1289" s="6" t="s">
        <v>39</v>
      </c>
      <c r="G1289" s="6" t="s">
        <v>40</v>
      </c>
      <c r="H1289" s="6" t="s">
        <v>41</v>
      </c>
      <c r="I1289" s="6" t="s">
        <v>156</v>
      </c>
      <c r="J1289" s="6" t="s">
        <v>23</v>
      </c>
      <c r="K1289" s="6" t="s">
        <v>24</v>
      </c>
      <c r="L1289" s="6">
        <v>12</v>
      </c>
      <c r="M1289" s="7">
        <v>48500</v>
      </c>
      <c r="N1289" s="8">
        <v>0.18</v>
      </c>
      <c r="O1289" s="9">
        <v>30200</v>
      </c>
    </row>
    <row r="1290" spans="1:15" ht="18" x14ac:dyDescent="0.35">
      <c r="A1290" s="4" t="s">
        <v>1397</v>
      </c>
      <c r="B1290" s="5">
        <v>45918</v>
      </c>
      <c r="C1290" s="6" t="s">
        <v>26</v>
      </c>
      <c r="D1290" s="6" t="s">
        <v>74</v>
      </c>
      <c r="E1290" s="6" t="s">
        <v>69</v>
      </c>
      <c r="F1290" s="6" t="s">
        <v>29</v>
      </c>
      <c r="G1290" s="6" t="s">
        <v>40</v>
      </c>
      <c r="H1290" s="6" t="s">
        <v>76</v>
      </c>
      <c r="I1290" s="6" t="s">
        <v>77</v>
      </c>
      <c r="J1290" s="6" t="s">
        <v>23</v>
      </c>
      <c r="K1290" s="6" t="s">
        <v>24</v>
      </c>
      <c r="L1290" s="6">
        <v>17</v>
      </c>
      <c r="M1290" s="7">
        <v>52990</v>
      </c>
      <c r="N1290" s="8">
        <v>0.18</v>
      </c>
      <c r="O1290" s="9">
        <v>39500</v>
      </c>
    </row>
    <row r="1291" spans="1:15" ht="18" x14ac:dyDescent="0.35">
      <c r="A1291" s="4" t="s">
        <v>1398</v>
      </c>
      <c r="B1291" s="5">
        <v>45919</v>
      </c>
      <c r="C1291" s="6" t="s">
        <v>82</v>
      </c>
      <c r="D1291" s="6" t="s">
        <v>183</v>
      </c>
      <c r="E1291" s="6" t="s">
        <v>75</v>
      </c>
      <c r="F1291" s="6" t="s">
        <v>19</v>
      </c>
      <c r="G1291" s="6" t="s">
        <v>30</v>
      </c>
      <c r="H1291" s="6" t="s">
        <v>31</v>
      </c>
      <c r="I1291" s="6" t="s">
        <v>106</v>
      </c>
      <c r="J1291" s="6" t="s">
        <v>57</v>
      </c>
      <c r="K1291" s="6" t="s">
        <v>24</v>
      </c>
      <c r="L1291" s="6">
        <v>14</v>
      </c>
      <c r="M1291" s="7">
        <v>52990</v>
      </c>
      <c r="N1291" s="8">
        <v>0.15</v>
      </c>
      <c r="O1291" s="9">
        <v>35100</v>
      </c>
    </row>
    <row r="1292" spans="1:15" ht="18" x14ac:dyDescent="0.35">
      <c r="A1292" s="4" t="s">
        <v>1399</v>
      </c>
      <c r="B1292" s="5">
        <v>45919</v>
      </c>
      <c r="C1292" s="6" t="s">
        <v>36</v>
      </c>
      <c r="D1292" s="6" t="s">
        <v>37</v>
      </c>
      <c r="E1292" s="6" t="s">
        <v>69</v>
      </c>
      <c r="F1292" s="6" t="s">
        <v>29</v>
      </c>
      <c r="G1292" s="6" t="s">
        <v>40</v>
      </c>
      <c r="H1292" s="6" t="s">
        <v>41</v>
      </c>
      <c r="I1292" s="6" t="s">
        <v>156</v>
      </c>
      <c r="J1292" s="6" t="s">
        <v>23</v>
      </c>
      <c r="K1292" s="6" t="s">
        <v>66</v>
      </c>
      <c r="L1292" s="6">
        <v>16</v>
      </c>
      <c r="M1292" s="7">
        <v>48500</v>
      </c>
      <c r="N1292" s="8">
        <v>0.08</v>
      </c>
      <c r="O1292" s="9">
        <v>30200</v>
      </c>
    </row>
    <row r="1293" spans="1:15" ht="18" x14ac:dyDescent="0.35">
      <c r="A1293" s="4" t="s">
        <v>1400</v>
      </c>
      <c r="B1293" s="5">
        <v>45919</v>
      </c>
      <c r="C1293" s="6" t="s">
        <v>26</v>
      </c>
      <c r="D1293" s="6" t="s">
        <v>53</v>
      </c>
      <c r="E1293" s="6" t="s">
        <v>105</v>
      </c>
      <c r="F1293" s="6" t="s">
        <v>39</v>
      </c>
      <c r="G1293" s="6" t="s">
        <v>40</v>
      </c>
      <c r="H1293" s="6" t="s">
        <v>64</v>
      </c>
      <c r="I1293" s="6" t="s">
        <v>159</v>
      </c>
      <c r="J1293" s="6" t="s">
        <v>57</v>
      </c>
      <c r="K1293" s="6" t="s">
        <v>78</v>
      </c>
      <c r="L1293" s="6">
        <v>37</v>
      </c>
      <c r="M1293" s="7">
        <v>3299</v>
      </c>
      <c r="N1293" s="8">
        <v>0.05</v>
      </c>
      <c r="O1293" s="9">
        <v>2050</v>
      </c>
    </row>
    <row r="1294" spans="1:15" ht="18" x14ac:dyDescent="0.35">
      <c r="A1294" s="4" t="s">
        <v>1401</v>
      </c>
      <c r="B1294" s="5">
        <v>45919</v>
      </c>
      <c r="C1294" s="6" t="s">
        <v>48</v>
      </c>
      <c r="D1294" s="6" t="s">
        <v>136</v>
      </c>
      <c r="E1294" s="6" t="s">
        <v>18</v>
      </c>
      <c r="F1294" s="6" t="s">
        <v>29</v>
      </c>
      <c r="G1294" s="6" t="s">
        <v>54</v>
      </c>
      <c r="H1294" s="6" t="s">
        <v>129</v>
      </c>
      <c r="I1294" s="6" t="s">
        <v>145</v>
      </c>
      <c r="J1294" s="6" t="s">
        <v>57</v>
      </c>
      <c r="K1294" s="6" t="s">
        <v>34</v>
      </c>
      <c r="L1294" s="6">
        <v>26</v>
      </c>
      <c r="M1294" s="7">
        <v>31490</v>
      </c>
      <c r="N1294" s="8">
        <v>0.05</v>
      </c>
      <c r="O1294" s="9">
        <v>21300</v>
      </c>
    </row>
    <row r="1295" spans="1:15" ht="18" x14ac:dyDescent="0.35">
      <c r="A1295" s="4" t="s">
        <v>1402</v>
      </c>
      <c r="B1295" s="5">
        <v>45920</v>
      </c>
      <c r="C1295" s="6" t="s">
        <v>26</v>
      </c>
      <c r="D1295" s="6" t="s">
        <v>27</v>
      </c>
      <c r="E1295" s="6" t="s">
        <v>105</v>
      </c>
      <c r="F1295" s="6" t="s">
        <v>19</v>
      </c>
      <c r="G1295" s="6" t="s">
        <v>20</v>
      </c>
      <c r="H1295" s="6" t="s">
        <v>45</v>
      </c>
      <c r="I1295" s="6" t="s">
        <v>196</v>
      </c>
      <c r="J1295" s="6" t="s">
        <v>23</v>
      </c>
      <c r="K1295" s="6" t="s">
        <v>24</v>
      </c>
      <c r="L1295" s="6">
        <v>29</v>
      </c>
      <c r="M1295" s="7">
        <v>2499</v>
      </c>
      <c r="N1295" s="8">
        <v>0.1</v>
      </c>
      <c r="O1295" s="9">
        <v>1510</v>
      </c>
    </row>
    <row r="1296" spans="1:15" ht="18" x14ac:dyDescent="0.35">
      <c r="A1296" s="4" t="s">
        <v>1403</v>
      </c>
      <c r="B1296" s="5">
        <v>45920</v>
      </c>
      <c r="C1296" s="6" t="s">
        <v>36</v>
      </c>
      <c r="D1296" s="6" t="s">
        <v>121</v>
      </c>
      <c r="E1296" s="6" t="s">
        <v>84</v>
      </c>
      <c r="F1296" s="6" t="s">
        <v>39</v>
      </c>
      <c r="G1296" s="6" t="s">
        <v>70</v>
      </c>
      <c r="H1296" s="6" t="s">
        <v>71</v>
      </c>
      <c r="I1296" s="6" t="s">
        <v>80</v>
      </c>
      <c r="J1296" s="6" t="s">
        <v>23</v>
      </c>
      <c r="K1296" s="6" t="s">
        <v>24</v>
      </c>
      <c r="L1296" s="6">
        <v>21</v>
      </c>
      <c r="M1296" s="7">
        <v>1299</v>
      </c>
      <c r="N1296" s="8">
        <v>0.12</v>
      </c>
      <c r="O1296" s="9">
        <v>720</v>
      </c>
    </row>
    <row r="1297" spans="1:15" ht="18" x14ac:dyDescent="0.35">
      <c r="A1297" s="4" t="s">
        <v>1404</v>
      </c>
      <c r="B1297" s="5">
        <v>45920</v>
      </c>
      <c r="C1297" s="6" t="s">
        <v>48</v>
      </c>
      <c r="D1297" s="6" t="s">
        <v>136</v>
      </c>
      <c r="E1297" s="6" t="s">
        <v>84</v>
      </c>
      <c r="F1297" s="6" t="s">
        <v>39</v>
      </c>
      <c r="G1297" s="6" t="s">
        <v>20</v>
      </c>
      <c r="H1297" s="6" t="s">
        <v>45</v>
      </c>
      <c r="I1297" s="6" t="s">
        <v>103</v>
      </c>
      <c r="J1297" s="6" t="s">
        <v>57</v>
      </c>
      <c r="K1297" s="6" t="s">
        <v>24</v>
      </c>
      <c r="L1297" s="6">
        <v>34</v>
      </c>
      <c r="M1297" s="7">
        <v>1599</v>
      </c>
      <c r="N1297" s="8">
        <v>0.05</v>
      </c>
      <c r="O1297" s="9">
        <v>920</v>
      </c>
    </row>
    <row r="1298" spans="1:15" ht="18" x14ac:dyDescent="0.35">
      <c r="A1298" s="4" t="s">
        <v>1405</v>
      </c>
      <c r="B1298" s="5">
        <v>45922</v>
      </c>
      <c r="C1298" s="6" t="s">
        <v>82</v>
      </c>
      <c r="D1298" s="6" t="s">
        <v>100</v>
      </c>
      <c r="E1298" s="6" t="s">
        <v>101</v>
      </c>
      <c r="F1298" s="6" t="s">
        <v>29</v>
      </c>
      <c r="G1298" s="6" t="s">
        <v>30</v>
      </c>
      <c r="H1298" s="6" t="s">
        <v>31</v>
      </c>
      <c r="I1298" s="6" t="s">
        <v>106</v>
      </c>
      <c r="J1298" s="6" t="s">
        <v>57</v>
      </c>
      <c r="K1298" s="6" t="s">
        <v>66</v>
      </c>
      <c r="L1298" s="6">
        <v>38</v>
      </c>
      <c r="M1298" s="7">
        <v>52990</v>
      </c>
      <c r="N1298" s="8">
        <v>0.15</v>
      </c>
      <c r="O1298" s="9">
        <v>35100</v>
      </c>
    </row>
    <row r="1299" spans="1:15" ht="18" x14ac:dyDescent="0.35">
      <c r="A1299" s="4" t="s">
        <v>1406</v>
      </c>
      <c r="B1299" s="5">
        <v>45923</v>
      </c>
      <c r="C1299" s="6" t="s">
        <v>48</v>
      </c>
      <c r="D1299" s="6" t="s">
        <v>49</v>
      </c>
      <c r="E1299" s="6" t="s">
        <v>38</v>
      </c>
      <c r="F1299" s="6" t="s">
        <v>29</v>
      </c>
      <c r="G1299" s="6" t="s">
        <v>30</v>
      </c>
      <c r="H1299" s="6" t="s">
        <v>31</v>
      </c>
      <c r="I1299" s="6" t="s">
        <v>85</v>
      </c>
      <c r="J1299" s="6" t="s">
        <v>57</v>
      </c>
      <c r="K1299" s="6" t="s">
        <v>66</v>
      </c>
      <c r="L1299" s="6">
        <v>12</v>
      </c>
      <c r="M1299" s="7">
        <v>43500</v>
      </c>
      <c r="N1299" s="8">
        <v>0.15</v>
      </c>
      <c r="O1299" s="9">
        <v>29520</v>
      </c>
    </row>
    <row r="1300" spans="1:15" ht="18" x14ac:dyDescent="0.35">
      <c r="A1300" s="4" t="s">
        <v>1407</v>
      </c>
      <c r="B1300" s="5">
        <v>45924</v>
      </c>
      <c r="C1300" s="6" t="s">
        <v>36</v>
      </c>
      <c r="D1300" s="6" t="s">
        <v>37</v>
      </c>
      <c r="E1300" s="6" t="s">
        <v>75</v>
      </c>
      <c r="F1300" s="6" t="s">
        <v>19</v>
      </c>
      <c r="G1300" s="6" t="s">
        <v>20</v>
      </c>
      <c r="H1300" s="6" t="s">
        <v>45</v>
      </c>
      <c r="I1300" s="6" t="s">
        <v>103</v>
      </c>
      <c r="J1300" s="6" t="s">
        <v>33</v>
      </c>
      <c r="K1300" s="6" t="s">
        <v>24</v>
      </c>
      <c r="L1300" s="6">
        <v>9</v>
      </c>
      <c r="M1300" s="7">
        <v>1599</v>
      </c>
      <c r="N1300" s="8">
        <v>0.2</v>
      </c>
      <c r="O1300" s="9">
        <v>920</v>
      </c>
    </row>
    <row r="1301" spans="1:15" ht="18" x14ac:dyDescent="0.35">
      <c r="A1301" s="4" t="s">
        <v>1408</v>
      </c>
      <c r="B1301" s="5">
        <v>45924</v>
      </c>
      <c r="C1301" s="6" t="s">
        <v>36</v>
      </c>
      <c r="D1301" s="6" t="s">
        <v>59</v>
      </c>
      <c r="E1301" s="6" t="s">
        <v>60</v>
      </c>
      <c r="F1301" s="6" t="s">
        <v>29</v>
      </c>
      <c r="G1301" s="6" t="s">
        <v>20</v>
      </c>
      <c r="H1301" s="6" t="s">
        <v>21</v>
      </c>
      <c r="I1301" s="6" t="s">
        <v>115</v>
      </c>
      <c r="J1301" s="6" t="s">
        <v>23</v>
      </c>
      <c r="K1301" s="6" t="s">
        <v>24</v>
      </c>
      <c r="L1301" s="6">
        <v>27</v>
      </c>
      <c r="M1301" s="7">
        <v>6499</v>
      </c>
      <c r="N1301" s="8">
        <v>0.2</v>
      </c>
      <c r="O1301" s="9">
        <v>4210</v>
      </c>
    </row>
    <row r="1302" spans="1:15" ht="18" x14ac:dyDescent="0.35">
      <c r="A1302" s="4" t="s">
        <v>1409</v>
      </c>
      <c r="B1302" s="5">
        <v>45924</v>
      </c>
      <c r="C1302" s="6" t="s">
        <v>36</v>
      </c>
      <c r="D1302" s="6" t="s">
        <v>121</v>
      </c>
      <c r="E1302" s="6" t="s">
        <v>60</v>
      </c>
      <c r="F1302" s="6" t="s">
        <v>19</v>
      </c>
      <c r="G1302" s="6" t="s">
        <v>70</v>
      </c>
      <c r="H1302" s="6" t="s">
        <v>71</v>
      </c>
      <c r="I1302" s="6" t="s">
        <v>88</v>
      </c>
      <c r="J1302" s="6" t="s">
        <v>23</v>
      </c>
      <c r="K1302" s="6" t="s">
        <v>24</v>
      </c>
      <c r="L1302" s="6">
        <v>16</v>
      </c>
      <c r="M1302" s="7">
        <v>999</v>
      </c>
      <c r="N1302" s="8">
        <v>0.15</v>
      </c>
      <c r="O1302" s="9">
        <v>540</v>
      </c>
    </row>
    <row r="1303" spans="1:15" ht="18" x14ac:dyDescent="0.35">
      <c r="A1303" s="4" t="s">
        <v>1410</v>
      </c>
      <c r="B1303" s="5">
        <v>45925</v>
      </c>
      <c r="C1303" s="6" t="s">
        <v>48</v>
      </c>
      <c r="D1303" s="6" t="s">
        <v>136</v>
      </c>
      <c r="E1303" s="6" t="s">
        <v>18</v>
      </c>
      <c r="F1303" s="6" t="s">
        <v>39</v>
      </c>
      <c r="G1303" s="6" t="s">
        <v>54</v>
      </c>
      <c r="H1303" s="6" t="s">
        <v>129</v>
      </c>
      <c r="I1303" s="6" t="s">
        <v>192</v>
      </c>
      <c r="J1303" s="6" t="s">
        <v>23</v>
      </c>
      <c r="K1303" s="6" t="s">
        <v>78</v>
      </c>
      <c r="L1303" s="6">
        <v>39</v>
      </c>
      <c r="M1303" s="7">
        <v>29010</v>
      </c>
      <c r="N1303" s="8">
        <v>0.18</v>
      </c>
      <c r="O1303" s="9">
        <v>19100</v>
      </c>
    </row>
    <row r="1304" spans="1:15" ht="18" x14ac:dyDescent="0.35">
      <c r="A1304" s="4" t="s">
        <v>1411</v>
      </c>
      <c r="B1304" s="5">
        <v>45925</v>
      </c>
      <c r="C1304" s="6" t="s">
        <v>26</v>
      </c>
      <c r="D1304" s="6" t="s">
        <v>53</v>
      </c>
      <c r="E1304" s="6" t="s">
        <v>75</v>
      </c>
      <c r="F1304" s="6" t="s">
        <v>39</v>
      </c>
      <c r="G1304" s="6" t="s">
        <v>30</v>
      </c>
      <c r="H1304" s="6" t="s">
        <v>31</v>
      </c>
      <c r="I1304" s="6" t="s">
        <v>85</v>
      </c>
      <c r="J1304" s="6" t="s">
        <v>23</v>
      </c>
      <c r="K1304" s="6" t="s">
        <v>24</v>
      </c>
      <c r="L1304" s="6">
        <v>5</v>
      </c>
      <c r="M1304" s="7">
        <v>43500</v>
      </c>
      <c r="N1304" s="8">
        <v>0.08</v>
      </c>
      <c r="O1304" s="9">
        <v>29520</v>
      </c>
    </row>
    <row r="1305" spans="1:15" ht="18" x14ac:dyDescent="0.35">
      <c r="A1305" s="4" t="s">
        <v>1412</v>
      </c>
      <c r="B1305" s="5">
        <v>45926</v>
      </c>
      <c r="C1305" s="6" t="s">
        <v>16</v>
      </c>
      <c r="D1305" s="6" t="s">
        <v>98</v>
      </c>
      <c r="E1305" s="6" t="s">
        <v>28</v>
      </c>
      <c r="F1305" s="6" t="s">
        <v>29</v>
      </c>
      <c r="G1305" s="6" t="s">
        <v>54</v>
      </c>
      <c r="H1305" s="6" t="s">
        <v>90</v>
      </c>
      <c r="I1305" s="6" t="s">
        <v>134</v>
      </c>
      <c r="J1305" s="6" t="s">
        <v>23</v>
      </c>
      <c r="K1305" s="6" t="s">
        <v>34</v>
      </c>
      <c r="L1305" s="6">
        <v>39</v>
      </c>
      <c r="M1305" s="7">
        <v>32800</v>
      </c>
      <c r="N1305" s="8">
        <v>0.18</v>
      </c>
      <c r="O1305" s="9">
        <v>23100</v>
      </c>
    </row>
    <row r="1306" spans="1:15" ht="18" x14ac:dyDescent="0.35">
      <c r="A1306" s="4" t="s">
        <v>1413</v>
      </c>
      <c r="B1306" s="5">
        <v>45926</v>
      </c>
      <c r="C1306" s="6" t="s">
        <v>82</v>
      </c>
      <c r="D1306" s="6" t="s">
        <v>87</v>
      </c>
      <c r="E1306" s="6" t="s">
        <v>60</v>
      </c>
      <c r="F1306" s="6" t="s">
        <v>39</v>
      </c>
      <c r="G1306" s="6" t="s">
        <v>30</v>
      </c>
      <c r="H1306" s="6" t="s">
        <v>31</v>
      </c>
      <c r="I1306" s="6" t="s">
        <v>85</v>
      </c>
      <c r="J1306" s="6" t="s">
        <v>23</v>
      </c>
      <c r="K1306" s="6" t="s">
        <v>24</v>
      </c>
      <c r="L1306" s="6">
        <v>34</v>
      </c>
      <c r="M1306" s="7">
        <v>43500</v>
      </c>
      <c r="N1306" s="8">
        <v>0.1</v>
      </c>
      <c r="O1306" s="9">
        <v>29520</v>
      </c>
    </row>
    <row r="1307" spans="1:15" ht="18" x14ac:dyDescent="0.35">
      <c r="A1307" s="4" t="s">
        <v>1414</v>
      </c>
      <c r="B1307" s="5">
        <v>45927</v>
      </c>
      <c r="C1307" s="6" t="s">
        <v>26</v>
      </c>
      <c r="D1307" s="6" t="s">
        <v>53</v>
      </c>
      <c r="E1307" s="6" t="s">
        <v>84</v>
      </c>
      <c r="F1307" s="6" t="s">
        <v>29</v>
      </c>
      <c r="G1307" s="6" t="s">
        <v>40</v>
      </c>
      <c r="H1307" s="6" t="s">
        <v>76</v>
      </c>
      <c r="I1307" s="6" t="s">
        <v>139</v>
      </c>
      <c r="J1307" s="6" t="s">
        <v>57</v>
      </c>
      <c r="K1307" s="6" t="s">
        <v>66</v>
      </c>
      <c r="L1307" s="6">
        <v>26</v>
      </c>
      <c r="M1307" s="7">
        <v>25999</v>
      </c>
      <c r="N1307" s="8">
        <v>0.05</v>
      </c>
      <c r="O1307" s="9">
        <v>17800</v>
      </c>
    </row>
    <row r="1308" spans="1:15" ht="18" x14ac:dyDescent="0.35">
      <c r="A1308" s="4" t="s">
        <v>1415</v>
      </c>
      <c r="B1308" s="5">
        <v>45927</v>
      </c>
      <c r="C1308" s="6" t="s">
        <v>82</v>
      </c>
      <c r="D1308" s="6" t="s">
        <v>87</v>
      </c>
      <c r="E1308" s="6" t="s">
        <v>50</v>
      </c>
      <c r="F1308" s="6" t="s">
        <v>19</v>
      </c>
      <c r="G1308" s="6" t="s">
        <v>54</v>
      </c>
      <c r="H1308" s="6" t="s">
        <v>129</v>
      </c>
      <c r="I1308" s="6" t="s">
        <v>192</v>
      </c>
      <c r="J1308" s="6" t="s">
        <v>57</v>
      </c>
      <c r="K1308" s="6" t="s">
        <v>24</v>
      </c>
      <c r="L1308" s="6">
        <v>39</v>
      </c>
      <c r="M1308" s="7">
        <v>29010</v>
      </c>
      <c r="N1308" s="8">
        <v>0.08</v>
      </c>
      <c r="O1308" s="9">
        <v>19100</v>
      </c>
    </row>
    <row r="1309" spans="1:15" ht="18" x14ac:dyDescent="0.35">
      <c r="A1309" s="4" t="s">
        <v>1416</v>
      </c>
      <c r="B1309" s="5">
        <v>45929</v>
      </c>
      <c r="C1309" s="6" t="s">
        <v>48</v>
      </c>
      <c r="D1309" s="6" t="s">
        <v>136</v>
      </c>
      <c r="E1309" s="6" t="s">
        <v>75</v>
      </c>
      <c r="F1309" s="6" t="s">
        <v>19</v>
      </c>
      <c r="G1309" s="6" t="s">
        <v>40</v>
      </c>
      <c r="H1309" s="6" t="s">
        <v>64</v>
      </c>
      <c r="I1309" s="6" t="s">
        <v>65</v>
      </c>
      <c r="J1309" s="6" t="s">
        <v>33</v>
      </c>
      <c r="K1309" s="6" t="s">
        <v>24</v>
      </c>
      <c r="L1309" s="6">
        <v>33</v>
      </c>
      <c r="M1309" s="7">
        <v>1930</v>
      </c>
      <c r="N1309" s="8">
        <v>0.2</v>
      </c>
      <c r="O1309" s="9">
        <v>1120</v>
      </c>
    </row>
    <row r="1310" spans="1:15" ht="18" x14ac:dyDescent="0.35">
      <c r="A1310" s="4" t="s">
        <v>1417</v>
      </c>
      <c r="B1310" s="5">
        <v>45929</v>
      </c>
      <c r="C1310" s="6" t="s">
        <v>36</v>
      </c>
      <c r="D1310" s="6" t="s">
        <v>121</v>
      </c>
      <c r="E1310" s="6" t="s">
        <v>50</v>
      </c>
      <c r="F1310" s="6" t="s">
        <v>39</v>
      </c>
      <c r="G1310" s="6" t="s">
        <v>70</v>
      </c>
      <c r="H1310" s="6" t="s">
        <v>71</v>
      </c>
      <c r="I1310" s="6" t="s">
        <v>88</v>
      </c>
      <c r="J1310" s="6" t="s">
        <v>57</v>
      </c>
      <c r="K1310" s="6" t="s">
        <v>78</v>
      </c>
      <c r="L1310" s="6">
        <v>15</v>
      </c>
      <c r="M1310" s="7">
        <v>999</v>
      </c>
      <c r="N1310" s="8">
        <v>0.18</v>
      </c>
      <c r="O1310" s="9">
        <v>540</v>
      </c>
    </row>
    <row r="1311" spans="1:15" ht="18" x14ac:dyDescent="0.35">
      <c r="A1311" s="4" t="s">
        <v>1418</v>
      </c>
      <c r="B1311" s="5">
        <v>45929</v>
      </c>
      <c r="C1311" s="6" t="s">
        <v>26</v>
      </c>
      <c r="D1311" s="6" t="s">
        <v>74</v>
      </c>
      <c r="E1311" s="6" t="s">
        <v>28</v>
      </c>
      <c r="F1311" s="6" t="s">
        <v>19</v>
      </c>
      <c r="G1311" s="6" t="s">
        <v>20</v>
      </c>
      <c r="H1311" s="6" t="s">
        <v>45</v>
      </c>
      <c r="I1311" s="6" t="s">
        <v>103</v>
      </c>
      <c r="J1311" s="6" t="s">
        <v>57</v>
      </c>
      <c r="K1311" s="6" t="s">
        <v>66</v>
      </c>
      <c r="L1311" s="6">
        <v>26</v>
      </c>
      <c r="M1311" s="7">
        <v>1599</v>
      </c>
      <c r="N1311" s="8">
        <v>0.08</v>
      </c>
      <c r="O1311" s="9">
        <v>920</v>
      </c>
    </row>
    <row r="1312" spans="1:15" ht="18" x14ac:dyDescent="0.35">
      <c r="A1312" s="4" t="s">
        <v>1419</v>
      </c>
      <c r="B1312" s="5">
        <v>45929</v>
      </c>
      <c r="C1312" s="6" t="s">
        <v>26</v>
      </c>
      <c r="D1312" s="6" t="s">
        <v>27</v>
      </c>
      <c r="E1312" s="6" t="s">
        <v>105</v>
      </c>
      <c r="F1312" s="6" t="s">
        <v>29</v>
      </c>
      <c r="G1312" s="6" t="s">
        <v>70</v>
      </c>
      <c r="H1312" s="6" t="s">
        <v>71</v>
      </c>
      <c r="I1312" s="6" t="s">
        <v>80</v>
      </c>
      <c r="J1312" s="6" t="s">
        <v>23</v>
      </c>
      <c r="K1312" s="6" t="s">
        <v>66</v>
      </c>
      <c r="L1312" s="6">
        <v>18</v>
      </c>
      <c r="M1312" s="7">
        <v>1299</v>
      </c>
      <c r="N1312" s="8">
        <v>0.15</v>
      </c>
      <c r="O1312" s="9">
        <v>720</v>
      </c>
    </row>
    <row r="1313" spans="1:15" ht="18" x14ac:dyDescent="0.35">
      <c r="A1313" s="4" t="s">
        <v>1420</v>
      </c>
      <c r="B1313" s="5">
        <v>45930</v>
      </c>
      <c r="C1313" s="6" t="s">
        <v>82</v>
      </c>
      <c r="D1313" s="6" t="s">
        <v>83</v>
      </c>
      <c r="E1313" s="6" t="s">
        <v>75</v>
      </c>
      <c r="F1313" s="6" t="s">
        <v>39</v>
      </c>
      <c r="G1313" s="6" t="s">
        <v>40</v>
      </c>
      <c r="H1313" s="6" t="s">
        <v>64</v>
      </c>
      <c r="I1313" s="6" t="s">
        <v>65</v>
      </c>
      <c r="J1313" s="6" t="s">
        <v>23</v>
      </c>
      <c r="K1313" s="6" t="s">
        <v>34</v>
      </c>
      <c r="L1313" s="6">
        <v>32</v>
      </c>
      <c r="M1313" s="7">
        <v>1930</v>
      </c>
      <c r="N1313" s="8">
        <v>0.18</v>
      </c>
      <c r="O1313" s="9">
        <v>1120</v>
      </c>
    </row>
    <row r="1314" spans="1:15" ht="18" x14ac:dyDescent="0.35">
      <c r="A1314" s="4" t="s">
        <v>1421</v>
      </c>
      <c r="B1314" s="5">
        <v>45930</v>
      </c>
      <c r="C1314" s="6" t="s">
        <v>16</v>
      </c>
      <c r="D1314" s="6" t="s">
        <v>126</v>
      </c>
      <c r="E1314" s="6" t="s">
        <v>38</v>
      </c>
      <c r="F1314" s="6" t="s">
        <v>19</v>
      </c>
      <c r="G1314" s="6" t="s">
        <v>20</v>
      </c>
      <c r="H1314" s="6" t="s">
        <v>21</v>
      </c>
      <c r="I1314" s="6" t="s">
        <v>51</v>
      </c>
      <c r="J1314" s="6" t="s">
        <v>57</v>
      </c>
      <c r="K1314" s="6" t="s">
        <v>24</v>
      </c>
      <c r="L1314" s="6">
        <v>32</v>
      </c>
      <c r="M1314" s="7">
        <v>5999</v>
      </c>
      <c r="N1314" s="8">
        <v>0.1</v>
      </c>
      <c r="O1314" s="9">
        <v>3890</v>
      </c>
    </row>
    <row r="1315" spans="1:15" ht="18" x14ac:dyDescent="0.35">
      <c r="A1315" s="4" t="s">
        <v>1422</v>
      </c>
      <c r="B1315" s="5">
        <v>45931</v>
      </c>
      <c r="C1315" s="6" t="s">
        <v>16</v>
      </c>
      <c r="D1315" s="6" t="s">
        <v>17</v>
      </c>
      <c r="E1315" s="6" t="s">
        <v>18</v>
      </c>
      <c r="F1315" s="6" t="s">
        <v>29</v>
      </c>
      <c r="G1315" s="6" t="s">
        <v>40</v>
      </c>
      <c r="H1315" s="6" t="s">
        <v>64</v>
      </c>
      <c r="I1315" s="6" t="s">
        <v>153</v>
      </c>
      <c r="J1315" s="6" t="s">
        <v>57</v>
      </c>
      <c r="K1315" s="6" t="s">
        <v>66</v>
      </c>
      <c r="L1315" s="6">
        <v>7</v>
      </c>
      <c r="M1315" s="7">
        <v>4490</v>
      </c>
      <c r="N1315" s="8">
        <v>0.12</v>
      </c>
      <c r="O1315" s="9">
        <v>2950</v>
      </c>
    </row>
    <row r="1316" spans="1:15" ht="18" x14ac:dyDescent="0.35">
      <c r="A1316" s="4" t="s">
        <v>1423</v>
      </c>
      <c r="B1316" s="5">
        <v>45931</v>
      </c>
      <c r="C1316" s="6" t="s">
        <v>48</v>
      </c>
      <c r="D1316" s="6" t="s">
        <v>136</v>
      </c>
      <c r="E1316" s="6" t="s">
        <v>75</v>
      </c>
      <c r="F1316" s="6" t="s">
        <v>19</v>
      </c>
      <c r="G1316" s="6" t="s">
        <v>54</v>
      </c>
      <c r="H1316" s="6" t="s">
        <v>55</v>
      </c>
      <c r="I1316" s="6" t="s">
        <v>108</v>
      </c>
      <c r="J1316" s="6" t="s">
        <v>23</v>
      </c>
      <c r="K1316" s="6" t="s">
        <v>34</v>
      </c>
      <c r="L1316" s="6">
        <v>6</v>
      </c>
      <c r="M1316" s="7">
        <v>5890</v>
      </c>
      <c r="N1316" s="8">
        <v>0.2</v>
      </c>
      <c r="O1316" s="9">
        <v>3980</v>
      </c>
    </row>
    <row r="1317" spans="1:15" ht="18" x14ac:dyDescent="0.35">
      <c r="A1317" s="4" t="s">
        <v>1424</v>
      </c>
      <c r="B1317" s="5">
        <v>45931</v>
      </c>
      <c r="C1317" s="6" t="s">
        <v>36</v>
      </c>
      <c r="D1317" s="6" t="s">
        <v>121</v>
      </c>
      <c r="E1317" s="6" t="s">
        <v>69</v>
      </c>
      <c r="F1317" s="6" t="s">
        <v>39</v>
      </c>
      <c r="G1317" s="6" t="s">
        <v>40</v>
      </c>
      <c r="H1317" s="6" t="s">
        <v>41</v>
      </c>
      <c r="I1317" s="6" t="s">
        <v>42</v>
      </c>
      <c r="J1317" s="6" t="s">
        <v>33</v>
      </c>
      <c r="K1317" s="6" t="s">
        <v>78</v>
      </c>
      <c r="L1317" s="6">
        <v>19</v>
      </c>
      <c r="M1317" s="7">
        <v>55230</v>
      </c>
      <c r="N1317" s="8">
        <v>0.18</v>
      </c>
      <c r="O1317" s="9">
        <v>33800</v>
      </c>
    </row>
    <row r="1318" spans="1:15" ht="18" x14ac:dyDescent="0.35">
      <c r="A1318" s="4" t="s">
        <v>1425</v>
      </c>
      <c r="B1318" s="5">
        <v>45931</v>
      </c>
      <c r="C1318" s="6" t="s">
        <v>36</v>
      </c>
      <c r="D1318" s="6" t="s">
        <v>59</v>
      </c>
      <c r="E1318" s="6" t="s">
        <v>101</v>
      </c>
      <c r="F1318" s="6" t="s">
        <v>29</v>
      </c>
      <c r="G1318" s="6" t="s">
        <v>30</v>
      </c>
      <c r="H1318" s="6" t="s">
        <v>31</v>
      </c>
      <c r="I1318" s="6" t="s">
        <v>106</v>
      </c>
      <c r="J1318" s="6" t="s">
        <v>33</v>
      </c>
      <c r="K1318" s="6" t="s">
        <v>24</v>
      </c>
      <c r="L1318" s="6">
        <v>15</v>
      </c>
      <c r="M1318" s="7">
        <v>52990</v>
      </c>
      <c r="N1318" s="8">
        <v>0.05</v>
      </c>
      <c r="O1318" s="9">
        <v>35100</v>
      </c>
    </row>
    <row r="1319" spans="1:15" ht="18" x14ac:dyDescent="0.35">
      <c r="A1319" s="4" t="s">
        <v>1426</v>
      </c>
      <c r="B1319" s="5">
        <v>45932</v>
      </c>
      <c r="C1319" s="6" t="s">
        <v>16</v>
      </c>
      <c r="D1319" s="6" t="s">
        <v>111</v>
      </c>
      <c r="E1319" s="6" t="s">
        <v>75</v>
      </c>
      <c r="F1319" s="6" t="s">
        <v>29</v>
      </c>
      <c r="G1319" s="6" t="s">
        <v>54</v>
      </c>
      <c r="H1319" s="6" t="s">
        <v>90</v>
      </c>
      <c r="I1319" s="6" t="s">
        <v>258</v>
      </c>
      <c r="J1319" s="6" t="s">
        <v>23</v>
      </c>
      <c r="K1319" s="6" t="s">
        <v>34</v>
      </c>
      <c r="L1319" s="6">
        <v>7</v>
      </c>
      <c r="M1319" s="7">
        <v>29010</v>
      </c>
      <c r="N1319" s="8">
        <v>0.18</v>
      </c>
      <c r="O1319" s="9">
        <v>19150</v>
      </c>
    </row>
    <row r="1320" spans="1:15" ht="18" x14ac:dyDescent="0.35">
      <c r="A1320" s="4" t="s">
        <v>1427</v>
      </c>
      <c r="B1320" s="5">
        <v>45932</v>
      </c>
      <c r="C1320" s="6" t="s">
        <v>48</v>
      </c>
      <c r="D1320" s="6" t="s">
        <v>136</v>
      </c>
      <c r="E1320" s="6" t="s">
        <v>101</v>
      </c>
      <c r="F1320" s="6" t="s">
        <v>29</v>
      </c>
      <c r="G1320" s="6" t="s">
        <v>20</v>
      </c>
      <c r="H1320" s="6" t="s">
        <v>45</v>
      </c>
      <c r="I1320" s="6" t="s">
        <v>103</v>
      </c>
      <c r="J1320" s="6" t="s">
        <v>57</v>
      </c>
      <c r="K1320" s="6" t="s">
        <v>24</v>
      </c>
      <c r="L1320" s="6">
        <v>28</v>
      </c>
      <c r="M1320" s="7">
        <v>1599</v>
      </c>
      <c r="N1320" s="8">
        <v>0.08</v>
      </c>
      <c r="O1320" s="9">
        <v>920</v>
      </c>
    </row>
    <row r="1321" spans="1:15" ht="18" x14ac:dyDescent="0.35">
      <c r="A1321" s="4" t="s">
        <v>1428</v>
      </c>
      <c r="B1321" s="5">
        <v>45933</v>
      </c>
      <c r="C1321" s="6" t="s">
        <v>82</v>
      </c>
      <c r="D1321" s="6" t="s">
        <v>87</v>
      </c>
      <c r="E1321" s="6" t="s">
        <v>28</v>
      </c>
      <c r="F1321" s="6" t="s">
        <v>39</v>
      </c>
      <c r="G1321" s="6" t="s">
        <v>20</v>
      </c>
      <c r="H1321" s="6" t="s">
        <v>45</v>
      </c>
      <c r="I1321" s="6" t="s">
        <v>196</v>
      </c>
      <c r="J1321" s="6" t="s">
        <v>33</v>
      </c>
      <c r="K1321" s="6" t="s">
        <v>24</v>
      </c>
      <c r="L1321" s="6">
        <v>21</v>
      </c>
      <c r="M1321" s="7">
        <v>2499</v>
      </c>
      <c r="N1321" s="8">
        <v>0.05</v>
      </c>
      <c r="O1321" s="9">
        <v>1510</v>
      </c>
    </row>
    <row r="1322" spans="1:15" ht="18" x14ac:dyDescent="0.35">
      <c r="A1322" s="4" t="s">
        <v>1429</v>
      </c>
      <c r="B1322" s="5">
        <v>45933</v>
      </c>
      <c r="C1322" s="6" t="s">
        <v>82</v>
      </c>
      <c r="D1322" s="6" t="s">
        <v>183</v>
      </c>
      <c r="E1322" s="6" t="s">
        <v>105</v>
      </c>
      <c r="F1322" s="6" t="s">
        <v>39</v>
      </c>
      <c r="G1322" s="6" t="s">
        <v>20</v>
      </c>
      <c r="H1322" s="6" t="s">
        <v>21</v>
      </c>
      <c r="I1322" s="6" t="s">
        <v>115</v>
      </c>
      <c r="J1322" s="6" t="s">
        <v>33</v>
      </c>
      <c r="K1322" s="6" t="s">
        <v>24</v>
      </c>
      <c r="L1322" s="6">
        <v>24</v>
      </c>
      <c r="M1322" s="7">
        <v>6499</v>
      </c>
      <c r="N1322" s="8">
        <v>0.2</v>
      </c>
      <c r="O1322" s="9">
        <v>4210</v>
      </c>
    </row>
    <row r="1323" spans="1:15" ht="18" x14ac:dyDescent="0.35">
      <c r="A1323" s="4" t="s">
        <v>1430</v>
      </c>
      <c r="B1323" s="5">
        <v>45933</v>
      </c>
      <c r="C1323" s="6" t="s">
        <v>26</v>
      </c>
      <c r="D1323" s="6" t="s">
        <v>74</v>
      </c>
      <c r="E1323" s="6" t="s">
        <v>18</v>
      </c>
      <c r="F1323" s="6" t="s">
        <v>19</v>
      </c>
      <c r="G1323" s="6" t="s">
        <v>70</v>
      </c>
      <c r="H1323" s="6" t="s">
        <v>71</v>
      </c>
      <c r="I1323" s="6" t="s">
        <v>80</v>
      </c>
      <c r="J1323" s="6" t="s">
        <v>33</v>
      </c>
      <c r="K1323" s="6" t="s">
        <v>24</v>
      </c>
      <c r="L1323" s="6">
        <v>22</v>
      </c>
      <c r="M1323" s="7">
        <v>1299</v>
      </c>
      <c r="N1323" s="8">
        <v>0.1</v>
      </c>
      <c r="O1323" s="9">
        <v>720</v>
      </c>
    </row>
    <row r="1324" spans="1:15" ht="18" x14ac:dyDescent="0.35">
      <c r="A1324" s="4" t="s">
        <v>1431</v>
      </c>
      <c r="B1324" s="5">
        <v>45934</v>
      </c>
      <c r="C1324" s="6" t="s">
        <v>26</v>
      </c>
      <c r="D1324" s="6" t="s">
        <v>53</v>
      </c>
      <c r="E1324" s="6" t="s">
        <v>101</v>
      </c>
      <c r="F1324" s="6" t="s">
        <v>29</v>
      </c>
      <c r="G1324" s="6" t="s">
        <v>40</v>
      </c>
      <c r="H1324" s="6" t="s">
        <v>64</v>
      </c>
      <c r="I1324" s="6" t="s">
        <v>159</v>
      </c>
      <c r="J1324" s="6" t="s">
        <v>57</v>
      </c>
      <c r="K1324" s="6" t="s">
        <v>66</v>
      </c>
      <c r="L1324" s="6">
        <v>9</v>
      </c>
      <c r="M1324" s="7">
        <v>3299</v>
      </c>
      <c r="N1324" s="8">
        <v>0.15</v>
      </c>
      <c r="O1324" s="9">
        <v>2050</v>
      </c>
    </row>
    <row r="1325" spans="1:15" ht="18" x14ac:dyDescent="0.35">
      <c r="A1325" s="4" t="s">
        <v>1432</v>
      </c>
      <c r="B1325" s="5">
        <v>45934</v>
      </c>
      <c r="C1325" s="6" t="s">
        <v>36</v>
      </c>
      <c r="D1325" s="6" t="s">
        <v>37</v>
      </c>
      <c r="E1325" s="6" t="s">
        <v>60</v>
      </c>
      <c r="F1325" s="6" t="s">
        <v>39</v>
      </c>
      <c r="G1325" s="6" t="s">
        <v>30</v>
      </c>
      <c r="H1325" s="6" t="s">
        <v>61</v>
      </c>
      <c r="I1325" s="6" t="s">
        <v>96</v>
      </c>
      <c r="J1325" s="6" t="s">
        <v>57</v>
      </c>
      <c r="K1325" s="6" t="s">
        <v>24</v>
      </c>
      <c r="L1325" s="6">
        <v>4</v>
      </c>
      <c r="M1325" s="7">
        <v>25110</v>
      </c>
      <c r="N1325" s="8">
        <v>0.15</v>
      </c>
      <c r="O1325" s="9">
        <v>16730</v>
      </c>
    </row>
    <row r="1326" spans="1:15" ht="18" x14ac:dyDescent="0.35">
      <c r="A1326" s="4" t="s">
        <v>1433</v>
      </c>
      <c r="B1326" s="5">
        <v>45934</v>
      </c>
      <c r="C1326" s="6" t="s">
        <v>82</v>
      </c>
      <c r="D1326" s="6" t="s">
        <v>83</v>
      </c>
      <c r="E1326" s="6" t="s">
        <v>60</v>
      </c>
      <c r="F1326" s="6" t="s">
        <v>29</v>
      </c>
      <c r="G1326" s="6" t="s">
        <v>54</v>
      </c>
      <c r="H1326" s="6" t="s">
        <v>129</v>
      </c>
      <c r="I1326" s="6" t="s">
        <v>130</v>
      </c>
      <c r="J1326" s="6" t="s">
        <v>33</v>
      </c>
      <c r="K1326" s="6" t="s">
        <v>24</v>
      </c>
      <c r="L1326" s="6">
        <v>39</v>
      </c>
      <c r="M1326" s="7">
        <v>27890</v>
      </c>
      <c r="N1326" s="8">
        <v>0.05</v>
      </c>
      <c r="O1326" s="9">
        <v>18800</v>
      </c>
    </row>
    <row r="1327" spans="1:15" ht="18" x14ac:dyDescent="0.35">
      <c r="A1327" s="4" t="s">
        <v>1434</v>
      </c>
      <c r="B1327" s="5">
        <v>45934</v>
      </c>
      <c r="C1327" s="6" t="s">
        <v>82</v>
      </c>
      <c r="D1327" s="6" t="s">
        <v>83</v>
      </c>
      <c r="E1327" s="6" t="s">
        <v>84</v>
      </c>
      <c r="F1327" s="6" t="s">
        <v>19</v>
      </c>
      <c r="G1327" s="6" t="s">
        <v>40</v>
      </c>
      <c r="H1327" s="6" t="s">
        <v>41</v>
      </c>
      <c r="I1327" s="6" t="s">
        <v>119</v>
      </c>
      <c r="J1327" s="6" t="s">
        <v>57</v>
      </c>
      <c r="K1327" s="6" t="s">
        <v>24</v>
      </c>
      <c r="L1327" s="6">
        <v>40</v>
      </c>
      <c r="M1327" s="7">
        <v>48990</v>
      </c>
      <c r="N1327" s="8">
        <v>0.15</v>
      </c>
      <c r="O1327" s="9">
        <v>30100</v>
      </c>
    </row>
    <row r="1328" spans="1:15" ht="18" x14ac:dyDescent="0.35">
      <c r="A1328" s="4" t="s">
        <v>1435</v>
      </c>
      <c r="B1328" s="5">
        <v>45935</v>
      </c>
      <c r="C1328" s="6" t="s">
        <v>26</v>
      </c>
      <c r="D1328" s="6" t="s">
        <v>74</v>
      </c>
      <c r="E1328" s="6" t="s">
        <v>18</v>
      </c>
      <c r="F1328" s="6" t="s">
        <v>29</v>
      </c>
      <c r="G1328" s="6" t="s">
        <v>40</v>
      </c>
      <c r="H1328" s="6" t="s">
        <v>76</v>
      </c>
      <c r="I1328" s="6" t="s">
        <v>77</v>
      </c>
      <c r="J1328" s="6" t="s">
        <v>57</v>
      </c>
      <c r="K1328" s="6" t="s">
        <v>24</v>
      </c>
      <c r="L1328" s="6">
        <v>16</v>
      </c>
      <c r="M1328" s="7">
        <v>52990</v>
      </c>
      <c r="N1328" s="8">
        <v>0.2</v>
      </c>
      <c r="O1328" s="9">
        <v>39500</v>
      </c>
    </row>
    <row r="1329" spans="1:15" ht="18" x14ac:dyDescent="0.35">
      <c r="A1329" s="4" t="s">
        <v>1436</v>
      </c>
      <c r="B1329" s="5">
        <v>45935</v>
      </c>
      <c r="C1329" s="6" t="s">
        <v>82</v>
      </c>
      <c r="D1329" s="6" t="s">
        <v>183</v>
      </c>
      <c r="E1329" s="6" t="s">
        <v>50</v>
      </c>
      <c r="F1329" s="6" t="s">
        <v>19</v>
      </c>
      <c r="G1329" s="6" t="s">
        <v>70</v>
      </c>
      <c r="H1329" s="6" t="s">
        <v>71</v>
      </c>
      <c r="I1329" s="6" t="s">
        <v>88</v>
      </c>
      <c r="J1329" s="6" t="s">
        <v>57</v>
      </c>
      <c r="K1329" s="6" t="s">
        <v>66</v>
      </c>
      <c r="L1329" s="6">
        <v>39</v>
      </c>
      <c r="M1329" s="7">
        <v>999</v>
      </c>
      <c r="N1329" s="8">
        <v>0.1</v>
      </c>
      <c r="O1329" s="9">
        <v>540</v>
      </c>
    </row>
    <row r="1330" spans="1:15" ht="18" x14ac:dyDescent="0.35">
      <c r="A1330" s="4" t="s">
        <v>1437</v>
      </c>
      <c r="B1330" s="5">
        <v>45936</v>
      </c>
      <c r="C1330" s="6" t="s">
        <v>36</v>
      </c>
      <c r="D1330" s="6" t="s">
        <v>121</v>
      </c>
      <c r="E1330" s="6" t="s">
        <v>50</v>
      </c>
      <c r="F1330" s="6" t="s">
        <v>29</v>
      </c>
      <c r="G1330" s="6" t="s">
        <v>54</v>
      </c>
      <c r="H1330" s="6" t="s">
        <v>129</v>
      </c>
      <c r="I1330" s="6" t="s">
        <v>145</v>
      </c>
      <c r="J1330" s="6" t="s">
        <v>33</v>
      </c>
      <c r="K1330" s="6" t="s">
        <v>34</v>
      </c>
      <c r="L1330" s="6">
        <v>8</v>
      </c>
      <c r="M1330" s="7">
        <v>31490</v>
      </c>
      <c r="N1330" s="8">
        <v>0.15</v>
      </c>
      <c r="O1330" s="9">
        <v>21300</v>
      </c>
    </row>
    <row r="1331" spans="1:15" ht="18" x14ac:dyDescent="0.35">
      <c r="A1331" s="4" t="s">
        <v>1438</v>
      </c>
      <c r="B1331" s="5">
        <v>45937</v>
      </c>
      <c r="C1331" s="6" t="s">
        <v>48</v>
      </c>
      <c r="D1331" s="6" t="s">
        <v>136</v>
      </c>
      <c r="E1331" s="6" t="s">
        <v>28</v>
      </c>
      <c r="F1331" s="6" t="s">
        <v>29</v>
      </c>
      <c r="G1331" s="6" t="s">
        <v>30</v>
      </c>
      <c r="H1331" s="6" t="s">
        <v>61</v>
      </c>
      <c r="I1331" s="6" t="s">
        <v>186</v>
      </c>
      <c r="J1331" s="6" t="s">
        <v>33</v>
      </c>
      <c r="K1331" s="6" t="s">
        <v>24</v>
      </c>
      <c r="L1331" s="6">
        <v>33</v>
      </c>
      <c r="M1331" s="7">
        <v>6999</v>
      </c>
      <c r="N1331" s="8">
        <v>0.15</v>
      </c>
      <c r="O1331" s="9">
        <v>4320</v>
      </c>
    </row>
    <row r="1332" spans="1:15" ht="18" x14ac:dyDescent="0.35">
      <c r="A1332" s="4" t="s">
        <v>1439</v>
      </c>
      <c r="B1332" s="5">
        <v>45937</v>
      </c>
      <c r="C1332" s="6" t="s">
        <v>36</v>
      </c>
      <c r="D1332" s="6" t="s">
        <v>59</v>
      </c>
      <c r="E1332" s="6" t="s">
        <v>105</v>
      </c>
      <c r="F1332" s="6" t="s">
        <v>19</v>
      </c>
      <c r="G1332" s="6" t="s">
        <v>30</v>
      </c>
      <c r="H1332" s="6" t="s">
        <v>31</v>
      </c>
      <c r="I1332" s="6" t="s">
        <v>32</v>
      </c>
      <c r="J1332" s="6" t="s">
        <v>57</v>
      </c>
      <c r="K1332" s="6" t="s">
        <v>24</v>
      </c>
      <c r="L1332" s="6">
        <v>32</v>
      </c>
      <c r="M1332" s="7">
        <v>38990</v>
      </c>
      <c r="N1332" s="8">
        <v>0.1</v>
      </c>
      <c r="O1332" s="9">
        <v>25400</v>
      </c>
    </row>
    <row r="1333" spans="1:15" ht="18" x14ac:dyDescent="0.35">
      <c r="A1333" s="4" t="s">
        <v>1440</v>
      </c>
      <c r="B1333" s="5">
        <v>45938</v>
      </c>
      <c r="C1333" s="6" t="s">
        <v>26</v>
      </c>
      <c r="D1333" s="6" t="s">
        <v>53</v>
      </c>
      <c r="E1333" s="6" t="s">
        <v>69</v>
      </c>
      <c r="F1333" s="6" t="s">
        <v>29</v>
      </c>
      <c r="G1333" s="6" t="s">
        <v>30</v>
      </c>
      <c r="H1333" s="6" t="s">
        <v>61</v>
      </c>
      <c r="I1333" s="6" t="s">
        <v>186</v>
      </c>
      <c r="J1333" s="6" t="s">
        <v>33</v>
      </c>
      <c r="K1333" s="6" t="s">
        <v>34</v>
      </c>
      <c r="L1333" s="6">
        <v>3</v>
      </c>
      <c r="M1333" s="7">
        <v>6999</v>
      </c>
      <c r="N1333" s="8">
        <v>0.08</v>
      </c>
      <c r="O1333" s="9">
        <v>4320</v>
      </c>
    </row>
    <row r="1334" spans="1:15" ht="18" x14ac:dyDescent="0.35">
      <c r="A1334" s="4" t="s">
        <v>1441</v>
      </c>
      <c r="B1334" s="5">
        <v>45941</v>
      </c>
      <c r="C1334" s="6" t="s">
        <v>82</v>
      </c>
      <c r="D1334" s="6" t="s">
        <v>100</v>
      </c>
      <c r="E1334" s="6" t="s">
        <v>28</v>
      </c>
      <c r="F1334" s="6" t="s">
        <v>39</v>
      </c>
      <c r="G1334" s="6" t="s">
        <v>70</v>
      </c>
      <c r="H1334" s="6" t="s">
        <v>71</v>
      </c>
      <c r="I1334" s="6" t="s">
        <v>80</v>
      </c>
      <c r="J1334" s="6" t="s">
        <v>57</v>
      </c>
      <c r="K1334" s="6" t="s">
        <v>24</v>
      </c>
      <c r="L1334" s="6">
        <v>21</v>
      </c>
      <c r="M1334" s="7">
        <v>1299</v>
      </c>
      <c r="N1334" s="8">
        <v>0.12</v>
      </c>
      <c r="O1334" s="9">
        <v>720</v>
      </c>
    </row>
    <row r="1335" spans="1:15" ht="18" x14ac:dyDescent="0.35">
      <c r="A1335" s="4" t="s">
        <v>1442</v>
      </c>
      <c r="B1335" s="5">
        <v>45941</v>
      </c>
      <c r="C1335" s="6" t="s">
        <v>48</v>
      </c>
      <c r="D1335" s="6" t="s">
        <v>49</v>
      </c>
      <c r="E1335" s="6" t="s">
        <v>18</v>
      </c>
      <c r="F1335" s="6" t="s">
        <v>29</v>
      </c>
      <c r="G1335" s="6" t="s">
        <v>30</v>
      </c>
      <c r="H1335" s="6" t="s">
        <v>61</v>
      </c>
      <c r="I1335" s="6" t="s">
        <v>96</v>
      </c>
      <c r="J1335" s="6" t="s">
        <v>57</v>
      </c>
      <c r="K1335" s="6" t="s">
        <v>66</v>
      </c>
      <c r="L1335" s="6">
        <v>12</v>
      </c>
      <c r="M1335" s="7">
        <v>25110</v>
      </c>
      <c r="N1335" s="8">
        <v>0.1</v>
      </c>
      <c r="O1335" s="9">
        <v>16730</v>
      </c>
    </row>
    <row r="1336" spans="1:15" ht="18" x14ac:dyDescent="0.35">
      <c r="A1336" s="4" t="s">
        <v>1443</v>
      </c>
      <c r="B1336" s="5">
        <v>45943</v>
      </c>
      <c r="C1336" s="6" t="s">
        <v>48</v>
      </c>
      <c r="D1336" s="6" t="s">
        <v>93</v>
      </c>
      <c r="E1336" s="6" t="s">
        <v>60</v>
      </c>
      <c r="F1336" s="6" t="s">
        <v>29</v>
      </c>
      <c r="G1336" s="6" t="s">
        <v>40</v>
      </c>
      <c r="H1336" s="6" t="s">
        <v>41</v>
      </c>
      <c r="I1336" s="6" t="s">
        <v>119</v>
      </c>
      <c r="J1336" s="6" t="s">
        <v>33</v>
      </c>
      <c r="K1336" s="6" t="s">
        <v>34</v>
      </c>
      <c r="L1336" s="6">
        <v>38</v>
      </c>
      <c r="M1336" s="7">
        <v>48990</v>
      </c>
      <c r="N1336" s="8">
        <v>0.18</v>
      </c>
      <c r="O1336" s="9">
        <v>30100</v>
      </c>
    </row>
    <row r="1337" spans="1:15" ht="18" x14ac:dyDescent="0.35">
      <c r="A1337" s="4" t="s">
        <v>1444</v>
      </c>
      <c r="B1337" s="5">
        <v>45944</v>
      </c>
      <c r="C1337" s="6" t="s">
        <v>26</v>
      </c>
      <c r="D1337" s="6" t="s">
        <v>53</v>
      </c>
      <c r="E1337" s="6" t="s">
        <v>28</v>
      </c>
      <c r="F1337" s="6" t="s">
        <v>29</v>
      </c>
      <c r="G1337" s="6" t="s">
        <v>20</v>
      </c>
      <c r="H1337" s="6" t="s">
        <v>21</v>
      </c>
      <c r="I1337" s="6" t="s">
        <v>51</v>
      </c>
      <c r="J1337" s="6" t="s">
        <v>23</v>
      </c>
      <c r="K1337" s="6" t="s">
        <v>78</v>
      </c>
      <c r="L1337" s="6">
        <v>26</v>
      </c>
      <c r="M1337" s="7">
        <v>5999</v>
      </c>
      <c r="N1337" s="8">
        <v>0.15</v>
      </c>
      <c r="O1337" s="9">
        <v>3890</v>
      </c>
    </row>
    <row r="1338" spans="1:15" ht="18" x14ac:dyDescent="0.35">
      <c r="A1338" s="4" t="s">
        <v>1445</v>
      </c>
      <c r="B1338" s="5">
        <v>45945</v>
      </c>
      <c r="C1338" s="6" t="s">
        <v>16</v>
      </c>
      <c r="D1338" s="6" t="s">
        <v>111</v>
      </c>
      <c r="E1338" s="6" t="s">
        <v>50</v>
      </c>
      <c r="F1338" s="6" t="s">
        <v>19</v>
      </c>
      <c r="G1338" s="6" t="s">
        <v>20</v>
      </c>
      <c r="H1338" s="6" t="s">
        <v>45</v>
      </c>
      <c r="I1338" s="6" t="s">
        <v>196</v>
      </c>
      <c r="J1338" s="6" t="s">
        <v>33</v>
      </c>
      <c r="K1338" s="6" t="s">
        <v>24</v>
      </c>
      <c r="L1338" s="6">
        <v>20</v>
      </c>
      <c r="M1338" s="7">
        <v>2499</v>
      </c>
      <c r="N1338" s="8">
        <v>0.05</v>
      </c>
      <c r="O1338" s="9">
        <v>1510</v>
      </c>
    </row>
    <row r="1339" spans="1:15" ht="18" x14ac:dyDescent="0.35">
      <c r="A1339" s="4" t="s">
        <v>1446</v>
      </c>
      <c r="B1339" s="5">
        <v>45946</v>
      </c>
      <c r="C1339" s="6" t="s">
        <v>16</v>
      </c>
      <c r="D1339" s="6" t="s">
        <v>17</v>
      </c>
      <c r="E1339" s="6" t="s">
        <v>38</v>
      </c>
      <c r="F1339" s="6" t="s">
        <v>29</v>
      </c>
      <c r="G1339" s="6" t="s">
        <v>40</v>
      </c>
      <c r="H1339" s="6" t="s">
        <v>41</v>
      </c>
      <c r="I1339" s="6" t="s">
        <v>42</v>
      </c>
      <c r="J1339" s="6" t="s">
        <v>33</v>
      </c>
      <c r="K1339" s="6" t="s">
        <v>78</v>
      </c>
      <c r="L1339" s="6">
        <v>37</v>
      </c>
      <c r="M1339" s="7">
        <v>55230</v>
      </c>
      <c r="N1339" s="8">
        <v>0.05</v>
      </c>
      <c r="O1339" s="9">
        <v>33800</v>
      </c>
    </row>
    <row r="1340" spans="1:15" ht="18" x14ac:dyDescent="0.35">
      <c r="A1340" s="4" t="s">
        <v>1447</v>
      </c>
      <c r="B1340" s="5">
        <v>45946</v>
      </c>
      <c r="C1340" s="6" t="s">
        <v>82</v>
      </c>
      <c r="D1340" s="6" t="s">
        <v>83</v>
      </c>
      <c r="E1340" s="6" t="s">
        <v>38</v>
      </c>
      <c r="F1340" s="6" t="s">
        <v>19</v>
      </c>
      <c r="G1340" s="6" t="s">
        <v>70</v>
      </c>
      <c r="H1340" s="6" t="s">
        <v>71</v>
      </c>
      <c r="I1340" s="6" t="s">
        <v>80</v>
      </c>
      <c r="J1340" s="6" t="s">
        <v>23</v>
      </c>
      <c r="K1340" s="6" t="s">
        <v>24</v>
      </c>
      <c r="L1340" s="6">
        <v>23</v>
      </c>
      <c r="M1340" s="7">
        <v>1299</v>
      </c>
      <c r="N1340" s="8">
        <v>0.18</v>
      </c>
      <c r="O1340" s="9">
        <v>720</v>
      </c>
    </row>
    <row r="1341" spans="1:15" ht="18" x14ac:dyDescent="0.35">
      <c r="A1341" s="4" t="s">
        <v>1448</v>
      </c>
      <c r="B1341" s="5">
        <v>45946</v>
      </c>
      <c r="C1341" s="6" t="s">
        <v>16</v>
      </c>
      <c r="D1341" s="6" t="s">
        <v>98</v>
      </c>
      <c r="E1341" s="6" t="s">
        <v>84</v>
      </c>
      <c r="F1341" s="6" t="s">
        <v>39</v>
      </c>
      <c r="G1341" s="6" t="s">
        <v>54</v>
      </c>
      <c r="H1341" s="6" t="s">
        <v>90</v>
      </c>
      <c r="I1341" s="6" t="s">
        <v>134</v>
      </c>
      <c r="J1341" s="6" t="s">
        <v>57</v>
      </c>
      <c r="K1341" s="6" t="s">
        <v>78</v>
      </c>
      <c r="L1341" s="6">
        <v>21</v>
      </c>
      <c r="M1341" s="7">
        <v>32800</v>
      </c>
      <c r="N1341" s="8">
        <v>0.1</v>
      </c>
      <c r="O1341" s="9">
        <v>23100</v>
      </c>
    </row>
    <row r="1342" spans="1:15" ht="18" x14ac:dyDescent="0.35">
      <c r="A1342" s="4" t="s">
        <v>1449</v>
      </c>
      <c r="B1342" s="5">
        <v>45946</v>
      </c>
      <c r="C1342" s="6" t="s">
        <v>48</v>
      </c>
      <c r="D1342" s="6" t="s">
        <v>68</v>
      </c>
      <c r="E1342" s="6" t="s">
        <v>75</v>
      </c>
      <c r="F1342" s="6" t="s">
        <v>19</v>
      </c>
      <c r="G1342" s="6" t="s">
        <v>70</v>
      </c>
      <c r="H1342" s="6" t="s">
        <v>71</v>
      </c>
      <c r="I1342" s="6" t="s">
        <v>88</v>
      </c>
      <c r="J1342" s="6" t="s">
        <v>33</v>
      </c>
      <c r="K1342" s="6" t="s">
        <v>66</v>
      </c>
      <c r="L1342" s="6">
        <v>21</v>
      </c>
      <c r="M1342" s="7">
        <v>999</v>
      </c>
      <c r="N1342" s="8">
        <v>0.15</v>
      </c>
      <c r="O1342" s="9">
        <v>540</v>
      </c>
    </row>
    <row r="1343" spans="1:15" ht="18" x14ac:dyDescent="0.35">
      <c r="A1343" s="4" t="s">
        <v>1450</v>
      </c>
      <c r="B1343" s="5">
        <v>45947</v>
      </c>
      <c r="C1343" s="6" t="s">
        <v>48</v>
      </c>
      <c r="D1343" s="6" t="s">
        <v>136</v>
      </c>
      <c r="E1343" s="6" t="s">
        <v>50</v>
      </c>
      <c r="F1343" s="6" t="s">
        <v>19</v>
      </c>
      <c r="G1343" s="6" t="s">
        <v>54</v>
      </c>
      <c r="H1343" s="6" t="s">
        <v>129</v>
      </c>
      <c r="I1343" s="6" t="s">
        <v>130</v>
      </c>
      <c r="J1343" s="6" t="s">
        <v>57</v>
      </c>
      <c r="K1343" s="6" t="s">
        <v>24</v>
      </c>
      <c r="L1343" s="6">
        <v>40</v>
      </c>
      <c r="M1343" s="7">
        <v>27890</v>
      </c>
      <c r="N1343" s="8">
        <v>0.15</v>
      </c>
      <c r="O1343" s="9">
        <v>18800</v>
      </c>
    </row>
    <row r="1344" spans="1:15" ht="18" x14ac:dyDescent="0.35">
      <c r="A1344" s="4" t="s">
        <v>1451</v>
      </c>
      <c r="B1344" s="5">
        <v>45948</v>
      </c>
      <c r="C1344" s="6" t="s">
        <v>82</v>
      </c>
      <c r="D1344" s="6" t="s">
        <v>183</v>
      </c>
      <c r="E1344" s="6" t="s">
        <v>101</v>
      </c>
      <c r="F1344" s="6" t="s">
        <v>29</v>
      </c>
      <c r="G1344" s="6" t="s">
        <v>40</v>
      </c>
      <c r="H1344" s="6" t="s">
        <v>64</v>
      </c>
      <c r="I1344" s="6" t="s">
        <v>159</v>
      </c>
      <c r="J1344" s="6" t="s">
        <v>57</v>
      </c>
      <c r="K1344" s="6" t="s">
        <v>34</v>
      </c>
      <c r="L1344" s="6">
        <v>36</v>
      </c>
      <c r="M1344" s="7">
        <v>3299</v>
      </c>
      <c r="N1344" s="8">
        <v>0.15</v>
      </c>
      <c r="O1344" s="9">
        <v>2050</v>
      </c>
    </row>
    <row r="1345" spans="1:15" ht="18" x14ac:dyDescent="0.35">
      <c r="A1345" s="4" t="s">
        <v>1452</v>
      </c>
      <c r="B1345" s="5">
        <v>45948</v>
      </c>
      <c r="C1345" s="6" t="s">
        <v>48</v>
      </c>
      <c r="D1345" s="6" t="s">
        <v>49</v>
      </c>
      <c r="E1345" s="6" t="s">
        <v>75</v>
      </c>
      <c r="F1345" s="6" t="s">
        <v>39</v>
      </c>
      <c r="G1345" s="6" t="s">
        <v>40</v>
      </c>
      <c r="H1345" s="6" t="s">
        <v>41</v>
      </c>
      <c r="I1345" s="6" t="s">
        <v>42</v>
      </c>
      <c r="J1345" s="6" t="s">
        <v>33</v>
      </c>
      <c r="K1345" s="6" t="s">
        <v>24</v>
      </c>
      <c r="L1345" s="6">
        <v>29</v>
      </c>
      <c r="M1345" s="7">
        <v>55230</v>
      </c>
      <c r="N1345" s="8">
        <v>0.12</v>
      </c>
      <c r="O1345" s="9">
        <v>33800</v>
      </c>
    </row>
    <row r="1346" spans="1:15" ht="18" x14ac:dyDescent="0.35">
      <c r="A1346" s="4" t="s">
        <v>1453</v>
      </c>
      <c r="B1346" s="5">
        <v>45949</v>
      </c>
      <c r="C1346" s="6" t="s">
        <v>48</v>
      </c>
      <c r="D1346" s="6" t="s">
        <v>49</v>
      </c>
      <c r="E1346" s="6" t="s">
        <v>60</v>
      </c>
      <c r="F1346" s="6" t="s">
        <v>39</v>
      </c>
      <c r="G1346" s="6" t="s">
        <v>20</v>
      </c>
      <c r="H1346" s="6" t="s">
        <v>45</v>
      </c>
      <c r="I1346" s="6" t="s">
        <v>103</v>
      </c>
      <c r="J1346" s="6" t="s">
        <v>57</v>
      </c>
      <c r="K1346" s="6" t="s">
        <v>34</v>
      </c>
      <c r="L1346" s="6">
        <v>9</v>
      </c>
      <c r="M1346" s="7">
        <v>1599</v>
      </c>
      <c r="N1346" s="8">
        <v>0.05</v>
      </c>
      <c r="O1346" s="9">
        <v>920</v>
      </c>
    </row>
    <row r="1347" spans="1:15" ht="18" x14ac:dyDescent="0.35">
      <c r="A1347" s="4" t="s">
        <v>1454</v>
      </c>
      <c r="B1347" s="5">
        <v>45949</v>
      </c>
      <c r="C1347" s="6" t="s">
        <v>26</v>
      </c>
      <c r="D1347" s="6" t="s">
        <v>53</v>
      </c>
      <c r="E1347" s="6" t="s">
        <v>28</v>
      </c>
      <c r="F1347" s="6" t="s">
        <v>39</v>
      </c>
      <c r="G1347" s="6" t="s">
        <v>40</v>
      </c>
      <c r="H1347" s="6" t="s">
        <v>64</v>
      </c>
      <c r="I1347" s="6" t="s">
        <v>153</v>
      </c>
      <c r="J1347" s="6" t="s">
        <v>33</v>
      </c>
      <c r="K1347" s="6" t="s">
        <v>24</v>
      </c>
      <c r="L1347" s="6">
        <v>21</v>
      </c>
      <c r="M1347" s="7">
        <v>4490</v>
      </c>
      <c r="N1347" s="8">
        <v>0.05</v>
      </c>
      <c r="O1347" s="9">
        <v>2950</v>
      </c>
    </row>
    <row r="1348" spans="1:15" ht="18" x14ac:dyDescent="0.35">
      <c r="A1348" s="4" t="s">
        <v>1455</v>
      </c>
      <c r="B1348" s="5">
        <v>45949</v>
      </c>
      <c r="C1348" s="6" t="s">
        <v>36</v>
      </c>
      <c r="D1348" s="6" t="s">
        <v>44</v>
      </c>
      <c r="E1348" s="6" t="s">
        <v>18</v>
      </c>
      <c r="F1348" s="6" t="s">
        <v>29</v>
      </c>
      <c r="G1348" s="6" t="s">
        <v>40</v>
      </c>
      <c r="H1348" s="6" t="s">
        <v>41</v>
      </c>
      <c r="I1348" s="6" t="s">
        <v>42</v>
      </c>
      <c r="J1348" s="6" t="s">
        <v>33</v>
      </c>
      <c r="K1348" s="6" t="s">
        <v>66</v>
      </c>
      <c r="L1348" s="6">
        <v>14</v>
      </c>
      <c r="M1348" s="7">
        <v>55230</v>
      </c>
      <c r="N1348" s="8">
        <v>0.08</v>
      </c>
      <c r="O1348" s="9">
        <v>33800</v>
      </c>
    </row>
    <row r="1349" spans="1:15" ht="18" x14ac:dyDescent="0.35">
      <c r="A1349" s="4" t="s">
        <v>1456</v>
      </c>
      <c r="B1349" s="5">
        <v>45950</v>
      </c>
      <c r="C1349" s="6" t="s">
        <v>48</v>
      </c>
      <c r="D1349" s="6" t="s">
        <v>68</v>
      </c>
      <c r="E1349" s="6" t="s">
        <v>69</v>
      </c>
      <c r="F1349" s="6" t="s">
        <v>39</v>
      </c>
      <c r="G1349" s="6" t="s">
        <v>20</v>
      </c>
      <c r="H1349" s="6" t="s">
        <v>45</v>
      </c>
      <c r="I1349" s="6" t="s">
        <v>46</v>
      </c>
      <c r="J1349" s="6" t="s">
        <v>57</v>
      </c>
      <c r="K1349" s="6" t="s">
        <v>24</v>
      </c>
      <c r="L1349" s="6">
        <v>22</v>
      </c>
      <c r="M1349" s="7">
        <v>1899</v>
      </c>
      <c r="N1349" s="8">
        <v>0.05</v>
      </c>
      <c r="O1349" s="9">
        <v>1080</v>
      </c>
    </row>
    <row r="1350" spans="1:15" ht="18" x14ac:dyDescent="0.35">
      <c r="A1350" s="4" t="s">
        <v>1457</v>
      </c>
      <c r="B1350" s="5">
        <v>45950</v>
      </c>
      <c r="C1350" s="6" t="s">
        <v>82</v>
      </c>
      <c r="D1350" s="6" t="s">
        <v>87</v>
      </c>
      <c r="E1350" s="6" t="s">
        <v>38</v>
      </c>
      <c r="F1350" s="6" t="s">
        <v>29</v>
      </c>
      <c r="G1350" s="6" t="s">
        <v>20</v>
      </c>
      <c r="H1350" s="6" t="s">
        <v>21</v>
      </c>
      <c r="I1350" s="6" t="s">
        <v>115</v>
      </c>
      <c r="J1350" s="6" t="s">
        <v>57</v>
      </c>
      <c r="K1350" s="6" t="s">
        <v>24</v>
      </c>
      <c r="L1350" s="6">
        <v>14</v>
      </c>
      <c r="M1350" s="7">
        <v>6499</v>
      </c>
      <c r="N1350" s="8">
        <v>0.05</v>
      </c>
      <c r="O1350" s="9">
        <v>4210</v>
      </c>
    </row>
    <row r="1351" spans="1:15" ht="18" x14ac:dyDescent="0.35">
      <c r="A1351" s="4" t="s">
        <v>1458</v>
      </c>
      <c r="B1351" s="5">
        <v>45952</v>
      </c>
      <c r="C1351" s="6" t="s">
        <v>26</v>
      </c>
      <c r="D1351" s="6" t="s">
        <v>74</v>
      </c>
      <c r="E1351" s="6" t="s">
        <v>101</v>
      </c>
      <c r="F1351" s="6" t="s">
        <v>29</v>
      </c>
      <c r="G1351" s="6" t="s">
        <v>54</v>
      </c>
      <c r="H1351" s="6" t="s">
        <v>55</v>
      </c>
      <c r="I1351" s="6" t="s">
        <v>108</v>
      </c>
      <c r="J1351" s="6" t="s">
        <v>33</v>
      </c>
      <c r="K1351" s="6" t="s">
        <v>66</v>
      </c>
      <c r="L1351" s="6">
        <v>1</v>
      </c>
      <c r="M1351" s="7">
        <v>5890</v>
      </c>
      <c r="N1351" s="8">
        <v>0.1</v>
      </c>
      <c r="O1351" s="9">
        <v>3980</v>
      </c>
    </row>
    <row r="1352" spans="1:15" ht="18" x14ac:dyDescent="0.35">
      <c r="A1352" s="4" t="s">
        <v>1459</v>
      </c>
      <c r="B1352" s="5">
        <v>45952</v>
      </c>
      <c r="C1352" s="6" t="s">
        <v>82</v>
      </c>
      <c r="D1352" s="6" t="s">
        <v>83</v>
      </c>
      <c r="E1352" s="6" t="s">
        <v>101</v>
      </c>
      <c r="F1352" s="6" t="s">
        <v>19</v>
      </c>
      <c r="G1352" s="6" t="s">
        <v>30</v>
      </c>
      <c r="H1352" s="6" t="s">
        <v>61</v>
      </c>
      <c r="I1352" s="6" t="s">
        <v>96</v>
      </c>
      <c r="J1352" s="6" t="s">
        <v>57</v>
      </c>
      <c r="K1352" s="6" t="s">
        <v>34</v>
      </c>
      <c r="L1352" s="6">
        <v>33</v>
      </c>
      <c r="M1352" s="7">
        <v>25110</v>
      </c>
      <c r="N1352" s="8">
        <v>0.08</v>
      </c>
      <c r="O1352" s="9">
        <v>16730</v>
      </c>
    </row>
    <row r="1353" spans="1:15" ht="18" x14ac:dyDescent="0.35">
      <c r="A1353" s="4" t="s">
        <v>1460</v>
      </c>
      <c r="B1353" s="5">
        <v>45952</v>
      </c>
      <c r="C1353" s="6" t="s">
        <v>16</v>
      </c>
      <c r="D1353" s="6" t="s">
        <v>17</v>
      </c>
      <c r="E1353" s="6" t="s">
        <v>101</v>
      </c>
      <c r="F1353" s="6" t="s">
        <v>39</v>
      </c>
      <c r="G1353" s="6" t="s">
        <v>40</v>
      </c>
      <c r="H1353" s="6" t="s">
        <v>41</v>
      </c>
      <c r="I1353" s="6" t="s">
        <v>119</v>
      </c>
      <c r="J1353" s="6" t="s">
        <v>23</v>
      </c>
      <c r="K1353" s="6" t="s">
        <v>66</v>
      </c>
      <c r="L1353" s="6">
        <v>25</v>
      </c>
      <c r="M1353" s="7">
        <v>48990</v>
      </c>
      <c r="N1353" s="8">
        <v>0.1</v>
      </c>
      <c r="O1353" s="9">
        <v>30100</v>
      </c>
    </row>
    <row r="1354" spans="1:15" ht="18" x14ac:dyDescent="0.35">
      <c r="A1354" s="4" t="s">
        <v>1461</v>
      </c>
      <c r="B1354" s="5">
        <v>45953</v>
      </c>
      <c r="C1354" s="6" t="s">
        <v>36</v>
      </c>
      <c r="D1354" s="6" t="s">
        <v>44</v>
      </c>
      <c r="E1354" s="6" t="s">
        <v>38</v>
      </c>
      <c r="F1354" s="6" t="s">
        <v>39</v>
      </c>
      <c r="G1354" s="6" t="s">
        <v>54</v>
      </c>
      <c r="H1354" s="6" t="s">
        <v>90</v>
      </c>
      <c r="I1354" s="6" t="s">
        <v>134</v>
      </c>
      <c r="J1354" s="6" t="s">
        <v>23</v>
      </c>
      <c r="K1354" s="6" t="s">
        <v>66</v>
      </c>
      <c r="L1354" s="6">
        <v>27</v>
      </c>
      <c r="M1354" s="7">
        <v>32800</v>
      </c>
      <c r="N1354" s="8">
        <v>0.15</v>
      </c>
      <c r="O1354" s="9">
        <v>23100</v>
      </c>
    </row>
    <row r="1355" spans="1:15" ht="18" x14ac:dyDescent="0.35">
      <c r="A1355" s="4" t="s">
        <v>1462</v>
      </c>
      <c r="B1355" s="5">
        <v>45953</v>
      </c>
      <c r="C1355" s="6" t="s">
        <v>82</v>
      </c>
      <c r="D1355" s="6" t="s">
        <v>87</v>
      </c>
      <c r="E1355" s="6" t="s">
        <v>18</v>
      </c>
      <c r="F1355" s="6" t="s">
        <v>39</v>
      </c>
      <c r="G1355" s="6" t="s">
        <v>20</v>
      </c>
      <c r="H1355" s="6" t="s">
        <v>21</v>
      </c>
      <c r="I1355" s="6" t="s">
        <v>22</v>
      </c>
      <c r="J1355" s="6" t="s">
        <v>23</v>
      </c>
      <c r="K1355" s="6" t="s">
        <v>34</v>
      </c>
      <c r="L1355" s="6">
        <v>4</v>
      </c>
      <c r="M1355" s="7">
        <v>4499</v>
      </c>
      <c r="N1355" s="8">
        <v>0.2</v>
      </c>
      <c r="O1355" s="9">
        <v>2910</v>
      </c>
    </row>
    <row r="1356" spans="1:15" ht="18" x14ac:dyDescent="0.35">
      <c r="A1356" s="4" t="s">
        <v>1463</v>
      </c>
      <c r="B1356" s="5">
        <v>45953</v>
      </c>
      <c r="C1356" s="6" t="s">
        <v>26</v>
      </c>
      <c r="D1356" s="6" t="s">
        <v>27</v>
      </c>
      <c r="E1356" s="6" t="s">
        <v>28</v>
      </c>
      <c r="F1356" s="6" t="s">
        <v>39</v>
      </c>
      <c r="G1356" s="6" t="s">
        <v>20</v>
      </c>
      <c r="H1356" s="6" t="s">
        <v>45</v>
      </c>
      <c r="I1356" s="6" t="s">
        <v>196</v>
      </c>
      <c r="J1356" s="6" t="s">
        <v>23</v>
      </c>
      <c r="K1356" s="6" t="s">
        <v>24</v>
      </c>
      <c r="L1356" s="6">
        <v>29</v>
      </c>
      <c r="M1356" s="7">
        <v>2499</v>
      </c>
      <c r="N1356" s="8">
        <v>0.08</v>
      </c>
      <c r="O1356" s="9">
        <v>1510</v>
      </c>
    </row>
    <row r="1357" spans="1:15" ht="18" x14ac:dyDescent="0.35">
      <c r="A1357" s="4" t="s">
        <v>1464</v>
      </c>
      <c r="B1357" s="5">
        <v>45953</v>
      </c>
      <c r="C1357" s="6" t="s">
        <v>82</v>
      </c>
      <c r="D1357" s="6" t="s">
        <v>100</v>
      </c>
      <c r="E1357" s="6" t="s">
        <v>28</v>
      </c>
      <c r="F1357" s="6" t="s">
        <v>39</v>
      </c>
      <c r="G1357" s="6" t="s">
        <v>54</v>
      </c>
      <c r="H1357" s="6" t="s">
        <v>90</v>
      </c>
      <c r="I1357" s="6" t="s">
        <v>134</v>
      </c>
      <c r="J1357" s="6" t="s">
        <v>57</v>
      </c>
      <c r="K1357" s="6" t="s">
        <v>24</v>
      </c>
      <c r="L1357" s="6">
        <v>2</v>
      </c>
      <c r="M1357" s="7">
        <v>32800</v>
      </c>
      <c r="N1357" s="8">
        <v>0.08</v>
      </c>
      <c r="O1357" s="9">
        <v>23100</v>
      </c>
    </row>
    <row r="1358" spans="1:15" ht="18" x14ac:dyDescent="0.35">
      <c r="A1358" s="4" t="s">
        <v>1465</v>
      </c>
      <c r="B1358" s="5">
        <v>45954</v>
      </c>
      <c r="C1358" s="6" t="s">
        <v>48</v>
      </c>
      <c r="D1358" s="6" t="s">
        <v>68</v>
      </c>
      <c r="E1358" s="6" t="s">
        <v>101</v>
      </c>
      <c r="F1358" s="6" t="s">
        <v>39</v>
      </c>
      <c r="G1358" s="6" t="s">
        <v>30</v>
      </c>
      <c r="H1358" s="6" t="s">
        <v>61</v>
      </c>
      <c r="I1358" s="6" t="s">
        <v>62</v>
      </c>
      <c r="J1358" s="6" t="s">
        <v>57</v>
      </c>
      <c r="K1358" s="6" t="s">
        <v>66</v>
      </c>
      <c r="L1358" s="6">
        <v>21</v>
      </c>
      <c r="M1358" s="7">
        <v>12490</v>
      </c>
      <c r="N1358" s="8">
        <v>0.2</v>
      </c>
      <c r="O1358" s="9">
        <v>7900</v>
      </c>
    </row>
    <row r="1359" spans="1:15" ht="18" x14ac:dyDescent="0.35">
      <c r="A1359" s="4" t="s">
        <v>1466</v>
      </c>
      <c r="B1359" s="5">
        <v>45955</v>
      </c>
      <c r="C1359" s="6" t="s">
        <v>36</v>
      </c>
      <c r="D1359" s="6" t="s">
        <v>37</v>
      </c>
      <c r="E1359" s="6" t="s">
        <v>69</v>
      </c>
      <c r="F1359" s="6" t="s">
        <v>39</v>
      </c>
      <c r="G1359" s="6" t="s">
        <v>30</v>
      </c>
      <c r="H1359" s="6" t="s">
        <v>61</v>
      </c>
      <c r="I1359" s="6" t="s">
        <v>186</v>
      </c>
      <c r="J1359" s="6" t="s">
        <v>33</v>
      </c>
      <c r="K1359" s="6" t="s">
        <v>24</v>
      </c>
      <c r="L1359" s="6">
        <v>18</v>
      </c>
      <c r="M1359" s="7">
        <v>6999</v>
      </c>
      <c r="N1359" s="8">
        <v>0.08</v>
      </c>
      <c r="O1359" s="9">
        <v>4320</v>
      </c>
    </row>
    <row r="1360" spans="1:15" ht="18" x14ac:dyDescent="0.35">
      <c r="A1360" s="4" t="s">
        <v>1467</v>
      </c>
      <c r="B1360" s="5">
        <v>45955</v>
      </c>
      <c r="C1360" s="6" t="s">
        <v>16</v>
      </c>
      <c r="D1360" s="6" t="s">
        <v>17</v>
      </c>
      <c r="E1360" s="6" t="s">
        <v>50</v>
      </c>
      <c r="F1360" s="6" t="s">
        <v>29</v>
      </c>
      <c r="G1360" s="6" t="s">
        <v>40</v>
      </c>
      <c r="H1360" s="6" t="s">
        <v>64</v>
      </c>
      <c r="I1360" s="6" t="s">
        <v>65</v>
      </c>
      <c r="J1360" s="6" t="s">
        <v>57</v>
      </c>
      <c r="K1360" s="6" t="s">
        <v>78</v>
      </c>
      <c r="L1360" s="6">
        <v>33</v>
      </c>
      <c r="M1360" s="7">
        <v>1930</v>
      </c>
      <c r="N1360" s="8">
        <v>0.2</v>
      </c>
      <c r="O1360" s="9">
        <v>1120</v>
      </c>
    </row>
    <row r="1361" spans="1:15" ht="18" x14ac:dyDescent="0.35">
      <c r="A1361" s="4" t="s">
        <v>1468</v>
      </c>
      <c r="B1361" s="5">
        <v>45957</v>
      </c>
      <c r="C1361" s="6" t="s">
        <v>26</v>
      </c>
      <c r="D1361" s="6" t="s">
        <v>163</v>
      </c>
      <c r="E1361" s="6" t="s">
        <v>60</v>
      </c>
      <c r="F1361" s="6" t="s">
        <v>29</v>
      </c>
      <c r="G1361" s="6" t="s">
        <v>70</v>
      </c>
      <c r="H1361" s="6" t="s">
        <v>71</v>
      </c>
      <c r="I1361" s="6" t="s">
        <v>80</v>
      </c>
      <c r="J1361" s="6" t="s">
        <v>33</v>
      </c>
      <c r="K1361" s="6" t="s">
        <v>24</v>
      </c>
      <c r="L1361" s="6">
        <v>10</v>
      </c>
      <c r="M1361" s="7">
        <v>1299</v>
      </c>
      <c r="N1361" s="8">
        <v>0.2</v>
      </c>
      <c r="O1361" s="9">
        <v>720</v>
      </c>
    </row>
    <row r="1362" spans="1:15" ht="18" x14ac:dyDescent="0.35">
      <c r="A1362" s="4" t="s">
        <v>1469</v>
      </c>
      <c r="B1362" s="5">
        <v>45957</v>
      </c>
      <c r="C1362" s="6" t="s">
        <v>26</v>
      </c>
      <c r="D1362" s="6" t="s">
        <v>53</v>
      </c>
      <c r="E1362" s="6" t="s">
        <v>28</v>
      </c>
      <c r="F1362" s="6" t="s">
        <v>19</v>
      </c>
      <c r="G1362" s="6" t="s">
        <v>54</v>
      </c>
      <c r="H1362" s="6" t="s">
        <v>129</v>
      </c>
      <c r="I1362" s="6" t="s">
        <v>192</v>
      </c>
      <c r="J1362" s="6" t="s">
        <v>23</v>
      </c>
      <c r="K1362" s="6" t="s">
        <v>24</v>
      </c>
      <c r="L1362" s="6">
        <v>27</v>
      </c>
      <c r="M1362" s="7">
        <v>29010</v>
      </c>
      <c r="N1362" s="8">
        <v>0.18</v>
      </c>
      <c r="O1362" s="9">
        <v>19100</v>
      </c>
    </row>
    <row r="1363" spans="1:15" ht="18" x14ac:dyDescent="0.35">
      <c r="A1363" s="4" t="s">
        <v>1470</v>
      </c>
      <c r="B1363" s="5">
        <v>45957</v>
      </c>
      <c r="C1363" s="6" t="s">
        <v>82</v>
      </c>
      <c r="D1363" s="6" t="s">
        <v>87</v>
      </c>
      <c r="E1363" s="6" t="s">
        <v>101</v>
      </c>
      <c r="F1363" s="6" t="s">
        <v>39</v>
      </c>
      <c r="G1363" s="6" t="s">
        <v>70</v>
      </c>
      <c r="H1363" s="6" t="s">
        <v>71</v>
      </c>
      <c r="I1363" s="6" t="s">
        <v>88</v>
      </c>
      <c r="J1363" s="6" t="s">
        <v>23</v>
      </c>
      <c r="K1363" s="6" t="s">
        <v>66</v>
      </c>
      <c r="L1363" s="6">
        <v>4</v>
      </c>
      <c r="M1363" s="7">
        <v>999</v>
      </c>
      <c r="N1363" s="8">
        <v>0.1</v>
      </c>
      <c r="O1363" s="9">
        <v>540</v>
      </c>
    </row>
    <row r="1364" spans="1:15" ht="18" x14ac:dyDescent="0.35">
      <c r="A1364" s="4" t="s">
        <v>1471</v>
      </c>
      <c r="B1364" s="5">
        <v>45958</v>
      </c>
      <c r="C1364" s="6" t="s">
        <v>36</v>
      </c>
      <c r="D1364" s="6" t="s">
        <v>44</v>
      </c>
      <c r="E1364" s="6" t="s">
        <v>101</v>
      </c>
      <c r="F1364" s="6" t="s">
        <v>19</v>
      </c>
      <c r="G1364" s="6" t="s">
        <v>30</v>
      </c>
      <c r="H1364" s="6" t="s">
        <v>61</v>
      </c>
      <c r="I1364" s="6" t="s">
        <v>62</v>
      </c>
      <c r="J1364" s="6" t="s">
        <v>33</v>
      </c>
      <c r="K1364" s="6" t="s">
        <v>24</v>
      </c>
      <c r="L1364" s="6">
        <v>6</v>
      </c>
      <c r="M1364" s="7">
        <v>12490</v>
      </c>
      <c r="N1364" s="8">
        <v>0.1</v>
      </c>
      <c r="O1364" s="9">
        <v>7900</v>
      </c>
    </row>
    <row r="1365" spans="1:15" ht="18" x14ac:dyDescent="0.35">
      <c r="A1365" s="4" t="s">
        <v>1472</v>
      </c>
      <c r="B1365" s="5">
        <v>45959</v>
      </c>
      <c r="C1365" s="6" t="s">
        <v>48</v>
      </c>
      <c r="D1365" s="6" t="s">
        <v>68</v>
      </c>
      <c r="E1365" s="6" t="s">
        <v>38</v>
      </c>
      <c r="F1365" s="6" t="s">
        <v>19</v>
      </c>
      <c r="G1365" s="6" t="s">
        <v>70</v>
      </c>
      <c r="H1365" s="6" t="s">
        <v>71</v>
      </c>
      <c r="I1365" s="6" t="s">
        <v>72</v>
      </c>
      <c r="J1365" s="6" t="s">
        <v>23</v>
      </c>
      <c r="K1365" s="6" t="s">
        <v>24</v>
      </c>
      <c r="L1365" s="6">
        <v>22</v>
      </c>
      <c r="M1365" s="7">
        <v>3499</v>
      </c>
      <c r="N1365" s="8">
        <v>0.12</v>
      </c>
      <c r="O1365" s="9">
        <v>2190</v>
      </c>
    </row>
    <row r="1366" spans="1:15" ht="18" x14ac:dyDescent="0.35">
      <c r="A1366" s="4" t="s">
        <v>1473</v>
      </c>
      <c r="B1366" s="5">
        <v>45959</v>
      </c>
      <c r="C1366" s="6" t="s">
        <v>16</v>
      </c>
      <c r="D1366" s="6" t="s">
        <v>98</v>
      </c>
      <c r="E1366" s="6" t="s">
        <v>18</v>
      </c>
      <c r="F1366" s="6" t="s">
        <v>19</v>
      </c>
      <c r="G1366" s="6" t="s">
        <v>40</v>
      </c>
      <c r="H1366" s="6" t="s">
        <v>76</v>
      </c>
      <c r="I1366" s="6" t="s">
        <v>139</v>
      </c>
      <c r="J1366" s="6" t="s">
        <v>57</v>
      </c>
      <c r="K1366" s="6" t="s">
        <v>24</v>
      </c>
      <c r="L1366" s="6">
        <v>7</v>
      </c>
      <c r="M1366" s="7">
        <v>25999</v>
      </c>
      <c r="N1366" s="8">
        <v>0.15</v>
      </c>
      <c r="O1366" s="9">
        <v>17800</v>
      </c>
    </row>
    <row r="1367" spans="1:15" ht="18" x14ac:dyDescent="0.35">
      <c r="A1367" s="4" t="s">
        <v>1474</v>
      </c>
      <c r="B1367" s="5">
        <v>45959</v>
      </c>
      <c r="C1367" s="6" t="s">
        <v>26</v>
      </c>
      <c r="D1367" s="6" t="s">
        <v>27</v>
      </c>
      <c r="E1367" s="6" t="s">
        <v>50</v>
      </c>
      <c r="F1367" s="6" t="s">
        <v>19</v>
      </c>
      <c r="G1367" s="6" t="s">
        <v>30</v>
      </c>
      <c r="H1367" s="6" t="s">
        <v>31</v>
      </c>
      <c r="I1367" s="6" t="s">
        <v>32</v>
      </c>
      <c r="J1367" s="6" t="s">
        <v>33</v>
      </c>
      <c r="K1367" s="6" t="s">
        <v>24</v>
      </c>
      <c r="L1367" s="6">
        <v>28</v>
      </c>
      <c r="M1367" s="7">
        <v>38990</v>
      </c>
      <c r="N1367" s="8">
        <v>0.15</v>
      </c>
      <c r="O1367" s="9">
        <v>25400</v>
      </c>
    </row>
    <row r="1368" spans="1:15" ht="18" x14ac:dyDescent="0.35">
      <c r="A1368" s="4" t="s">
        <v>1475</v>
      </c>
      <c r="B1368" s="5">
        <v>45960</v>
      </c>
      <c r="C1368" s="6" t="s">
        <v>48</v>
      </c>
      <c r="D1368" s="6" t="s">
        <v>136</v>
      </c>
      <c r="E1368" s="6" t="s">
        <v>75</v>
      </c>
      <c r="F1368" s="6" t="s">
        <v>29</v>
      </c>
      <c r="G1368" s="6" t="s">
        <v>54</v>
      </c>
      <c r="H1368" s="6" t="s">
        <v>90</v>
      </c>
      <c r="I1368" s="6" t="s">
        <v>134</v>
      </c>
      <c r="J1368" s="6" t="s">
        <v>33</v>
      </c>
      <c r="K1368" s="6" t="s">
        <v>78</v>
      </c>
      <c r="L1368" s="6">
        <v>36</v>
      </c>
      <c r="M1368" s="7">
        <v>32800</v>
      </c>
      <c r="N1368" s="8">
        <v>0.08</v>
      </c>
      <c r="O1368" s="9">
        <v>23100</v>
      </c>
    </row>
    <row r="1369" spans="1:15" ht="18" x14ac:dyDescent="0.35">
      <c r="A1369" s="4" t="s">
        <v>1476</v>
      </c>
      <c r="B1369" s="5">
        <v>45960</v>
      </c>
      <c r="C1369" s="6" t="s">
        <v>26</v>
      </c>
      <c r="D1369" s="6" t="s">
        <v>53</v>
      </c>
      <c r="E1369" s="6" t="s">
        <v>28</v>
      </c>
      <c r="F1369" s="6" t="s">
        <v>39</v>
      </c>
      <c r="G1369" s="6" t="s">
        <v>40</v>
      </c>
      <c r="H1369" s="6" t="s">
        <v>64</v>
      </c>
      <c r="I1369" s="6" t="s">
        <v>153</v>
      </c>
      <c r="J1369" s="6" t="s">
        <v>23</v>
      </c>
      <c r="K1369" s="6" t="s">
        <v>78</v>
      </c>
      <c r="L1369" s="6">
        <v>12</v>
      </c>
      <c r="M1369" s="7">
        <v>4490</v>
      </c>
      <c r="N1369" s="8">
        <v>0.08</v>
      </c>
      <c r="O1369" s="9">
        <v>2950</v>
      </c>
    </row>
    <row r="1370" spans="1:15" ht="18" x14ac:dyDescent="0.35">
      <c r="A1370" s="4" t="s">
        <v>1477</v>
      </c>
      <c r="B1370" s="5">
        <v>45960</v>
      </c>
      <c r="C1370" s="6" t="s">
        <v>26</v>
      </c>
      <c r="D1370" s="6" t="s">
        <v>53</v>
      </c>
      <c r="E1370" s="6" t="s">
        <v>60</v>
      </c>
      <c r="F1370" s="6" t="s">
        <v>19</v>
      </c>
      <c r="G1370" s="6" t="s">
        <v>54</v>
      </c>
      <c r="H1370" s="6" t="s">
        <v>55</v>
      </c>
      <c r="I1370" s="6" t="s">
        <v>56</v>
      </c>
      <c r="J1370" s="6" t="s">
        <v>33</v>
      </c>
      <c r="K1370" s="6" t="s">
        <v>66</v>
      </c>
      <c r="L1370" s="6">
        <v>27</v>
      </c>
      <c r="M1370" s="7">
        <v>7299</v>
      </c>
      <c r="N1370" s="8">
        <v>0.12</v>
      </c>
      <c r="O1370" s="9">
        <v>5010</v>
      </c>
    </row>
    <row r="1371" spans="1:15" ht="18" x14ac:dyDescent="0.35">
      <c r="A1371" s="4" t="s">
        <v>1478</v>
      </c>
      <c r="B1371" s="5">
        <v>45961</v>
      </c>
      <c r="C1371" s="6" t="s">
        <v>36</v>
      </c>
      <c r="D1371" s="6" t="s">
        <v>44</v>
      </c>
      <c r="E1371" s="6" t="s">
        <v>18</v>
      </c>
      <c r="F1371" s="6" t="s">
        <v>29</v>
      </c>
      <c r="G1371" s="6" t="s">
        <v>30</v>
      </c>
      <c r="H1371" s="6" t="s">
        <v>61</v>
      </c>
      <c r="I1371" s="6" t="s">
        <v>186</v>
      </c>
      <c r="J1371" s="6" t="s">
        <v>33</v>
      </c>
      <c r="K1371" s="6" t="s">
        <v>24</v>
      </c>
      <c r="L1371" s="6">
        <v>6</v>
      </c>
      <c r="M1371" s="7">
        <v>6999</v>
      </c>
      <c r="N1371" s="8">
        <v>0.1</v>
      </c>
      <c r="O1371" s="9">
        <v>4320</v>
      </c>
    </row>
    <row r="1372" spans="1:15" ht="18" x14ac:dyDescent="0.35">
      <c r="A1372" s="4" t="s">
        <v>1479</v>
      </c>
      <c r="B1372" s="5">
        <v>45961</v>
      </c>
      <c r="C1372" s="6" t="s">
        <v>36</v>
      </c>
      <c r="D1372" s="6" t="s">
        <v>121</v>
      </c>
      <c r="E1372" s="6" t="s">
        <v>75</v>
      </c>
      <c r="F1372" s="6" t="s">
        <v>39</v>
      </c>
      <c r="G1372" s="6" t="s">
        <v>70</v>
      </c>
      <c r="H1372" s="6" t="s">
        <v>71</v>
      </c>
      <c r="I1372" s="6" t="s">
        <v>72</v>
      </c>
      <c r="J1372" s="6" t="s">
        <v>23</v>
      </c>
      <c r="K1372" s="6" t="s">
        <v>66</v>
      </c>
      <c r="L1372" s="6">
        <v>7</v>
      </c>
      <c r="M1372" s="7">
        <v>3499</v>
      </c>
      <c r="N1372" s="8">
        <v>0.2</v>
      </c>
      <c r="O1372" s="9">
        <v>2190</v>
      </c>
    </row>
    <row r="1373" spans="1:15" ht="18" x14ac:dyDescent="0.35">
      <c r="A1373" s="4" t="s">
        <v>1480</v>
      </c>
      <c r="B1373" s="5">
        <v>45961</v>
      </c>
      <c r="C1373" s="6" t="s">
        <v>26</v>
      </c>
      <c r="D1373" s="6" t="s">
        <v>163</v>
      </c>
      <c r="E1373" s="6" t="s">
        <v>75</v>
      </c>
      <c r="F1373" s="6" t="s">
        <v>29</v>
      </c>
      <c r="G1373" s="6" t="s">
        <v>70</v>
      </c>
      <c r="H1373" s="6" t="s">
        <v>71</v>
      </c>
      <c r="I1373" s="6" t="s">
        <v>72</v>
      </c>
      <c r="J1373" s="6" t="s">
        <v>57</v>
      </c>
      <c r="K1373" s="6" t="s">
        <v>24</v>
      </c>
      <c r="L1373" s="6">
        <v>37</v>
      </c>
      <c r="M1373" s="7">
        <v>3499</v>
      </c>
      <c r="N1373" s="8">
        <v>0.12</v>
      </c>
      <c r="O1373" s="9">
        <v>2190</v>
      </c>
    </row>
    <row r="1374" spans="1:15" ht="18" x14ac:dyDescent="0.35">
      <c r="A1374" s="4" t="s">
        <v>1481</v>
      </c>
      <c r="B1374" s="5">
        <v>45961</v>
      </c>
      <c r="C1374" s="6" t="s">
        <v>16</v>
      </c>
      <c r="D1374" s="6" t="s">
        <v>111</v>
      </c>
      <c r="E1374" s="6" t="s">
        <v>50</v>
      </c>
      <c r="F1374" s="6" t="s">
        <v>19</v>
      </c>
      <c r="G1374" s="6" t="s">
        <v>54</v>
      </c>
      <c r="H1374" s="6" t="s">
        <v>55</v>
      </c>
      <c r="I1374" s="6" t="s">
        <v>56</v>
      </c>
      <c r="J1374" s="6" t="s">
        <v>23</v>
      </c>
      <c r="K1374" s="6" t="s">
        <v>78</v>
      </c>
      <c r="L1374" s="6">
        <v>15</v>
      </c>
      <c r="M1374" s="7">
        <v>7299</v>
      </c>
      <c r="N1374" s="8">
        <v>0.18</v>
      </c>
      <c r="O1374" s="9">
        <v>5010</v>
      </c>
    </row>
    <row r="1375" spans="1:15" ht="18" x14ac:dyDescent="0.35">
      <c r="A1375" s="4" t="s">
        <v>1482</v>
      </c>
      <c r="B1375" s="5">
        <v>45964</v>
      </c>
      <c r="C1375" s="6" t="s">
        <v>26</v>
      </c>
      <c r="D1375" s="6" t="s">
        <v>27</v>
      </c>
      <c r="E1375" s="6" t="s">
        <v>84</v>
      </c>
      <c r="F1375" s="6" t="s">
        <v>29</v>
      </c>
      <c r="G1375" s="6" t="s">
        <v>54</v>
      </c>
      <c r="H1375" s="6" t="s">
        <v>55</v>
      </c>
      <c r="I1375" s="6" t="s">
        <v>148</v>
      </c>
      <c r="J1375" s="6" t="s">
        <v>23</v>
      </c>
      <c r="K1375" s="6" t="s">
        <v>34</v>
      </c>
      <c r="L1375" s="6">
        <v>24</v>
      </c>
      <c r="M1375" s="7">
        <v>4680</v>
      </c>
      <c r="N1375" s="8">
        <v>0.1</v>
      </c>
      <c r="O1375" s="9">
        <v>3250</v>
      </c>
    </row>
    <row r="1376" spans="1:15" ht="18" x14ac:dyDescent="0.35">
      <c r="A1376" s="4" t="s">
        <v>1483</v>
      </c>
      <c r="B1376" s="5">
        <v>45965</v>
      </c>
      <c r="C1376" s="6" t="s">
        <v>26</v>
      </c>
      <c r="D1376" s="6" t="s">
        <v>27</v>
      </c>
      <c r="E1376" s="6" t="s">
        <v>38</v>
      </c>
      <c r="F1376" s="6" t="s">
        <v>29</v>
      </c>
      <c r="G1376" s="6" t="s">
        <v>20</v>
      </c>
      <c r="H1376" s="6" t="s">
        <v>21</v>
      </c>
      <c r="I1376" s="6" t="s">
        <v>22</v>
      </c>
      <c r="J1376" s="6" t="s">
        <v>33</v>
      </c>
      <c r="K1376" s="6" t="s">
        <v>24</v>
      </c>
      <c r="L1376" s="6">
        <v>37</v>
      </c>
      <c r="M1376" s="7">
        <v>4499</v>
      </c>
      <c r="N1376" s="8">
        <v>0.05</v>
      </c>
      <c r="O1376" s="9">
        <v>2910</v>
      </c>
    </row>
    <row r="1377" spans="1:15" ht="18" x14ac:dyDescent="0.35">
      <c r="A1377" s="4" t="s">
        <v>1484</v>
      </c>
      <c r="B1377" s="5">
        <v>45965</v>
      </c>
      <c r="C1377" s="6" t="s">
        <v>48</v>
      </c>
      <c r="D1377" s="6" t="s">
        <v>49</v>
      </c>
      <c r="E1377" s="6" t="s">
        <v>18</v>
      </c>
      <c r="F1377" s="6" t="s">
        <v>29</v>
      </c>
      <c r="G1377" s="6" t="s">
        <v>30</v>
      </c>
      <c r="H1377" s="6" t="s">
        <v>61</v>
      </c>
      <c r="I1377" s="6" t="s">
        <v>96</v>
      </c>
      <c r="J1377" s="6" t="s">
        <v>57</v>
      </c>
      <c r="K1377" s="6" t="s">
        <v>66</v>
      </c>
      <c r="L1377" s="6">
        <v>38</v>
      </c>
      <c r="M1377" s="7">
        <v>25110</v>
      </c>
      <c r="N1377" s="8">
        <v>0.1</v>
      </c>
      <c r="O1377" s="9">
        <v>16730</v>
      </c>
    </row>
    <row r="1378" spans="1:15" ht="18" x14ac:dyDescent="0.35">
      <c r="A1378" s="4" t="s">
        <v>1485</v>
      </c>
      <c r="B1378" s="5">
        <v>45966</v>
      </c>
      <c r="C1378" s="6" t="s">
        <v>82</v>
      </c>
      <c r="D1378" s="6" t="s">
        <v>87</v>
      </c>
      <c r="E1378" s="6" t="s">
        <v>101</v>
      </c>
      <c r="F1378" s="6" t="s">
        <v>29</v>
      </c>
      <c r="G1378" s="6" t="s">
        <v>20</v>
      </c>
      <c r="H1378" s="6" t="s">
        <v>45</v>
      </c>
      <c r="I1378" s="6" t="s">
        <v>196</v>
      </c>
      <c r="J1378" s="6" t="s">
        <v>23</v>
      </c>
      <c r="K1378" s="6" t="s">
        <v>66</v>
      </c>
      <c r="L1378" s="6">
        <v>25</v>
      </c>
      <c r="M1378" s="7">
        <v>2499</v>
      </c>
      <c r="N1378" s="8">
        <v>0.05</v>
      </c>
      <c r="O1378" s="9">
        <v>1510</v>
      </c>
    </row>
    <row r="1379" spans="1:15" ht="18" x14ac:dyDescent="0.35">
      <c r="A1379" s="4" t="s">
        <v>1486</v>
      </c>
      <c r="B1379" s="5">
        <v>45967</v>
      </c>
      <c r="C1379" s="6" t="s">
        <v>48</v>
      </c>
      <c r="D1379" s="6" t="s">
        <v>49</v>
      </c>
      <c r="E1379" s="6" t="s">
        <v>38</v>
      </c>
      <c r="F1379" s="6" t="s">
        <v>29</v>
      </c>
      <c r="G1379" s="6" t="s">
        <v>30</v>
      </c>
      <c r="H1379" s="6" t="s">
        <v>31</v>
      </c>
      <c r="I1379" s="6" t="s">
        <v>106</v>
      </c>
      <c r="J1379" s="6" t="s">
        <v>57</v>
      </c>
      <c r="K1379" s="6" t="s">
        <v>66</v>
      </c>
      <c r="L1379" s="6">
        <v>38</v>
      </c>
      <c r="M1379" s="7">
        <v>52990</v>
      </c>
      <c r="N1379" s="8">
        <v>0.15</v>
      </c>
      <c r="O1379" s="9">
        <v>35100</v>
      </c>
    </row>
    <row r="1380" spans="1:15" ht="18" x14ac:dyDescent="0.35">
      <c r="A1380" s="4" t="s">
        <v>1487</v>
      </c>
      <c r="B1380" s="5">
        <v>45967</v>
      </c>
      <c r="C1380" s="6" t="s">
        <v>82</v>
      </c>
      <c r="D1380" s="6" t="s">
        <v>100</v>
      </c>
      <c r="E1380" s="6" t="s">
        <v>105</v>
      </c>
      <c r="F1380" s="6" t="s">
        <v>19</v>
      </c>
      <c r="G1380" s="6" t="s">
        <v>54</v>
      </c>
      <c r="H1380" s="6" t="s">
        <v>90</v>
      </c>
      <c r="I1380" s="6" t="s">
        <v>258</v>
      </c>
      <c r="J1380" s="6" t="s">
        <v>57</v>
      </c>
      <c r="K1380" s="6" t="s">
        <v>24</v>
      </c>
      <c r="L1380" s="6">
        <v>17</v>
      </c>
      <c r="M1380" s="7">
        <v>29010</v>
      </c>
      <c r="N1380" s="8">
        <v>0.1</v>
      </c>
      <c r="O1380" s="9">
        <v>19150</v>
      </c>
    </row>
    <row r="1381" spans="1:15" ht="18" x14ac:dyDescent="0.35">
      <c r="A1381" s="4" t="s">
        <v>1488</v>
      </c>
      <c r="B1381" s="5">
        <v>45967</v>
      </c>
      <c r="C1381" s="6" t="s">
        <v>36</v>
      </c>
      <c r="D1381" s="6" t="s">
        <v>37</v>
      </c>
      <c r="E1381" s="6" t="s">
        <v>84</v>
      </c>
      <c r="F1381" s="6" t="s">
        <v>29</v>
      </c>
      <c r="G1381" s="6" t="s">
        <v>70</v>
      </c>
      <c r="H1381" s="6" t="s">
        <v>71</v>
      </c>
      <c r="I1381" s="6" t="s">
        <v>80</v>
      </c>
      <c r="J1381" s="6" t="s">
        <v>33</v>
      </c>
      <c r="K1381" s="6" t="s">
        <v>24</v>
      </c>
      <c r="L1381" s="6">
        <v>32</v>
      </c>
      <c r="M1381" s="7">
        <v>1299</v>
      </c>
      <c r="N1381" s="8">
        <v>0.18</v>
      </c>
      <c r="O1381" s="9">
        <v>720</v>
      </c>
    </row>
    <row r="1382" spans="1:15" ht="18" x14ac:dyDescent="0.35">
      <c r="A1382" s="4" t="s">
        <v>1489</v>
      </c>
      <c r="B1382" s="5">
        <v>45968</v>
      </c>
      <c r="C1382" s="6" t="s">
        <v>16</v>
      </c>
      <c r="D1382" s="6" t="s">
        <v>126</v>
      </c>
      <c r="E1382" s="6" t="s">
        <v>60</v>
      </c>
      <c r="F1382" s="6" t="s">
        <v>19</v>
      </c>
      <c r="G1382" s="6" t="s">
        <v>30</v>
      </c>
      <c r="H1382" s="6" t="s">
        <v>31</v>
      </c>
      <c r="I1382" s="6" t="s">
        <v>85</v>
      </c>
      <c r="J1382" s="6" t="s">
        <v>23</v>
      </c>
      <c r="K1382" s="6" t="s">
        <v>34</v>
      </c>
      <c r="L1382" s="6">
        <v>25</v>
      </c>
      <c r="M1382" s="7">
        <v>43500</v>
      </c>
      <c r="N1382" s="8">
        <v>0.12</v>
      </c>
      <c r="O1382" s="9">
        <v>29520</v>
      </c>
    </row>
    <row r="1383" spans="1:15" ht="18" x14ac:dyDescent="0.35">
      <c r="A1383" s="4" t="s">
        <v>1490</v>
      </c>
      <c r="B1383" s="5">
        <v>45968</v>
      </c>
      <c r="C1383" s="6" t="s">
        <v>26</v>
      </c>
      <c r="D1383" s="6" t="s">
        <v>53</v>
      </c>
      <c r="E1383" s="6" t="s">
        <v>101</v>
      </c>
      <c r="F1383" s="6" t="s">
        <v>29</v>
      </c>
      <c r="G1383" s="6" t="s">
        <v>30</v>
      </c>
      <c r="H1383" s="6" t="s">
        <v>31</v>
      </c>
      <c r="I1383" s="6" t="s">
        <v>106</v>
      </c>
      <c r="J1383" s="6" t="s">
        <v>23</v>
      </c>
      <c r="K1383" s="6" t="s">
        <v>24</v>
      </c>
      <c r="L1383" s="6">
        <v>19</v>
      </c>
      <c r="M1383" s="7">
        <v>52990</v>
      </c>
      <c r="N1383" s="8">
        <v>0.08</v>
      </c>
      <c r="O1383" s="9">
        <v>35100</v>
      </c>
    </row>
    <row r="1384" spans="1:15" ht="18" x14ac:dyDescent="0.35">
      <c r="A1384" s="4" t="s">
        <v>1491</v>
      </c>
      <c r="B1384" s="5">
        <v>45968</v>
      </c>
      <c r="C1384" s="6" t="s">
        <v>26</v>
      </c>
      <c r="D1384" s="6" t="s">
        <v>53</v>
      </c>
      <c r="E1384" s="6" t="s">
        <v>18</v>
      </c>
      <c r="F1384" s="6" t="s">
        <v>19</v>
      </c>
      <c r="G1384" s="6" t="s">
        <v>40</v>
      </c>
      <c r="H1384" s="6" t="s">
        <v>76</v>
      </c>
      <c r="I1384" s="6" t="s">
        <v>113</v>
      </c>
      <c r="J1384" s="6" t="s">
        <v>33</v>
      </c>
      <c r="K1384" s="6" t="s">
        <v>78</v>
      </c>
      <c r="L1384" s="6">
        <v>17</v>
      </c>
      <c r="M1384" s="7">
        <v>22999</v>
      </c>
      <c r="N1384" s="8">
        <v>0.05</v>
      </c>
      <c r="O1384" s="9">
        <v>15100</v>
      </c>
    </row>
    <row r="1385" spans="1:15" ht="18" x14ac:dyDescent="0.35">
      <c r="A1385" s="4" t="s">
        <v>1492</v>
      </c>
      <c r="B1385" s="5">
        <v>45969</v>
      </c>
      <c r="C1385" s="6" t="s">
        <v>82</v>
      </c>
      <c r="D1385" s="6" t="s">
        <v>87</v>
      </c>
      <c r="E1385" s="6" t="s">
        <v>50</v>
      </c>
      <c r="F1385" s="6" t="s">
        <v>39</v>
      </c>
      <c r="G1385" s="6" t="s">
        <v>30</v>
      </c>
      <c r="H1385" s="6" t="s">
        <v>61</v>
      </c>
      <c r="I1385" s="6" t="s">
        <v>62</v>
      </c>
      <c r="J1385" s="6" t="s">
        <v>23</v>
      </c>
      <c r="K1385" s="6" t="s">
        <v>24</v>
      </c>
      <c r="L1385" s="6">
        <v>16</v>
      </c>
      <c r="M1385" s="7">
        <v>12490</v>
      </c>
      <c r="N1385" s="8">
        <v>0.18</v>
      </c>
      <c r="O1385" s="9">
        <v>7900</v>
      </c>
    </row>
    <row r="1386" spans="1:15" ht="18" x14ac:dyDescent="0.35">
      <c r="A1386" s="4" t="s">
        <v>1493</v>
      </c>
      <c r="B1386" s="5">
        <v>45969</v>
      </c>
      <c r="C1386" s="6" t="s">
        <v>26</v>
      </c>
      <c r="D1386" s="6" t="s">
        <v>53</v>
      </c>
      <c r="E1386" s="6" t="s">
        <v>69</v>
      </c>
      <c r="F1386" s="6" t="s">
        <v>39</v>
      </c>
      <c r="G1386" s="6" t="s">
        <v>40</v>
      </c>
      <c r="H1386" s="6" t="s">
        <v>64</v>
      </c>
      <c r="I1386" s="6" t="s">
        <v>159</v>
      </c>
      <c r="J1386" s="6" t="s">
        <v>33</v>
      </c>
      <c r="K1386" s="6" t="s">
        <v>78</v>
      </c>
      <c r="L1386" s="6">
        <v>23</v>
      </c>
      <c r="M1386" s="7">
        <v>3299</v>
      </c>
      <c r="N1386" s="8">
        <v>0.05</v>
      </c>
      <c r="O1386" s="9">
        <v>2050</v>
      </c>
    </row>
    <row r="1387" spans="1:15" ht="18" x14ac:dyDescent="0.35">
      <c r="A1387" s="4" t="s">
        <v>1494</v>
      </c>
      <c r="B1387" s="5">
        <v>45969</v>
      </c>
      <c r="C1387" s="6" t="s">
        <v>36</v>
      </c>
      <c r="D1387" s="6" t="s">
        <v>121</v>
      </c>
      <c r="E1387" s="6" t="s">
        <v>38</v>
      </c>
      <c r="F1387" s="6" t="s">
        <v>39</v>
      </c>
      <c r="G1387" s="6" t="s">
        <v>20</v>
      </c>
      <c r="H1387" s="6" t="s">
        <v>21</v>
      </c>
      <c r="I1387" s="6" t="s">
        <v>115</v>
      </c>
      <c r="J1387" s="6" t="s">
        <v>57</v>
      </c>
      <c r="K1387" s="6" t="s">
        <v>24</v>
      </c>
      <c r="L1387" s="6">
        <v>3</v>
      </c>
      <c r="M1387" s="7">
        <v>6499</v>
      </c>
      <c r="N1387" s="8">
        <v>0.08</v>
      </c>
      <c r="O1387" s="9">
        <v>4210</v>
      </c>
    </row>
    <row r="1388" spans="1:15" ht="18" x14ac:dyDescent="0.35">
      <c r="A1388" s="4" t="s">
        <v>1495</v>
      </c>
      <c r="B1388" s="5">
        <v>45969</v>
      </c>
      <c r="C1388" s="6" t="s">
        <v>36</v>
      </c>
      <c r="D1388" s="6" t="s">
        <v>37</v>
      </c>
      <c r="E1388" s="6" t="s">
        <v>50</v>
      </c>
      <c r="F1388" s="6" t="s">
        <v>19</v>
      </c>
      <c r="G1388" s="6" t="s">
        <v>30</v>
      </c>
      <c r="H1388" s="6" t="s">
        <v>31</v>
      </c>
      <c r="I1388" s="6" t="s">
        <v>106</v>
      </c>
      <c r="J1388" s="6" t="s">
        <v>57</v>
      </c>
      <c r="K1388" s="6" t="s">
        <v>24</v>
      </c>
      <c r="L1388" s="6">
        <v>13</v>
      </c>
      <c r="M1388" s="7">
        <v>52990</v>
      </c>
      <c r="N1388" s="8">
        <v>0.2</v>
      </c>
      <c r="O1388" s="9">
        <v>35100</v>
      </c>
    </row>
    <row r="1389" spans="1:15" ht="18" x14ac:dyDescent="0.35">
      <c r="A1389" s="4" t="s">
        <v>1496</v>
      </c>
      <c r="B1389" s="5">
        <v>45970</v>
      </c>
      <c r="C1389" s="6" t="s">
        <v>48</v>
      </c>
      <c r="D1389" s="6" t="s">
        <v>93</v>
      </c>
      <c r="E1389" s="6" t="s">
        <v>75</v>
      </c>
      <c r="F1389" s="6" t="s">
        <v>19</v>
      </c>
      <c r="G1389" s="6" t="s">
        <v>20</v>
      </c>
      <c r="H1389" s="6" t="s">
        <v>21</v>
      </c>
      <c r="I1389" s="6" t="s">
        <v>51</v>
      </c>
      <c r="J1389" s="6" t="s">
        <v>33</v>
      </c>
      <c r="K1389" s="6" t="s">
        <v>78</v>
      </c>
      <c r="L1389" s="6">
        <v>6</v>
      </c>
      <c r="M1389" s="7">
        <v>5999</v>
      </c>
      <c r="N1389" s="8">
        <v>0.1</v>
      </c>
      <c r="O1389" s="9">
        <v>3890</v>
      </c>
    </row>
    <row r="1390" spans="1:15" ht="18" x14ac:dyDescent="0.35">
      <c r="A1390" s="4" t="s">
        <v>1497</v>
      </c>
      <c r="B1390" s="5">
        <v>45970</v>
      </c>
      <c r="C1390" s="6" t="s">
        <v>82</v>
      </c>
      <c r="D1390" s="6" t="s">
        <v>83</v>
      </c>
      <c r="E1390" s="6" t="s">
        <v>60</v>
      </c>
      <c r="F1390" s="6" t="s">
        <v>29</v>
      </c>
      <c r="G1390" s="6" t="s">
        <v>54</v>
      </c>
      <c r="H1390" s="6" t="s">
        <v>129</v>
      </c>
      <c r="I1390" s="6" t="s">
        <v>130</v>
      </c>
      <c r="J1390" s="6" t="s">
        <v>23</v>
      </c>
      <c r="K1390" s="6" t="s">
        <v>24</v>
      </c>
      <c r="L1390" s="6">
        <v>10</v>
      </c>
      <c r="M1390" s="7">
        <v>27890</v>
      </c>
      <c r="N1390" s="8">
        <v>0.15</v>
      </c>
      <c r="O1390" s="9">
        <v>18800</v>
      </c>
    </row>
    <row r="1391" spans="1:15" ht="18" x14ac:dyDescent="0.35">
      <c r="A1391" s="4" t="s">
        <v>1498</v>
      </c>
      <c r="B1391" s="5">
        <v>45971</v>
      </c>
      <c r="C1391" s="6" t="s">
        <v>48</v>
      </c>
      <c r="D1391" s="6" t="s">
        <v>49</v>
      </c>
      <c r="E1391" s="6" t="s">
        <v>101</v>
      </c>
      <c r="F1391" s="6" t="s">
        <v>29</v>
      </c>
      <c r="G1391" s="6" t="s">
        <v>40</v>
      </c>
      <c r="H1391" s="6" t="s">
        <v>41</v>
      </c>
      <c r="I1391" s="6" t="s">
        <v>42</v>
      </c>
      <c r="J1391" s="6" t="s">
        <v>33</v>
      </c>
      <c r="K1391" s="6" t="s">
        <v>24</v>
      </c>
      <c r="L1391" s="6">
        <v>22</v>
      </c>
      <c r="M1391" s="7">
        <v>55230</v>
      </c>
      <c r="N1391" s="8">
        <v>0.18</v>
      </c>
      <c r="O1391" s="9">
        <v>33800</v>
      </c>
    </row>
    <row r="1392" spans="1:15" ht="18" x14ac:dyDescent="0.35">
      <c r="A1392" s="4" t="s">
        <v>1499</v>
      </c>
      <c r="B1392" s="5">
        <v>45971</v>
      </c>
      <c r="C1392" s="6" t="s">
        <v>26</v>
      </c>
      <c r="D1392" s="6" t="s">
        <v>74</v>
      </c>
      <c r="E1392" s="6" t="s">
        <v>75</v>
      </c>
      <c r="F1392" s="6" t="s">
        <v>19</v>
      </c>
      <c r="G1392" s="6" t="s">
        <v>54</v>
      </c>
      <c r="H1392" s="6" t="s">
        <v>90</v>
      </c>
      <c r="I1392" s="6" t="s">
        <v>91</v>
      </c>
      <c r="J1392" s="6" t="s">
        <v>57</v>
      </c>
      <c r="K1392" s="6" t="s">
        <v>66</v>
      </c>
      <c r="L1392" s="6">
        <v>40</v>
      </c>
      <c r="M1392" s="7">
        <v>31990</v>
      </c>
      <c r="N1392" s="8">
        <v>0.12</v>
      </c>
      <c r="O1392" s="9">
        <v>21800</v>
      </c>
    </row>
    <row r="1393" spans="1:15" ht="18" x14ac:dyDescent="0.35">
      <c r="A1393" s="4" t="s">
        <v>1500</v>
      </c>
      <c r="B1393" s="5">
        <v>45972</v>
      </c>
      <c r="C1393" s="6" t="s">
        <v>16</v>
      </c>
      <c r="D1393" s="6" t="s">
        <v>111</v>
      </c>
      <c r="E1393" s="6" t="s">
        <v>50</v>
      </c>
      <c r="F1393" s="6" t="s">
        <v>19</v>
      </c>
      <c r="G1393" s="6" t="s">
        <v>70</v>
      </c>
      <c r="H1393" s="6" t="s">
        <v>71</v>
      </c>
      <c r="I1393" s="6" t="s">
        <v>80</v>
      </c>
      <c r="J1393" s="6" t="s">
        <v>57</v>
      </c>
      <c r="K1393" s="6" t="s">
        <v>78</v>
      </c>
      <c r="L1393" s="6">
        <v>14</v>
      </c>
      <c r="M1393" s="7">
        <v>1299</v>
      </c>
      <c r="N1393" s="8">
        <v>0.2</v>
      </c>
      <c r="O1393" s="9">
        <v>720</v>
      </c>
    </row>
    <row r="1394" spans="1:15" ht="18" x14ac:dyDescent="0.35">
      <c r="A1394" s="4" t="s">
        <v>1501</v>
      </c>
      <c r="B1394" s="5">
        <v>45972</v>
      </c>
      <c r="C1394" s="6" t="s">
        <v>36</v>
      </c>
      <c r="D1394" s="6" t="s">
        <v>59</v>
      </c>
      <c r="E1394" s="6" t="s">
        <v>50</v>
      </c>
      <c r="F1394" s="6" t="s">
        <v>39</v>
      </c>
      <c r="G1394" s="6" t="s">
        <v>20</v>
      </c>
      <c r="H1394" s="6" t="s">
        <v>21</v>
      </c>
      <c r="I1394" s="6" t="s">
        <v>115</v>
      </c>
      <c r="J1394" s="6" t="s">
        <v>33</v>
      </c>
      <c r="K1394" s="6" t="s">
        <v>24</v>
      </c>
      <c r="L1394" s="6">
        <v>14</v>
      </c>
      <c r="M1394" s="7">
        <v>6499</v>
      </c>
      <c r="N1394" s="8">
        <v>0.05</v>
      </c>
      <c r="O1394" s="9">
        <v>4210</v>
      </c>
    </row>
    <row r="1395" spans="1:15" ht="18" x14ac:dyDescent="0.35">
      <c r="A1395" s="4" t="s">
        <v>1502</v>
      </c>
      <c r="B1395" s="5">
        <v>45972</v>
      </c>
      <c r="C1395" s="6" t="s">
        <v>16</v>
      </c>
      <c r="D1395" s="6" t="s">
        <v>17</v>
      </c>
      <c r="E1395" s="6" t="s">
        <v>50</v>
      </c>
      <c r="F1395" s="6" t="s">
        <v>19</v>
      </c>
      <c r="G1395" s="6" t="s">
        <v>40</v>
      </c>
      <c r="H1395" s="6" t="s">
        <v>76</v>
      </c>
      <c r="I1395" s="6" t="s">
        <v>113</v>
      </c>
      <c r="J1395" s="6" t="s">
        <v>23</v>
      </c>
      <c r="K1395" s="6" t="s">
        <v>66</v>
      </c>
      <c r="L1395" s="6">
        <v>29</v>
      </c>
      <c r="M1395" s="7">
        <v>22999</v>
      </c>
      <c r="N1395" s="8">
        <v>0.08</v>
      </c>
      <c r="O1395" s="9">
        <v>15100</v>
      </c>
    </row>
    <row r="1396" spans="1:15" ht="18" x14ac:dyDescent="0.35">
      <c r="A1396" s="4" t="s">
        <v>1503</v>
      </c>
      <c r="B1396" s="5">
        <v>45973</v>
      </c>
      <c r="C1396" s="6" t="s">
        <v>82</v>
      </c>
      <c r="D1396" s="6" t="s">
        <v>100</v>
      </c>
      <c r="E1396" s="6" t="s">
        <v>84</v>
      </c>
      <c r="F1396" s="6" t="s">
        <v>29</v>
      </c>
      <c r="G1396" s="6" t="s">
        <v>20</v>
      </c>
      <c r="H1396" s="6" t="s">
        <v>21</v>
      </c>
      <c r="I1396" s="6" t="s">
        <v>51</v>
      </c>
      <c r="J1396" s="6" t="s">
        <v>33</v>
      </c>
      <c r="K1396" s="6" t="s">
        <v>24</v>
      </c>
      <c r="L1396" s="6">
        <v>28</v>
      </c>
      <c r="M1396" s="7">
        <v>5999</v>
      </c>
      <c r="N1396" s="8">
        <v>0.05</v>
      </c>
      <c r="O1396" s="9">
        <v>3890</v>
      </c>
    </row>
    <row r="1397" spans="1:15" ht="18" x14ac:dyDescent="0.35">
      <c r="A1397" s="4" t="s">
        <v>1504</v>
      </c>
      <c r="B1397" s="5">
        <v>45973</v>
      </c>
      <c r="C1397" s="6" t="s">
        <v>48</v>
      </c>
      <c r="D1397" s="6" t="s">
        <v>49</v>
      </c>
      <c r="E1397" s="6" t="s">
        <v>38</v>
      </c>
      <c r="F1397" s="6" t="s">
        <v>29</v>
      </c>
      <c r="G1397" s="6" t="s">
        <v>54</v>
      </c>
      <c r="H1397" s="6" t="s">
        <v>90</v>
      </c>
      <c r="I1397" s="6" t="s">
        <v>91</v>
      </c>
      <c r="J1397" s="6" t="s">
        <v>33</v>
      </c>
      <c r="K1397" s="6" t="s">
        <v>24</v>
      </c>
      <c r="L1397" s="6">
        <v>10</v>
      </c>
      <c r="M1397" s="7">
        <v>31990</v>
      </c>
      <c r="N1397" s="8">
        <v>0.12</v>
      </c>
      <c r="O1397" s="9">
        <v>21800</v>
      </c>
    </row>
    <row r="1398" spans="1:15" ht="18" x14ac:dyDescent="0.35">
      <c r="A1398" s="4" t="s">
        <v>1505</v>
      </c>
      <c r="B1398" s="5">
        <v>45973</v>
      </c>
      <c r="C1398" s="6" t="s">
        <v>16</v>
      </c>
      <c r="D1398" s="6" t="s">
        <v>98</v>
      </c>
      <c r="E1398" s="6" t="s">
        <v>60</v>
      </c>
      <c r="F1398" s="6" t="s">
        <v>19</v>
      </c>
      <c r="G1398" s="6" t="s">
        <v>30</v>
      </c>
      <c r="H1398" s="6" t="s">
        <v>61</v>
      </c>
      <c r="I1398" s="6" t="s">
        <v>186</v>
      </c>
      <c r="J1398" s="6" t="s">
        <v>23</v>
      </c>
      <c r="K1398" s="6" t="s">
        <v>24</v>
      </c>
      <c r="L1398" s="6">
        <v>2</v>
      </c>
      <c r="M1398" s="7">
        <v>6999</v>
      </c>
      <c r="N1398" s="8">
        <v>0.12</v>
      </c>
      <c r="O1398" s="9">
        <v>4320</v>
      </c>
    </row>
    <row r="1399" spans="1:15" ht="18" x14ac:dyDescent="0.35">
      <c r="A1399" s="4" t="s">
        <v>1506</v>
      </c>
      <c r="B1399" s="5">
        <v>45973</v>
      </c>
      <c r="C1399" s="6" t="s">
        <v>26</v>
      </c>
      <c r="D1399" s="6" t="s">
        <v>74</v>
      </c>
      <c r="E1399" s="6" t="s">
        <v>50</v>
      </c>
      <c r="F1399" s="6" t="s">
        <v>29</v>
      </c>
      <c r="G1399" s="6" t="s">
        <v>20</v>
      </c>
      <c r="H1399" s="6" t="s">
        <v>45</v>
      </c>
      <c r="I1399" s="6" t="s">
        <v>196</v>
      </c>
      <c r="J1399" s="6" t="s">
        <v>23</v>
      </c>
      <c r="K1399" s="6" t="s">
        <v>24</v>
      </c>
      <c r="L1399" s="6">
        <v>16</v>
      </c>
      <c r="M1399" s="7">
        <v>2499</v>
      </c>
      <c r="N1399" s="8">
        <v>0.05</v>
      </c>
      <c r="O1399" s="9">
        <v>1510</v>
      </c>
    </row>
    <row r="1400" spans="1:15" ht="18" x14ac:dyDescent="0.35">
      <c r="A1400" s="4" t="s">
        <v>1507</v>
      </c>
      <c r="B1400" s="5">
        <v>45974</v>
      </c>
      <c r="C1400" s="6" t="s">
        <v>82</v>
      </c>
      <c r="D1400" s="6" t="s">
        <v>87</v>
      </c>
      <c r="E1400" s="6" t="s">
        <v>60</v>
      </c>
      <c r="F1400" s="6" t="s">
        <v>19</v>
      </c>
      <c r="G1400" s="6" t="s">
        <v>40</v>
      </c>
      <c r="H1400" s="6" t="s">
        <v>64</v>
      </c>
      <c r="I1400" s="6" t="s">
        <v>159</v>
      </c>
      <c r="J1400" s="6" t="s">
        <v>33</v>
      </c>
      <c r="K1400" s="6" t="s">
        <v>66</v>
      </c>
      <c r="L1400" s="6">
        <v>14</v>
      </c>
      <c r="M1400" s="7">
        <v>3299</v>
      </c>
      <c r="N1400" s="8">
        <v>0.12</v>
      </c>
      <c r="O1400" s="9">
        <v>2050</v>
      </c>
    </row>
    <row r="1401" spans="1:15" ht="18" x14ac:dyDescent="0.35">
      <c r="A1401" s="4" t="s">
        <v>1508</v>
      </c>
      <c r="B1401" s="5">
        <v>45975</v>
      </c>
      <c r="C1401" s="6" t="s">
        <v>26</v>
      </c>
      <c r="D1401" s="6" t="s">
        <v>74</v>
      </c>
      <c r="E1401" s="6" t="s">
        <v>69</v>
      </c>
      <c r="F1401" s="6" t="s">
        <v>19</v>
      </c>
      <c r="G1401" s="6" t="s">
        <v>54</v>
      </c>
      <c r="H1401" s="6" t="s">
        <v>129</v>
      </c>
      <c r="I1401" s="6" t="s">
        <v>192</v>
      </c>
      <c r="J1401" s="6" t="s">
        <v>23</v>
      </c>
      <c r="K1401" s="6" t="s">
        <v>24</v>
      </c>
      <c r="L1401" s="6">
        <v>9</v>
      </c>
      <c r="M1401" s="7">
        <v>29010</v>
      </c>
      <c r="N1401" s="8">
        <v>0.15</v>
      </c>
      <c r="O1401" s="9">
        <v>19100</v>
      </c>
    </row>
    <row r="1402" spans="1:15" ht="18" x14ac:dyDescent="0.35">
      <c r="A1402" s="4" t="s">
        <v>1509</v>
      </c>
      <c r="B1402" s="5">
        <v>45976</v>
      </c>
      <c r="C1402" s="6" t="s">
        <v>36</v>
      </c>
      <c r="D1402" s="6" t="s">
        <v>44</v>
      </c>
      <c r="E1402" s="6" t="s">
        <v>28</v>
      </c>
      <c r="F1402" s="6" t="s">
        <v>19</v>
      </c>
      <c r="G1402" s="6" t="s">
        <v>54</v>
      </c>
      <c r="H1402" s="6" t="s">
        <v>129</v>
      </c>
      <c r="I1402" s="6" t="s">
        <v>130</v>
      </c>
      <c r="J1402" s="6" t="s">
        <v>57</v>
      </c>
      <c r="K1402" s="6" t="s">
        <v>34</v>
      </c>
      <c r="L1402" s="6">
        <v>14</v>
      </c>
      <c r="M1402" s="7">
        <v>27890</v>
      </c>
      <c r="N1402" s="8">
        <v>0.12</v>
      </c>
      <c r="O1402" s="9">
        <v>18800</v>
      </c>
    </row>
    <row r="1403" spans="1:15" ht="18" x14ac:dyDescent="0.35">
      <c r="A1403" s="4" t="s">
        <v>1510</v>
      </c>
      <c r="B1403" s="5">
        <v>45977</v>
      </c>
      <c r="C1403" s="6" t="s">
        <v>48</v>
      </c>
      <c r="D1403" s="6" t="s">
        <v>68</v>
      </c>
      <c r="E1403" s="6" t="s">
        <v>18</v>
      </c>
      <c r="F1403" s="6" t="s">
        <v>19</v>
      </c>
      <c r="G1403" s="6" t="s">
        <v>20</v>
      </c>
      <c r="H1403" s="6" t="s">
        <v>21</v>
      </c>
      <c r="I1403" s="6" t="s">
        <v>51</v>
      </c>
      <c r="J1403" s="6" t="s">
        <v>57</v>
      </c>
      <c r="K1403" s="6" t="s">
        <v>66</v>
      </c>
      <c r="L1403" s="6">
        <v>11</v>
      </c>
      <c r="M1403" s="7">
        <v>5999</v>
      </c>
      <c r="N1403" s="8">
        <v>0.15</v>
      </c>
      <c r="O1403" s="9">
        <v>3890</v>
      </c>
    </row>
    <row r="1404" spans="1:15" ht="18" x14ac:dyDescent="0.35">
      <c r="A1404" s="4" t="s">
        <v>1511</v>
      </c>
      <c r="B1404" s="5">
        <v>45977</v>
      </c>
      <c r="C1404" s="6" t="s">
        <v>48</v>
      </c>
      <c r="D1404" s="6" t="s">
        <v>136</v>
      </c>
      <c r="E1404" s="6" t="s">
        <v>50</v>
      </c>
      <c r="F1404" s="6" t="s">
        <v>19</v>
      </c>
      <c r="G1404" s="6" t="s">
        <v>20</v>
      </c>
      <c r="H1404" s="6" t="s">
        <v>45</v>
      </c>
      <c r="I1404" s="6" t="s">
        <v>46</v>
      </c>
      <c r="J1404" s="6" t="s">
        <v>57</v>
      </c>
      <c r="K1404" s="6" t="s">
        <v>78</v>
      </c>
      <c r="L1404" s="6">
        <v>19</v>
      </c>
      <c r="M1404" s="7">
        <v>1899</v>
      </c>
      <c r="N1404" s="8">
        <v>0.05</v>
      </c>
      <c r="O1404" s="9">
        <v>1080</v>
      </c>
    </row>
    <row r="1405" spans="1:15" ht="18" x14ac:dyDescent="0.35">
      <c r="A1405" s="4" t="s">
        <v>1512</v>
      </c>
      <c r="B1405" s="5">
        <v>45978</v>
      </c>
      <c r="C1405" s="6" t="s">
        <v>48</v>
      </c>
      <c r="D1405" s="6" t="s">
        <v>136</v>
      </c>
      <c r="E1405" s="6" t="s">
        <v>69</v>
      </c>
      <c r="F1405" s="6" t="s">
        <v>29</v>
      </c>
      <c r="G1405" s="6" t="s">
        <v>54</v>
      </c>
      <c r="H1405" s="6" t="s">
        <v>55</v>
      </c>
      <c r="I1405" s="6" t="s">
        <v>148</v>
      </c>
      <c r="J1405" s="6" t="s">
        <v>57</v>
      </c>
      <c r="K1405" s="6" t="s">
        <v>24</v>
      </c>
      <c r="L1405" s="6">
        <v>5</v>
      </c>
      <c r="M1405" s="7">
        <v>4680</v>
      </c>
      <c r="N1405" s="8">
        <v>0.18</v>
      </c>
      <c r="O1405" s="9">
        <v>3250</v>
      </c>
    </row>
    <row r="1406" spans="1:15" ht="18" x14ac:dyDescent="0.35">
      <c r="A1406" s="4" t="s">
        <v>1513</v>
      </c>
      <c r="B1406" s="5">
        <v>45978</v>
      </c>
      <c r="C1406" s="6" t="s">
        <v>48</v>
      </c>
      <c r="D1406" s="6" t="s">
        <v>93</v>
      </c>
      <c r="E1406" s="6" t="s">
        <v>28</v>
      </c>
      <c r="F1406" s="6" t="s">
        <v>39</v>
      </c>
      <c r="G1406" s="6" t="s">
        <v>40</v>
      </c>
      <c r="H1406" s="6" t="s">
        <v>76</v>
      </c>
      <c r="I1406" s="6" t="s">
        <v>139</v>
      </c>
      <c r="J1406" s="6" t="s">
        <v>33</v>
      </c>
      <c r="K1406" s="6" t="s">
        <v>66</v>
      </c>
      <c r="L1406" s="6">
        <v>30</v>
      </c>
      <c r="M1406" s="7">
        <v>25999</v>
      </c>
      <c r="N1406" s="8">
        <v>0.05</v>
      </c>
      <c r="O1406" s="9">
        <v>17800</v>
      </c>
    </row>
    <row r="1407" spans="1:15" ht="18" x14ac:dyDescent="0.35">
      <c r="A1407" s="4" t="s">
        <v>1514</v>
      </c>
      <c r="B1407" s="5">
        <v>45978</v>
      </c>
      <c r="C1407" s="6" t="s">
        <v>36</v>
      </c>
      <c r="D1407" s="6" t="s">
        <v>37</v>
      </c>
      <c r="E1407" s="6" t="s">
        <v>50</v>
      </c>
      <c r="F1407" s="6" t="s">
        <v>39</v>
      </c>
      <c r="G1407" s="6" t="s">
        <v>20</v>
      </c>
      <c r="H1407" s="6" t="s">
        <v>21</v>
      </c>
      <c r="I1407" s="6" t="s">
        <v>51</v>
      </c>
      <c r="J1407" s="6" t="s">
        <v>23</v>
      </c>
      <c r="K1407" s="6" t="s">
        <v>24</v>
      </c>
      <c r="L1407" s="6">
        <v>11</v>
      </c>
      <c r="M1407" s="7">
        <v>5999</v>
      </c>
      <c r="N1407" s="8">
        <v>0.15</v>
      </c>
      <c r="O1407" s="9">
        <v>3890</v>
      </c>
    </row>
    <row r="1408" spans="1:15" ht="18" x14ac:dyDescent="0.35">
      <c r="A1408" s="4" t="s">
        <v>1515</v>
      </c>
      <c r="B1408" s="5">
        <v>45978</v>
      </c>
      <c r="C1408" s="6" t="s">
        <v>36</v>
      </c>
      <c r="D1408" s="6" t="s">
        <v>44</v>
      </c>
      <c r="E1408" s="6" t="s">
        <v>38</v>
      </c>
      <c r="F1408" s="6" t="s">
        <v>39</v>
      </c>
      <c r="G1408" s="6" t="s">
        <v>54</v>
      </c>
      <c r="H1408" s="6" t="s">
        <v>90</v>
      </c>
      <c r="I1408" s="6" t="s">
        <v>258</v>
      </c>
      <c r="J1408" s="6" t="s">
        <v>33</v>
      </c>
      <c r="K1408" s="6" t="s">
        <v>34</v>
      </c>
      <c r="L1408" s="6">
        <v>13</v>
      </c>
      <c r="M1408" s="7">
        <v>29010</v>
      </c>
      <c r="N1408" s="8">
        <v>0.1</v>
      </c>
      <c r="O1408" s="9">
        <v>19150</v>
      </c>
    </row>
    <row r="1409" spans="1:15" ht="18" x14ac:dyDescent="0.35">
      <c r="A1409" s="4" t="s">
        <v>1516</v>
      </c>
      <c r="B1409" s="5">
        <v>45979</v>
      </c>
      <c r="C1409" s="6" t="s">
        <v>82</v>
      </c>
      <c r="D1409" s="6" t="s">
        <v>100</v>
      </c>
      <c r="E1409" s="6" t="s">
        <v>101</v>
      </c>
      <c r="F1409" s="6" t="s">
        <v>29</v>
      </c>
      <c r="G1409" s="6" t="s">
        <v>20</v>
      </c>
      <c r="H1409" s="6" t="s">
        <v>21</v>
      </c>
      <c r="I1409" s="6" t="s">
        <v>51</v>
      </c>
      <c r="J1409" s="6" t="s">
        <v>57</v>
      </c>
      <c r="K1409" s="6" t="s">
        <v>24</v>
      </c>
      <c r="L1409" s="6">
        <v>20</v>
      </c>
      <c r="M1409" s="7">
        <v>5999</v>
      </c>
      <c r="N1409" s="8">
        <v>0.15</v>
      </c>
      <c r="O1409" s="9">
        <v>3890</v>
      </c>
    </row>
    <row r="1410" spans="1:15" ht="18" x14ac:dyDescent="0.35">
      <c r="A1410" s="4" t="s">
        <v>1517</v>
      </c>
      <c r="B1410" s="5">
        <v>45979</v>
      </c>
      <c r="C1410" s="6" t="s">
        <v>82</v>
      </c>
      <c r="D1410" s="6" t="s">
        <v>100</v>
      </c>
      <c r="E1410" s="6" t="s">
        <v>60</v>
      </c>
      <c r="F1410" s="6" t="s">
        <v>19</v>
      </c>
      <c r="G1410" s="6" t="s">
        <v>40</v>
      </c>
      <c r="H1410" s="6" t="s">
        <v>64</v>
      </c>
      <c r="I1410" s="6" t="s">
        <v>153</v>
      </c>
      <c r="J1410" s="6" t="s">
        <v>57</v>
      </c>
      <c r="K1410" s="6" t="s">
        <v>24</v>
      </c>
      <c r="L1410" s="6">
        <v>36</v>
      </c>
      <c r="M1410" s="7">
        <v>4490</v>
      </c>
      <c r="N1410" s="8">
        <v>0.15</v>
      </c>
      <c r="O1410" s="9">
        <v>2950</v>
      </c>
    </row>
    <row r="1411" spans="1:15" ht="18" x14ac:dyDescent="0.35">
      <c r="A1411" s="4" t="s">
        <v>1518</v>
      </c>
      <c r="B1411" s="5">
        <v>45980</v>
      </c>
      <c r="C1411" s="6" t="s">
        <v>26</v>
      </c>
      <c r="D1411" s="6" t="s">
        <v>163</v>
      </c>
      <c r="E1411" s="6" t="s">
        <v>105</v>
      </c>
      <c r="F1411" s="6" t="s">
        <v>39</v>
      </c>
      <c r="G1411" s="6" t="s">
        <v>40</v>
      </c>
      <c r="H1411" s="6" t="s">
        <v>64</v>
      </c>
      <c r="I1411" s="6" t="s">
        <v>65</v>
      </c>
      <c r="J1411" s="6" t="s">
        <v>33</v>
      </c>
      <c r="K1411" s="6" t="s">
        <v>24</v>
      </c>
      <c r="L1411" s="6">
        <v>22</v>
      </c>
      <c r="M1411" s="7">
        <v>1930</v>
      </c>
      <c r="N1411" s="8">
        <v>0.15</v>
      </c>
      <c r="O1411" s="9">
        <v>1120</v>
      </c>
    </row>
    <row r="1412" spans="1:15" ht="18" x14ac:dyDescent="0.35">
      <c r="A1412" s="4" t="s">
        <v>1519</v>
      </c>
      <c r="B1412" s="5">
        <v>45980</v>
      </c>
      <c r="C1412" s="6" t="s">
        <v>82</v>
      </c>
      <c r="D1412" s="6" t="s">
        <v>87</v>
      </c>
      <c r="E1412" s="6" t="s">
        <v>28</v>
      </c>
      <c r="F1412" s="6" t="s">
        <v>29</v>
      </c>
      <c r="G1412" s="6" t="s">
        <v>30</v>
      </c>
      <c r="H1412" s="6" t="s">
        <v>31</v>
      </c>
      <c r="I1412" s="6" t="s">
        <v>106</v>
      </c>
      <c r="J1412" s="6" t="s">
        <v>33</v>
      </c>
      <c r="K1412" s="6" t="s">
        <v>78</v>
      </c>
      <c r="L1412" s="6">
        <v>14</v>
      </c>
      <c r="M1412" s="7">
        <v>52990</v>
      </c>
      <c r="N1412" s="8">
        <v>0.05</v>
      </c>
      <c r="O1412" s="9">
        <v>35100</v>
      </c>
    </row>
    <row r="1413" spans="1:15" ht="18" x14ac:dyDescent="0.35">
      <c r="A1413" s="4" t="s">
        <v>1520</v>
      </c>
      <c r="B1413" s="5">
        <v>45980</v>
      </c>
      <c r="C1413" s="6" t="s">
        <v>36</v>
      </c>
      <c r="D1413" s="6" t="s">
        <v>59</v>
      </c>
      <c r="E1413" s="6" t="s">
        <v>84</v>
      </c>
      <c r="F1413" s="6" t="s">
        <v>19</v>
      </c>
      <c r="G1413" s="6" t="s">
        <v>54</v>
      </c>
      <c r="H1413" s="6" t="s">
        <v>90</v>
      </c>
      <c r="I1413" s="6" t="s">
        <v>258</v>
      </c>
      <c r="J1413" s="6" t="s">
        <v>57</v>
      </c>
      <c r="K1413" s="6" t="s">
        <v>34</v>
      </c>
      <c r="L1413" s="6">
        <v>9</v>
      </c>
      <c r="M1413" s="7">
        <v>29010</v>
      </c>
      <c r="N1413" s="8">
        <v>0.08</v>
      </c>
      <c r="O1413" s="9">
        <v>19150</v>
      </c>
    </row>
    <row r="1414" spans="1:15" ht="18" x14ac:dyDescent="0.35">
      <c r="A1414" s="4" t="s">
        <v>1521</v>
      </c>
      <c r="B1414" s="5">
        <v>45981</v>
      </c>
      <c r="C1414" s="6" t="s">
        <v>26</v>
      </c>
      <c r="D1414" s="6" t="s">
        <v>53</v>
      </c>
      <c r="E1414" s="6" t="s">
        <v>69</v>
      </c>
      <c r="F1414" s="6" t="s">
        <v>29</v>
      </c>
      <c r="G1414" s="6" t="s">
        <v>20</v>
      </c>
      <c r="H1414" s="6" t="s">
        <v>21</v>
      </c>
      <c r="I1414" s="6" t="s">
        <v>22</v>
      </c>
      <c r="J1414" s="6" t="s">
        <v>23</v>
      </c>
      <c r="K1414" s="6" t="s">
        <v>24</v>
      </c>
      <c r="L1414" s="6">
        <v>37</v>
      </c>
      <c r="M1414" s="7">
        <v>4499</v>
      </c>
      <c r="N1414" s="8">
        <v>0.05</v>
      </c>
      <c r="O1414" s="9">
        <v>2910</v>
      </c>
    </row>
    <row r="1415" spans="1:15" ht="18" x14ac:dyDescent="0.35">
      <c r="A1415" s="4" t="s">
        <v>1522</v>
      </c>
      <c r="B1415" s="5">
        <v>45981</v>
      </c>
      <c r="C1415" s="6" t="s">
        <v>16</v>
      </c>
      <c r="D1415" s="6" t="s">
        <v>17</v>
      </c>
      <c r="E1415" s="6" t="s">
        <v>38</v>
      </c>
      <c r="F1415" s="6" t="s">
        <v>29</v>
      </c>
      <c r="G1415" s="6" t="s">
        <v>30</v>
      </c>
      <c r="H1415" s="6" t="s">
        <v>31</v>
      </c>
      <c r="I1415" s="6" t="s">
        <v>32</v>
      </c>
      <c r="J1415" s="6" t="s">
        <v>57</v>
      </c>
      <c r="K1415" s="6" t="s">
        <v>24</v>
      </c>
      <c r="L1415" s="6">
        <v>14</v>
      </c>
      <c r="M1415" s="7">
        <v>38990</v>
      </c>
      <c r="N1415" s="8">
        <v>0.05</v>
      </c>
      <c r="O1415" s="9">
        <v>25400</v>
      </c>
    </row>
    <row r="1416" spans="1:15" ht="18" x14ac:dyDescent="0.35">
      <c r="A1416" s="4" t="s">
        <v>1523</v>
      </c>
      <c r="B1416" s="5">
        <v>45981</v>
      </c>
      <c r="C1416" s="6" t="s">
        <v>16</v>
      </c>
      <c r="D1416" s="6" t="s">
        <v>98</v>
      </c>
      <c r="E1416" s="6" t="s">
        <v>28</v>
      </c>
      <c r="F1416" s="6" t="s">
        <v>19</v>
      </c>
      <c r="G1416" s="6" t="s">
        <v>70</v>
      </c>
      <c r="H1416" s="6" t="s">
        <v>71</v>
      </c>
      <c r="I1416" s="6" t="s">
        <v>72</v>
      </c>
      <c r="J1416" s="6" t="s">
        <v>23</v>
      </c>
      <c r="K1416" s="6" t="s">
        <v>78</v>
      </c>
      <c r="L1416" s="6">
        <v>29</v>
      </c>
      <c r="M1416" s="7">
        <v>3499</v>
      </c>
      <c r="N1416" s="8">
        <v>0.2</v>
      </c>
      <c r="O1416" s="9">
        <v>2190</v>
      </c>
    </row>
    <row r="1417" spans="1:15" ht="18" x14ac:dyDescent="0.35">
      <c r="A1417" s="4" t="s">
        <v>1524</v>
      </c>
      <c r="B1417" s="5">
        <v>45982</v>
      </c>
      <c r="C1417" s="6" t="s">
        <v>82</v>
      </c>
      <c r="D1417" s="6" t="s">
        <v>83</v>
      </c>
      <c r="E1417" s="6" t="s">
        <v>28</v>
      </c>
      <c r="F1417" s="6" t="s">
        <v>39</v>
      </c>
      <c r="G1417" s="6" t="s">
        <v>20</v>
      </c>
      <c r="H1417" s="6" t="s">
        <v>45</v>
      </c>
      <c r="I1417" s="6" t="s">
        <v>196</v>
      </c>
      <c r="J1417" s="6" t="s">
        <v>33</v>
      </c>
      <c r="K1417" s="6" t="s">
        <v>24</v>
      </c>
      <c r="L1417" s="6">
        <v>21</v>
      </c>
      <c r="M1417" s="7">
        <v>2499</v>
      </c>
      <c r="N1417" s="8">
        <v>0.05</v>
      </c>
      <c r="O1417" s="9">
        <v>1510</v>
      </c>
    </row>
    <row r="1418" spans="1:15" ht="18" x14ac:dyDescent="0.35">
      <c r="A1418" s="4" t="s">
        <v>1525</v>
      </c>
      <c r="B1418" s="5">
        <v>45982</v>
      </c>
      <c r="C1418" s="6" t="s">
        <v>48</v>
      </c>
      <c r="D1418" s="6" t="s">
        <v>136</v>
      </c>
      <c r="E1418" s="6" t="s">
        <v>75</v>
      </c>
      <c r="F1418" s="6" t="s">
        <v>39</v>
      </c>
      <c r="G1418" s="6" t="s">
        <v>70</v>
      </c>
      <c r="H1418" s="6" t="s">
        <v>71</v>
      </c>
      <c r="I1418" s="6" t="s">
        <v>88</v>
      </c>
      <c r="J1418" s="6" t="s">
        <v>57</v>
      </c>
      <c r="K1418" s="6" t="s">
        <v>24</v>
      </c>
      <c r="L1418" s="6">
        <v>9</v>
      </c>
      <c r="M1418" s="7">
        <v>999</v>
      </c>
      <c r="N1418" s="8">
        <v>0.12</v>
      </c>
      <c r="O1418" s="9">
        <v>540</v>
      </c>
    </row>
    <row r="1419" spans="1:15" ht="18" x14ac:dyDescent="0.35">
      <c r="A1419" s="4" t="s">
        <v>1526</v>
      </c>
      <c r="B1419" s="5">
        <v>45982</v>
      </c>
      <c r="C1419" s="6" t="s">
        <v>26</v>
      </c>
      <c r="D1419" s="6" t="s">
        <v>27</v>
      </c>
      <c r="E1419" s="6" t="s">
        <v>69</v>
      </c>
      <c r="F1419" s="6" t="s">
        <v>29</v>
      </c>
      <c r="G1419" s="6" t="s">
        <v>20</v>
      </c>
      <c r="H1419" s="6" t="s">
        <v>21</v>
      </c>
      <c r="I1419" s="6" t="s">
        <v>115</v>
      </c>
      <c r="J1419" s="6" t="s">
        <v>23</v>
      </c>
      <c r="K1419" s="6" t="s">
        <v>34</v>
      </c>
      <c r="L1419" s="6">
        <v>25</v>
      </c>
      <c r="M1419" s="7">
        <v>6499</v>
      </c>
      <c r="N1419" s="8">
        <v>0.1</v>
      </c>
      <c r="O1419" s="9">
        <v>4210</v>
      </c>
    </row>
    <row r="1420" spans="1:15" ht="18" x14ac:dyDescent="0.35">
      <c r="A1420" s="4" t="s">
        <v>1527</v>
      </c>
      <c r="B1420" s="5">
        <v>45983</v>
      </c>
      <c r="C1420" s="6" t="s">
        <v>82</v>
      </c>
      <c r="D1420" s="6" t="s">
        <v>100</v>
      </c>
      <c r="E1420" s="6" t="s">
        <v>75</v>
      </c>
      <c r="F1420" s="6" t="s">
        <v>39</v>
      </c>
      <c r="G1420" s="6" t="s">
        <v>54</v>
      </c>
      <c r="H1420" s="6" t="s">
        <v>55</v>
      </c>
      <c r="I1420" s="6" t="s">
        <v>56</v>
      </c>
      <c r="J1420" s="6" t="s">
        <v>57</v>
      </c>
      <c r="K1420" s="6" t="s">
        <v>34</v>
      </c>
      <c r="L1420" s="6">
        <v>40</v>
      </c>
      <c r="M1420" s="7">
        <v>7299</v>
      </c>
      <c r="N1420" s="8">
        <v>0.05</v>
      </c>
      <c r="O1420" s="9">
        <v>5010</v>
      </c>
    </row>
    <row r="1421" spans="1:15" ht="18" x14ac:dyDescent="0.35">
      <c r="A1421" s="4" t="s">
        <v>1528</v>
      </c>
      <c r="B1421" s="5">
        <v>45983</v>
      </c>
      <c r="C1421" s="6" t="s">
        <v>48</v>
      </c>
      <c r="D1421" s="6" t="s">
        <v>93</v>
      </c>
      <c r="E1421" s="6" t="s">
        <v>105</v>
      </c>
      <c r="F1421" s="6" t="s">
        <v>29</v>
      </c>
      <c r="G1421" s="6" t="s">
        <v>40</v>
      </c>
      <c r="H1421" s="6" t="s">
        <v>64</v>
      </c>
      <c r="I1421" s="6" t="s">
        <v>159</v>
      </c>
      <c r="J1421" s="6" t="s">
        <v>23</v>
      </c>
      <c r="K1421" s="6" t="s">
        <v>24</v>
      </c>
      <c r="L1421" s="6">
        <v>5</v>
      </c>
      <c r="M1421" s="7">
        <v>3299</v>
      </c>
      <c r="N1421" s="8">
        <v>0.1</v>
      </c>
      <c r="O1421" s="9">
        <v>2050</v>
      </c>
    </row>
    <row r="1422" spans="1:15" ht="18" x14ac:dyDescent="0.35">
      <c r="A1422" s="4" t="s">
        <v>1529</v>
      </c>
      <c r="B1422" s="5">
        <v>45983</v>
      </c>
      <c r="C1422" s="6" t="s">
        <v>26</v>
      </c>
      <c r="D1422" s="6" t="s">
        <v>27</v>
      </c>
      <c r="E1422" s="6" t="s">
        <v>101</v>
      </c>
      <c r="F1422" s="6" t="s">
        <v>29</v>
      </c>
      <c r="G1422" s="6" t="s">
        <v>40</v>
      </c>
      <c r="H1422" s="6" t="s">
        <v>76</v>
      </c>
      <c r="I1422" s="6" t="s">
        <v>139</v>
      </c>
      <c r="J1422" s="6" t="s">
        <v>57</v>
      </c>
      <c r="K1422" s="6" t="s">
        <v>34</v>
      </c>
      <c r="L1422" s="6">
        <v>14</v>
      </c>
      <c r="M1422" s="7">
        <v>25999</v>
      </c>
      <c r="N1422" s="8">
        <v>0.05</v>
      </c>
      <c r="O1422" s="9">
        <v>17800</v>
      </c>
    </row>
    <row r="1423" spans="1:15" ht="18" x14ac:dyDescent="0.35">
      <c r="A1423" s="4" t="s">
        <v>1530</v>
      </c>
      <c r="B1423" s="5">
        <v>45985</v>
      </c>
      <c r="C1423" s="6" t="s">
        <v>48</v>
      </c>
      <c r="D1423" s="6" t="s">
        <v>136</v>
      </c>
      <c r="E1423" s="6" t="s">
        <v>50</v>
      </c>
      <c r="F1423" s="6" t="s">
        <v>39</v>
      </c>
      <c r="G1423" s="6" t="s">
        <v>20</v>
      </c>
      <c r="H1423" s="6" t="s">
        <v>45</v>
      </c>
      <c r="I1423" s="6" t="s">
        <v>46</v>
      </c>
      <c r="J1423" s="6" t="s">
        <v>23</v>
      </c>
      <c r="K1423" s="6" t="s">
        <v>24</v>
      </c>
      <c r="L1423" s="6">
        <v>13</v>
      </c>
      <c r="M1423" s="7">
        <v>1899</v>
      </c>
      <c r="N1423" s="8">
        <v>0.12</v>
      </c>
      <c r="O1423" s="9">
        <v>1080</v>
      </c>
    </row>
    <row r="1424" spans="1:15" ht="18" x14ac:dyDescent="0.35">
      <c r="A1424" s="4" t="s">
        <v>1531</v>
      </c>
      <c r="B1424" s="5">
        <v>45985</v>
      </c>
      <c r="C1424" s="6" t="s">
        <v>48</v>
      </c>
      <c r="D1424" s="6" t="s">
        <v>49</v>
      </c>
      <c r="E1424" s="6" t="s">
        <v>18</v>
      </c>
      <c r="F1424" s="6" t="s">
        <v>39</v>
      </c>
      <c r="G1424" s="6" t="s">
        <v>54</v>
      </c>
      <c r="H1424" s="6" t="s">
        <v>129</v>
      </c>
      <c r="I1424" s="6" t="s">
        <v>130</v>
      </c>
      <c r="J1424" s="6" t="s">
        <v>57</v>
      </c>
      <c r="K1424" s="6" t="s">
        <v>24</v>
      </c>
      <c r="L1424" s="6">
        <v>15</v>
      </c>
      <c r="M1424" s="7">
        <v>27890</v>
      </c>
      <c r="N1424" s="8">
        <v>0.18</v>
      </c>
      <c r="O1424" s="9">
        <v>18800</v>
      </c>
    </row>
    <row r="1425" spans="1:15" ht="18" x14ac:dyDescent="0.35">
      <c r="A1425" s="4" t="s">
        <v>1532</v>
      </c>
      <c r="B1425" s="5">
        <v>45985</v>
      </c>
      <c r="C1425" s="6" t="s">
        <v>26</v>
      </c>
      <c r="D1425" s="6" t="s">
        <v>53</v>
      </c>
      <c r="E1425" s="6" t="s">
        <v>18</v>
      </c>
      <c r="F1425" s="6" t="s">
        <v>39</v>
      </c>
      <c r="G1425" s="6" t="s">
        <v>30</v>
      </c>
      <c r="H1425" s="6" t="s">
        <v>61</v>
      </c>
      <c r="I1425" s="6" t="s">
        <v>62</v>
      </c>
      <c r="J1425" s="6" t="s">
        <v>33</v>
      </c>
      <c r="K1425" s="6" t="s">
        <v>34</v>
      </c>
      <c r="L1425" s="6">
        <v>14</v>
      </c>
      <c r="M1425" s="7">
        <v>12490</v>
      </c>
      <c r="N1425" s="8">
        <v>0.15</v>
      </c>
      <c r="O1425" s="9">
        <v>7900</v>
      </c>
    </row>
    <row r="1426" spans="1:15" ht="18" x14ac:dyDescent="0.35">
      <c r="A1426" s="4" t="s">
        <v>1533</v>
      </c>
      <c r="B1426" s="5">
        <v>45986</v>
      </c>
      <c r="C1426" s="6" t="s">
        <v>36</v>
      </c>
      <c r="D1426" s="6" t="s">
        <v>37</v>
      </c>
      <c r="E1426" s="6" t="s">
        <v>75</v>
      </c>
      <c r="F1426" s="6" t="s">
        <v>29</v>
      </c>
      <c r="G1426" s="6" t="s">
        <v>30</v>
      </c>
      <c r="H1426" s="6" t="s">
        <v>31</v>
      </c>
      <c r="I1426" s="6" t="s">
        <v>32</v>
      </c>
      <c r="J1426" s="6" t="s">
        <v>33</v>
      </c>
      <c r="K1426" s="6" t="s">
        <v>24</v>
      </c>
      <c r="L1426" s="6">
        <v>25</v>
      </c>
      <c r="M1426" s="7">
        <v>38990</v>
      </c>
      <c r="N1426" s="8">
        <v>0.08</v>
      </c>
      <c r="O1426" s="9">
        <v>25400</v>
      </c>
    </row>
    <row r="1427" spans="1:15" ht="18" x14ac:dyDescent="0.35">
      <c r="A1427" s="4" t="s">
        <v>1534</v>
      </c>
      <c r="B1427" s="5">
        <v>45986</v>
      </c>
      <c r="C1427" s="6" t="s">
        <v>48</v>
      </c>
      <c r="D1427" s="6" t="s">
        <v>136</v>
      </c>
      <c r="E1427" s="6" t="s">
        <v>69</v>
      </c>
      <c r="F1427" s="6" t="s">
        <v>29</v>
      </c>
      <c r="G1427" s="6" t="s">
        <v>70</v>
      </c>
      <c r="H1427" s="6" t="s">
        <v>71</v>
      </c>
      <c r="I1427" s="6" t="s">
        <v>88</v>
      </c>
      <c r="J1427" s="6" t="s">
        <v>57</v>
      </c>
      <c r="K1427" s="6" t="s">
        <v>34</v>
      </c>
      <c r="L1427" s="6">
        <v>21</v>
      </c>
      <c r="M1427" s="7">
        <v>999</v>
      </c>
      <c r="N1427" s="8">
        <v>0.18</v>
      </c>
      <c r="O1427" s="9">
        <v>540</v>
      </c>
    </row>
    <row r="1428" spans="1:15" ht="18" x14ac:dyDescent="0.35">
      <c r="A1428" s="4" t="s">
        <v>1535</v>
      </c>
      <c r="B1428" s="5">
        <v>45987</v>
      </c>
      <c r="C1428" s="6" t="s">
        <v>82</v>
      </c>
      <c r="D1428" s="6" t="s">
        <v>87</v>
      </c>
      <c r="E1428" s="6" t="s">
        <v>101</v>
      </c>
      <c r="F1428" s="6" t="s">
        <v>39</v>
      </c>
      <c r="G1428" s="6" t="s">
        <v>40</v>
      </c>
      <c r="H1428" s="6" t="s">
        <v>64</v>
      </c>
      <c r="I1428" s="6" t="s">
        <v>159</v>
      </c>
      <c r="J1428" s="6" t="s">
        <v>33</v>
      </c>
      <c r="K1428" s="6" t="s">
        <v>66</v>
      </c>
      <c r="L1428" s="6">
        <v>29</v>
      </c>
      <c r="M1428" s="7">
        <v>3299</v>
      </c>
      <c r="N1428" s="8">
        <v>0.2</v>
      </c>
      <c r="O1428" s="9">
        <v>2050</v>
      </c>
    </row>
    <row r="1429" spans="1:15" ht="18" x14ac:dyDescent="0.35">
      <c r="A1429" s="4" t="s">
        <v>1536</v>
      </c>
      <c r="B1429" s="5">
        <v>45988</v>
      </c>
      <c r="C1429" s="6" t="s">
        <v>48</v>
      </c>
      <c r="D1429" s="6" t="s">
        <v>93</v>
      </c>
      <c r="E1429" s="6" t="s">
        <v>60</v>
      </c>
      <c r="F1429" s="6" t="s">
        <v>29</v>
      </c>
      <c r="G1429" s="6" t="s">
        <v>70</v>
      </c>
      <c r="H1429" s="6" t="s">
        <v>71</v>
      </c>
      <c r="I1429" s="6" t="s">
        <v>88</v>
      </c>
      <c r="J1429" s="6" t="s">
        <v>57</v>
      </c>
      <c r="K1429" s="6" t="s">
        <v>24</v>
      </c>
      <c r="L1429" s="6">
        <v>39</v>
      </c>
      <c r="M1429" s="7">
        <v>999</v>
      </c>
      <c r="N1429" s="8">
        <v>0.2</v>
      </c>
      <c r="O1429" s="9">
        <v>540</v>
      </c>
    </row>
    <row r="1430" spans="1:15" ht="18" x14ac:dyDescent="0.35">
      <c r="A1430" s="4" t="s">
        <v>1537</v>
      </c>
      <c r="B1430" s="5">
        <v>45988</v>
      </c>
      <c r="C1430" s="6" t="s">
        <v>82</v>
      </c>
      <c r="D1430" s="6" t="s">
        <v>183</v>
      </c>
      <c r="E1430" s="6" t="s">
        <v>50</v>
      </c>
      <c r="F1430" s="6" t="s">
        <v>19</v>
      </c>
      <c r="G1430" s="6" t="s">
        <v>54</v>
      </c>
      <c r="H1430" s="6" t="s">
        <v>129</v>
      </c>
      <c r="I1430" s="6" t="s">
        <v>130</v>
      </c>
      <c r="J1430" s="6" t="s">
        <v>33</v>
      </c>
      <c r="K1430" s="6" t="s">
        <v>66</v>
      </c>
      <c r="L1430" s="6">
        <v>28</v>
      </c>
      <c r="M1430" s="7">
        <v>27890</v>
      </c>
      <c r="N1430" s="8">
        <v>0.1</v>
      </c>
      <c r="O1430" s="9">
        <v>18800</v>
      </c>
    </row>
    <row r="1431" spans="1:15" ht="18" x14ac:dyDescent="0.35">
      <c r="A1431" s="4" t="s">
        <v>1538</v>
      </c>
      <c r="B1431" s="5">
        <v>45988</v>
      </c>
      <c r="C1431" s="6" t="s">
        <v>36</v>
      </c>
      <c r="D1431" s="6" t="s">
        <v>44</v>
      </c>
      <c r="E1431" s="6" t="s">
        <v>38</v>
      </c>
      <c r="F1431" s="6" t="s">
        <v>29</v>
      </c>
      <c r="G1431" s="6" t="s">
        <v>30</v>
      </c>
      <c r="H1431" s="6" t="s">
        <v>31</v>
      </c>
      <c r="I1431" s="6" t="s">
        <v>32</v>
      </c>
      <c r="J1431" s="6" t="s">
        <v>57</v>
      </c>
      <c r="K1431" s="6" t="s">
        <v>78</v>
      </c>
      <c r="L1431" s="6">
        <v>35</v>
      </c>
      <c r="M1431" s="7">
        <v>38990</v>
      </c>
      <c r="N1431" s="8">
        <v>0.08</v>
      </c>
      <c r="O1431" s="9">
        <v>25400</v>
      </c>
    </row>
    <row r="1432" spans="1:15" ht="18" x14ac:dyDescent="0.35">
      <c r="A1432" s="4" t="s">
        <v>1539</v>
      </c>
      <c r="B1432" s="5">
        <v>45989</v>
      </c>
      <c r="C1432" s="6" t="s">
        <v>26</v>
      </c>
      <c r="D1432" s="6" t="s">
        <v>163</v>
      </c>
      <c r="E1432" s="6" t="s">
        <v>18</v>
      </c>
      <c r="F1432" s="6" t="s">
        <v>39</v>
      </c>
      <c r="G1432" s="6" t="s">
        <v>40</v>
      </c>
      <c r="H1432" s="6" t="s">
        <v>64</v>
      </c>
      <c r="I1432" s="6" t="s">
        <v>153</v>
      </c>
      <c r="J1432" s="6" t="s">
        <v>57</v>
      </c>
      <c r="K1432" s="6" t="s">
        <v>34</v>
      </c>
      <c r="L1432" s="6">
        <v>2</v>
      </c>
      <c r="M1432" s="7">
        <v>4490</v>
      </c>
      <c r="N1432" s="8">
        <v>0.1</v>
      </c>
      <c r="O1432" s="9">
        <v>2950</v>
      </c>
    </row>
    <row r="1433" spans="1:15" ht="18" x14ac:dyDescent="0.35">
      <c r="A1433" s="4" t="s">
        <v>1540</v>
      </c>
      <c r="B1433" s="5">
        <v>45990</v>
      </c>
      <c r="C1433" s="6" t="s">
        <v>16</v>
      </c>
      <c r="D1433" s="6" t="s">
        <v>111</v>
      </c>
      <c r="E1433" s="6" t="s">
        <v>60</v>
      </c>
      <c r="F1433" s="6" t="s">
        <v>39</v>
      </c>
      <c r="G1433" s="6" t="s">
        <v>70</v>
      </c>
      <c r="H1433" s="6" t="s">
        <v>71</v>
      </c>
      <c r="I1433" s="6" t="s">
        <v>80</v>
      </c>
      <c r="J1433" s="6" t="s">
        <v>23</v>
      </c>
      <c r="K1433" s="6" t="s">
        <v>24</v>
      </c>
      <c r="L1433" s="6">
        <v>17</v>
      </c>
      <c r="M1433" s="7">
        <v>1299</v>
      </c>
      <c r="N1433" s="8">
        <v>0.12</v>
      </c>
      <c r="O1433" s="9">
        <v>720</v>
      </c>
    </row>
    <row r="1434" spans="1:15" ht="18" x14ac:dyDescent="0.35">
      <c r="A1434" s="4" t="s">
        <v>1541</v>
      </c>
      <c r="B1434" s="5">
        <v>45990</v>
      </c>
      <c r="C1434" s="6" t="s">
        <v>82</v>
      </c>
      <c r="D1434" s="6" t="s">
        <v>100</v>
      </c>
      <c r="E1434" s="6" t="s">
        <v>50</v>
      </c>
      <c r="F1434" s="6" t="s">
        <v>39</v>
      </c>
      <c r="G1434" s="6" t="s">
        <v>40</v>
      </c>
      <c r="H1434" s="6" t="s">
        <v>41</v>
      </c>
      <c r="I1434" s="6" t="s">
        <v>156</v>
      </c>
      <c r="J1434" s="6" t="s">
        <v>23</v>
      </c>
      <c r="K1434" s="6" t="s">
        <v>78</v>
      </c>
      <c r="L1434" s="6">
        <v>24</v>
      </c>
      <c r="M1434" s="7">
        <v>48500</v>
      </c>
      <c r="N1434" s="8">
        <v>0.18</v>
      </c>
      <c r="O1434" s="9">
        <v>30200</v>
      </c>
    </row>
    <row r="1435" spans="1:15" ht="18" x14ac:dyDescent="0.35">
      <c r="A1435" s="4" t="s">
        <v>1542</v>
      </c>
      <c r="B1435" s="5">
        <v>45990</v>
      </c>
      <c r="C1435" s="6" t="s">
        <v>26</v>
      </c>
      <c r="D1435" s="6" t="s">
        <v>74</v>
      </c>
      <c r="E1435" s="6" t="s">
        <v>75</v>
      </c>
      <c r="F1435" s="6" t="s">
        <v>19</v>
      </c>
      <c r="G1435" s="6" t="s">
        <v>20</v>
      </c>
      <c r="H1435" s="6" t="s">
        <v>21</v>
      </c>
      <c r="I1435" s="6" t="s">
        <v>51</v>
      </c>
      <c r="J1435" s="6" t="s">
        <v>57</v>
      </c>
      <c r="K1435" s="6" t="s">
        <v>66</v>
      </c>
      <c r="L1435" s="6">
        <v>33</v>
      </c>
      <c r="M1435" s="7">
        <v>5999</v>
      </c>
      <c r="N1435" s="8">
        <v>0.18</v>
      </c>
      <c r="O1435" s="9">
        <v>3890</v>
      </c>
    </row>
    <row r="1436" spans="1:15" ht="18" x14ac:dyDescent="0.35">
      <c r="A1436" s="4" t="s">
        <v>1543</v>
      </c>
      <c r="B1436" s="5">
        <v>45991</v>
      </c>
      <c r="C1436" s="6" t="s">
        <v>82</v>
      </c>
      <c r="D1436" s="6" t="s">
        <v>87</v>
      </c>
      <c r="E1436" s="6" t="s">
        <v>75</v>
      </c>
      <c r="F1436" s="6" t="s">
        <v>19</v>
      </c>
      <c r="G1436" s="6" t="s">
        <v>70</v>
      </c>
      <c r="H1436" s="6" t="s">
        <v>71</v>
      </c>
      <c r="I1436" s="6" t="s">
        <v>80</v>
      </c>
      <c r="J1436" s="6" t="s">
        <v>23</v>
      </c>
      <c r="K1436" s="6" t="s">
        <v>78</v>
      </c>
      <c r="L1436" s="6">
        <v>35</v>
      </c>
      <c r="M1436" s="7">
        <v>1299</v>
      </c>
      <c r="N1436" s="8">
        <v>0.18</v>
      </c>
      <c r="O1436" s="9">
        <v>720</v>
      </c>
    </row>
    <row r="1437" spans="1:15" ht="18" x14ac:dyDescent="0.35">
      <c r="A1437" s="4" t="s">
        <v>1544</v>
      </c>
      <c r="B1437" s="5">
        <v>45991</v>
      </c>
      <c r="C1437" s="6" t="s">
        <v>36</v>
      </c>
      <c r="D1437" s="6" t="s">
        <v>44</v>
      </c>
      <c r="E1437" s="6" t="s">
        <v>105</v>
      </c>
      <c r="F1437" s="6" t="s">
        <v>39</v>
      </c>
      <c r="G1437" s="6" t="s">
        <v>30</v>
      </c>
      <c r="H1437" s="6" t="s">
        <v>61</v>
      </c>
      <c r="I1437" s="6" t="s">
        <v>186</v>
      </c>
      <c r="J1437" s="6" t="s">
        <v>33</v>
      </c>
      <c r="K1437" s="6" t="s">
        <v>34</v>
      </c>
      <c r="L1437" s="6">
        <v>7</v>
      </c>
      <c r="M1437" s="7">
        <v>6999</v>
      </c>
      <c r="N1437" s="8">
        <v>0.15</v>
      </c>
      <c r="O1437" s="9">
        <v>4320</v>
      </c>
    </row>
    <row r="1438" spans="1:15" ht="18" x14ac:dyDescent="0.35">
      <c r="A1438" s="4" t="s">
        <v>1545</v>
      </c>
      <c r="B1438" s="5">
        <v>45992</v>
      </c>
      <c r="C1438" s="6" t="s">
        <v>16</v>
      </c>
      <c r="D1438" s="6" t="s">
        <v>17</v>
      </c>
      <c r="E1438" s="6" t="s">
        <v>18</v>
      </c>
      <c r="F1438" s="6" t="s">
        <v>39</v>
      </c>
      <c r="G1438" s="6" t="s">
        <v>20</v>
      </c>
      <c r="H1438" s="6" t="s">
        <v>45</v>
      </c>
      <c r="I1438" s="6" t="s">
        <v>46</v>
      </c>
      <c r="J1438" s="6" t="s">
        <v>33</v>
      </c>
      <c r="K1438" s="6" t="s">
        <v>34</v>
      </c>
      <c r="L1438" s="6">
        <v>40</v>
      </c>
      <c r="M1438" s="7">
        <v>1899</v>
      </c>
      <c r="N1438" s="8">
        <v>0.1</v>
      </c>
      <c r="O1438" s="9">
        <v>1080</v>
      </c>
    </row>
    <row r="1439" spans="1:15" ht="18" x14ac:dyDescent="0.35">
      <c r="A1439" s="4" t="s">
        <v>1546</v>
      </c>
      <c r="B1439" s="5">
        <v>45992</v>
      </c>
      <c r="C1439" s="6" t="s">
        <v>16</v>
      </c>
      <c r="D1439" s="6" t="s">
        <v>111</v>
      </c>
      <c r="E1439" s="6" t="s">
        <v>50</v>
      </c>
      <c r="F1439" s="6" t="s">
        <v>19</v>
      </c>
      <c r="G1439" s="6" t="s">
        <v>40</v>
      </c>
      <c r="H1439" s="6" t="s">
        <v>64</v>
      </c>
      <c r="I1439" s="6" t="s">
        <v>159</v>
      </c>
      <c r="J1439" s="6" t="s">
        <v>57</v>
      </c>
      <c r="K1439" s="6" t="s">
        <v>24</v>
      </c>
      <c r="L1439" s="6">
        <v>17</v>
      </c>
      <c r="M1439" s="7">
        <v>3299</v>
      </c>
      <c r="N1439" s="8">
        <v>0.2</v>
      </c>
      <c r="O1439" s="9">
        <v>2050</v>
      </c>
    </row>
    <row r="1440" spans="1:15" ht="18" x14ac:dyDescent="0.35">
      <c r="A1440" s="4" t="s">
        <v>1547</v>
      </c>
      <c r="B1440" s="5">
        <v>45993</v>
      </c>
      <c r="C1440" s="6" t="s">
        <v>82</v>
      </c>
      <c r="D1440" s="6" t="s">
        <v>100</v>
      </c>
      <c r="E1440" s="6" t="s">
        <v>18</v>
      </c>
      <c r="F1440" s="6" t="s">
        <v>29</v>
      </c>
      <c r="G1440" s="6" t="s">
        <v>54</v>
      </c>
      <c r="H1440" s="6" t="s">
        <v>90</v>
      </c>
      <c r="I1440" s="6" t="s">
        <v>134</v>
      </c>
      <c r="J1440" s="6" t="s">
        <v>33</v>
      </c>
      <c r="K1440" s="6" t="s">
        <v>66</v>
      </c>
      <c r="L1440" s="6">
        <v>9</v>
      </c>
      <c r="M1440" s="7">
        <v>32800</v>
      </c>
      <c r="N1440" s="8">
        <v>0.12</v>
      </c>
      <c r="O1440" s="9">
        <v>23100</v>
      </c>
    </row>
    <row r="1441" spans="1:15" ht="18" x14ac:dyDescent="0.35">
      <c r="A1441" s="4" t="s">
        <v>1548</v>
      </c>
      <c r="B1441" s="5">
        <v>45994</v>
      </c>
      <c r="C1441" s="6" t="s">
        <v>48</v>
      </c>
      <c r="D1441" s="6" t="s">
        <v>49</v>
      </c>
      <c r="E1441" s="6" t="s">
        <v>69</v>
      </c>
      <c r="F1441" s="6" t="s">
        <v>29</v>
      </c>
      <c r="G1441" s="6" t="s">
        <v>40</v>
      </c>
      <c r="H1441" s="6" t="s">
        <v>41</v>
      </c>
      <c r="I1441" s="6" t="s">
        <v>119</v>
      </c>
      <c r="J1441" s="6" t="s">
        <v>57</v>
      </c>
      <c r="K1441" s="6" t="s">
        <v>34</v>
      </c>
      <c r="L1441" s="6">
        <v>26</v>
      </c>
      <c r="M1441" s="7">
        <v>48990</v>
      </c>
      <c r="N1441" s="8">
        <v>0.2</v>
      </c>
      <c r="O1441" s="9">
        <v>30100</v>
      </c>
    </row>
    <row r="1442" spans="1:15" ht="18" x14ac:dyDescent="0.35">
      <c r="A1442" s="4" t="s">
        <v>1549</v>
      </c>
      <c r="B1442" s="5">
        <v>45994</v>
      </c>
      <c r="C1442" s="6" t="s">
        <v>16</v>
      </c>
      <c r="D1442" s="6" t="s">
        <v>17</v>
      </c>
      <c r="E1442" s="6" t="s">
        <v>75</v>
      </c>
      <c r="F1442" s="6" t="s">
        <v>19</v>
      </c>
      <c r="G1442" s="6" t="s">
        <v>30</v>
      </c>
      <c r="H1442" s="6" t="s">
        <v>61</v>
      </c>
      <c r="I1442" s="6" t="s">
        <v>186</v>
      </c>
      <c r="J1442" s="6" t="s">
        <v>33</v>
      </c>
      <c r="K1442" s="6" t="s">
        <v>34</v>
      </c>
      <c r="L1442" s="6">
        <v>15</v>
      </c>
      <c r="M1442" s="7">
        <v>6999</v>
      </c>
      <c r="N1442" s="8">
        <v>0.05</v>
      </c>
      <c r="O1442" s="9">
        <v>4320</v>
      </c>
    </row>
    <row r="1443" spans="1:15" ht="18" x14ac:dyDescent="0.35">
      <c r="A1443" s="4" t="s">
        <v>1550</v>
      </c>
      <c r="B1443" s="5">
        <v>45994</v>
      </c>
      <c r="C1443" s="6" t="s">
        <v>26</v>
      </c>
      <c r="D1443" s="6" t="s">
        <v>74</v>
      </c>
      <c r="E1443" s="6" t="s">
        <v>60</v>
      </c>
      <c r="F1443" s="6" t="s">
        <v>39</v>
      </c>
      <c r="G1443" s="6" t="s">
        <v>40</v>
      </c>
      <c r="H1443" s="6" t="s">
        <v>76</v>
      </c>
      <c r="I1443" s="6" t="s">
        <v>113</v>
      </c>
      <c r="J1443" s="6" t="s">
        <v>57</v>
      </c>
      <c r="K1443" s="6" t="s">
        <v>24</v>
      </c>
      <c r="L1443" s="6">
        <v>9</v>
      </c>
      <c r="M1443" s="7">
        <v>22999</v>
      </c>
      <c r="N1443" s="8">
        <v>0.1</v>
      </c>
      <c r="O1443" s="9">
        <v>15100</v>
      </c>
    </row>
    <row r="1444" spans="1:15" ht="18" x14ac:dyDescent="0.35">
      <c r="A1444" s="4" t="s">
        <v>1551</v>
      </c>
      <c r="B1444" s="5">
        <v>45994</v>
      </c>
      <c r="C1444" s="6" t="s">
        <v>82</v>
      </c>
      <c r="D1444" s="6" t="s">
        <v>183</v>
      </c>
      <c r="E1444" s="6" t="s">
        <v>18</v>
      </c>
      <c r="F1444" s="6" t="s">
        <v>39</v>
      </c>
      <c r="G1444" s="6" t="s">
        <v>30</v>
      </c>
      <c r="H1444" s="6" t="s">
        <v>31</v>
      </c>
      <c r="I1444" s="6" t="s">
        <v>32</v>
      </c>
      <c r="J1444" s="6" t="s">
        <v>57</v>
      </c>
      <c r="K1444" s="6" t="s">
        <v>24</v>
      </c>
      <c r="L1444" s="6">
        <v>3</v>
      </c>
      <c r="M1444" s="7">
        <v>38990</v>
      </c>
      <c r="N1444" s="8">
        <v>0.1</v>
      </c>
      <c r="O1444" s="9">
        <v>25400</v>
      </c>
    </row>
    <row r="1445" spans="1:15" ht="18" x14ac:dyDescent="0.35">
      <c r="A1445" s="4" t="s">
        <v>1552</v>
      </c>
      <c r="B1445" s="5">
        <v>45995</v>
      </c>
      <c r="C1445" s="6" t="s">
        <v>36</v>
      </c>
      <c r="D1445" s="6" t="s">
        <v>44</v>
      </c>
      <c r="E1445" s="6" t="s">
        <v>75</v>
      </c>
      <c r="F1445" s="6" t="s">
        <v>29</v>
      </c>
      <c r="G1445" s="6" t="s">
        <v>54</v>
      </c>
      <c r="H1445" s="6" t="s">
        <v>55</v>
      </c>
      <c r="I1445" s="6" t="s">
        <v>56</v>
      </c>
      <c r="J1445" s="6" t="s">
        <v>57</v>
      </c>
      <c r="K1445" s="6" t="s">
        <v>24</v>
      </c>
      <c r="L1445" s="6">
        <v>15</v>
      </c>
      <c r="M1445" s="7">
        <v>7299</v>
      </c>
      <c r="N1445" s="8">
        <v>0.1</v>
      </c>
      <c r="O1445" s="9">
        <v>5010</v>
      </c>
    </row>
    <row r="1446" spans="1:15" ht="18" x14ac:dyDescent="0.35">
      <c r="A1446" s="4" t="s">
        <v>1553</v>
      </c>
      <c r="B1446" s="5">
        <v>45995</v>
      </c>
      <c r="C1446" s="6" t="s">
        <v>48</v>
      </c>
      <c r="D1446" s="6" t="s">
        <v>49</v>
      </c>
      <c r="E1446" s="6" t="s">
        <v>18</v>
      </c>
      <c r="F1446" s="6" t="s">
        <v>29</v>
      </c>
      <c r="G1446" s="6" t="s">
        <v>30</v>
      </c>
      <c r="H1446" s="6" t="s">
        <v>31</v>
      </c>
      <c r="I1446" s="6" t="s">
        <v>106</v>
      </c>
      <c r="J1446" s="6" t="s">
        <v>23</v>
      </c>
      <c r="K1446" s="6" t="s">
        <v>34</v>
      </c>
      <c r="L1446" s="6">
        <v>3</v>
      </c>
      <c r="M1446" s="7">
        <v>52990</v>
      </c>
      <c r="N1446" s="8">
        <v>0.2</v>
      </c>
      <c r="O1446" s="9">
        <v>35100</v>
      </c>
    </row>
    <row r="1447" spans="1:15" ht="18" x14ac:dyDescent="0.35">
      <c r="A1447" s="4" t="s">
        <v>1554</v>
      </c>
      <c r="B1447" s="5">
        <v>45995</v>
      </c>
      <c r="C1447" s="6" t="s">
        <v>48</v>
      </c>
      <c r="D1447" s="6" t="s">
        <v>68</v>
      </c>
      <c r="E1447" s="6" t="s">
        <v>105</v>
      </c>
      <c r="F1447" s="6" t="s">
        <v>29</v>
      </c>
      <c r="G1447" s="6" t="s">
        <v>70</v>
      </c>
      <c r="H1447" s="6" t="s">
        <v>71</v>
      </c>
      <c r="I1447" s="6" t="s">
        <v>72</v>
      </c>
      <c r="J1447" s="6" t="s">
        <v>57</v>
      </c>
      <c r="K1447" s="6" t="s">
        <v>78</v>
      </c>
      <c r="L1447" s="6">
        <v>11</v>
      </c>
      <c r="M1447" s="7">
        <v>3499</v>
      </c>
      <c r="N1447" s="8">
        <v>0.1</v>
      </c>
      <c r="O1447" s="9">
        <v>2190</v>
      </c>
    </row>
    <row r="1448" spans="1:15" ht="18" x14ac:dyDescent="0.35">
      <c r="A1448" s="4" t="s">
        <v>1555</v>
      </c>
      <c r="B1448" s="5">
        <v>45996</v>
      </c>
      <c r="C1448" s="6" t="s">
        <v>16</v>
      </c>
      <c r="D1448" s="6" t="s">
        <v>126</v>
      </c>
      <c r="E1448" s="6" t="s">
        <v>28</v>
      </c>
      <c r="F1448" s="6" t="s">
        <v>19</v>
      </c>
      <c r="G1448" s="6" t="s">
        <v>54</v>
      </c>
      <c r="H1448" s="6" t="s">
        <v>129</v>
      </c>
      <c r="I1448" s="6" t="s">
        <v>145</v>
      </c>
      <c r="J1448" s="6" t="s">
        <v>33</v>
      </c>
      <c r="K1448" s="6" t="s">
        <v>24</v>
      </c>
      <c r="L1448" s="6">
        <v>30</v>
      </c>
      <c r="M1448" s="7">
        <v>31490</v>
      </c>
      <c r="N1448" s="8">
        <v>0.1</v>
      </c>
      <c r="O1448" s="9">
        <v>21300</v>
      </c>
    </row>
    <row r="1449" spans="1:15" ht="18" x14ac:dyDescent="0.35">
      <c r="A1449" s="4" t="s">
        <v>1556</v>
      </c>
      <c r="B1449" s="5">
        <v>45996</v>
      </c>
      <c r="C1449" s="6" t="s">
        <v>82</v>
      </c>
      <c r="D1449" s="6" t="s">
        <v>83</v>
      </c>
      <c r="E1449" s="6" t="s">
        <v>50</v>
      </c>
      <c r="F1449" s="6" t="s">
        <v>29</v>
      </c>
      <c r="G1449" s="6" t="s">
        <v>70</v>
      </c>
      <c r="H1449" s="6" t="s">
        <v>71</v>
      </c>
      <c r="I1449" s="6" t="s">
        <v>72</v>
      </c>
      <c r="J1449" s="6" t="s">
        <v>33</v>
      </c>
      <c r="K1449" s="6" t="s">
        <v>24</v>
      </c>
      <c r="L1449" s="6">
        <v>37</v>
      </c>
      <c r="M1449" s="7">
        <v>3499</v>
      </c>
      <c r="N1449" s="8">
        <v>0.15</v>
      </c>
      <c r="O1449" s="9">
        <v>2190</v>
      </c>
    </row>
    <row r="1450" spans="1:15" ht="18" x14ac:dyDescent="0.35">
      <c r="A1450" s="4" t="s">
        <v>1557</v>
      </c>
      <c r="B1450" s="5">
        <v>45996</v>
      </c>
      <c r="C1450" s="6" t="s">
        <v>16</v>
      </c>
      <c r="D1450" s="6" t="s">
        <v>98</v>
      </c>
      <c r="E1450" s="6" t="s">
        <v>18</v>
      </c>
      <c r="F1450" s="6" t="s">
        <v>29</v>
      </c>
      <c r="G1450" s="6" t="s">
        <v>40</v>
      </c>
      <c r="H1450" s="6" t="s">
        <v>41</v>
      </c>
      <c r="I1450" s="6" t="s">
        <v>42</v>
      </c>
      <c r="J1450" s="6" t="s">
        <v>57</v>
      </c>
      <c r="K1450" s="6" t="s">
        <v>24</v>
      </c>
      <c r="L1450" s="6">
        <v>28</v>
      </c>
      <c r="M1450" s="7">
        <v>55230</v>
      </c>
      <c r="N1450" s="8">
        <v>0.1</v>
      </c>
      <c r="O1450" s="9">
        <v>33800</v>
      </c>
    </row>
    <row r="1451" spans="1:15" ht="18" x14ac:dyDescent="0.35">
      <c r="A1451" s="4" t="s">
        <v>1558</v>
      </c>
      <c r="B1451" s="5">
        <v>45997</v>
      </c>
      <c r="C1451" s="6" t="s">
        <v>36</v>
      </c>
      <c r="D1451" s="6" t="s">
        <v>59</v>
      </c>
      <c r="E1451" s="6" t="s">
        <v>28</v>
      </c>
      <c r="F1451" s="6" t="s">
        <v>19</v>
      </c>
      <c r="G1451" s="6" t="s">
        <v>30</v>
      </c>
      <c r="H1451" s="6" t="s">
        <v>31</v>
      </c>
      <c r="I1451" s="6" t="s">
        <v>85</v>
      </c>
      <c r="J1451" s="6" t="s">
        <v>57</v>
      </c>
      <c r="K1451" s="6" t="s">
        <v>24</v>
      </c>
      <c r="L1451" s="6">
        <v>22</v>
      </c>
      <c r="M1451" s="7">
        <v>43500</v>
      </c>
      <c r="N1451" s="8">
        <v>0.15</v>
      </c>
      <c r="O1451" s="9">
        <v>29520</v>
      </c>
    </row>
    <row r="1452" spans="1:15" ht="18" x14ac:dyDescent="0.35">
      <c r="A1452" s="4" t="s">
        <v>1559</v>
      </c>
      <c r="B1452" s="5">
        <v>45998</v>
      </c>
      <c r="C1452" s="6" t="s">
        <v>36</v>
      </c>
      <c r="D1452" s="6" t="s">
        <v>37</v>
      </c>
      <c r="E1452" s="6" t="s">
        <v>105</v>
      </c>
      <c r="F1452" s="6" t="s">
        <v>39</v>
      </c>
      <c r="G1452" s="6" t="s">
        <v>30</v>
      </c>
      <c r="H1452" s="6" t="s">
        <v>61</v>
      </c>
      <c r="I1452" s="6" t="s">
        <v>62</v>
      </c>
      <c r="J1452" s="6" t="s">
        <v>23</v>
      </c>
      <c r="K1452" s="6" t="s">
        <v>24</v>
      </c>
      <c r="L1452" s="6">
        <v>34</v>
      </c>
      <c r="M1452" s="7">
        <v>12490</v>
      </c>
      <c r="N1452" s="8">
        <v>0.05</v>
      </c>
      <c r="O1452" s="9">
        <v>7900</v>
      </c>
    </row>
    <row r="1453" spans="1:15" ht="18" x14ac:dyDescent="0.35">
      <c r="A1453" s="4" t="s">
        <v>1560</v>
      </c>
      <c r="B1453" s="5">
        <v>45998</v>
      </c>
      <c r="C1453" s="6" t="s">
        <v>82</v>
      </c>
      <c r="D1453" s="6" t="s">
        <v>83</v>
      </c>
      <c r="E1453" s="6" t="s">
        <v>28</v>
      </c>
      <c r="F1453" s="6" t="s">
        <v>19</v>
      </c>
      <c r="G1453" s="6" t="s">
        <v>70</v>
      </c>
      <c r="H1453" s="6" t="s">
        <v>71</v>
      </c>
      <c r="I1453" s="6" t="s">
        <v>88</v>
      </c>
      <c r="J1453" s="6" t="s">
        <v>23</v>
      </c>
      <c r="K1453" s="6" t="s">
        <v>24</v>
      </c>
      <c r="L1453" s="6">
        <v>13</v>
      </c>
      <c r="M1453" s="7">
        <v>999</v>
      </c>
      <c r="N1453" s="8">
        <v>0.1</v>
      </c>
      <c r="O1453" s="9">
        <v>540</v>
      </c>
    </row>
    <row r="1454" spans="1:15" ht="18" x14ac:dyDescent="0.35">
      <c r="A1454" s="4" t="s">
        <v>1561</v>
      </c>
      <c r="B1454" s="5">
        <v>45998</v>
      </c>
      <c r="C1454" s="6" t="s">
        <v>26</v>
      </c>
      <c r="D1454" s="6" t="s">
        <v>163</v>
      </c>
      <c r="E1454" s="6" t="s">
        <v>18</v>
      </c>
      <c r="F1454" s="6" t="s">
        <v>39</v>
      </c>
      <c r="G1454" s="6" t="s">
        <v>40</v>
      </c>
      <c r="H1454" s="6" t="s">
        <v>41</v>
      </c>
      <c r="I1454" s="6" t="s">
        <v>119</v>
      </c>
      <c r="J1454" s="6" t="s">
        <v>23</v>
      </c>
      <c r="K1454" s="6" t="s">
        <v>78</v>
      </c>
      <c r="L1454" s="6">
        <v>24</v>
      </c>
      <c r="M1454" s="7">
        <v>48990</v>
      </c>
      <c r="N1454" s="8">
        <v>0.08</v>
      </c>
      <c r="O1454" s="9">
        <v>30100</v>
      </c>
    </row>
    <row r="1455" spans="1:15" ht="18" x14ac:dyDescent="0.35">
      <c r="A1455" s="4" t="s">
        <v>1562</v>
      </c>
      <c r="B1455" s="5">
        <v>45998</v>
      </c>
      <c r="C1455" s="6" t="s">
        <v>48</v>
      </c>
      <c r="D1455" s="6" t="s">
        <v>49</v>
      </c>
      <c r="E1455" s="6" t="s">
        <v>105</v>
      </c>
      <c r="F1455" s="6" t="s">
        <v>39</v>
      </c>
      <c r="G1455" s="6" t="s">
        <v>40</v>
      </c>
      <c r="H1455" s="6" t="s">
        <v>41</v>
      </c>
      <c r="I1455" s="6" t="s">
        <v>119</v>
      </c>
      <c r="J1455" s="6" t="s">
        <v>23</v>
      </c>
      <c r="K1455" s="6" t="s">
        <v>34</v>
      </c>
      <c r="L1455" s="6">
        <v>22</v>
      </c>
      <c r="M1455" s="7">
        <v>48990</v>
      </c>
      <c r="N1455" s="8">
        <v>0.2</v>
      </c>
      <c r="O1455" s="9">
        <v>30100</v>
      </c>
    </row>
    <row r="1456" spans="1:15" ht="18" x14ac:dyDescent="0.35">
      <c r="A1456" s="4" t="s">
        <v>1563</v>
      </c>
      <c r="B1456" s="5">
        <v>45999</v>
      </c>
      <c r="C1456" s="6" t="s">
        <v>36</v>
      </c>
      <c r="D1456" s="6" t="s">
        <v>37</v>
      </c>
      <c r="E1456" s="6" t="s">
        <v>69</v>
      </c>
      <c r="F1456" s="6" t="s">
        <v>19</v>
      </c>
      <c r="G1456" s="6" t="s">
        <v>54</v>
      </c>
      <c r="H1456" s="6" t="s">
        <v>55</v>
      </c>
      <c r="I1456" s="6" t="s">
        <v>108</v>
      </c>
      <c r="J1456" s="6" t="s">
        <v>33</v>
      </c>
      <c r="K1456" s="6" t="s">
        <v>24</v>
      </c>
      <c r="L1456" s="6">
        <v>22</v>
      </c>
      <c r="M1456" s="7">
        <v>5890</v>
      </c>
      <c r="N1456" s="8">
        <v>0.08</v>
      </c>
      <c r="O1456" s="9">
        <v>3980</v>
      </c>
    </row>
    <row r="1457" spans="1:15" ht="18" x14ac:dyDescent="0.35">
      <c r="A1457" s="4" t="s">
        <v>1564</v>
      </c>
      <c r="B1457" s="5">
        <v>45999</v>
      </c>
      <c r="C1457" s="6" t="s">
        <v>82</v>
      </c>
      <c r="D1457" s="6" t="s">
        <v>100</v>
      </c>
      <c r="E1457" s="6" t="s">
        <v>105</v>
      </c>
      <c r="F1457" s="6" t="s">
        <v>39</v>
      </c>
      <c r="G1457" s="6" t="s">
        <v>40</v>
      </c>
      <c r="H1457" s="6" t="s">
        <v>41</v>
      </c>
      <c r="I1457" s="6" t="s">
        <v>156</v>
      </c>
      <c r="J1457" s="6" t="s">
        <v>57</v>
      </c>
      <c r="K1457" s="6" t="s">
        <v>34</v>
      </c>
      <c r="L1457" s="6">
        <v>10</v>
      </c>
      <c r="M1457" s="7">
        <v>48500</v>
      </c>
      <c r="N1457" s="8">
        <v>0.05</v>
      </c>
      <c r="O1457" s="9">
        <v>30200</v>
      </c>
    </row>
    <row r="1458" spans="1:15" ht="18" x14ac:dyDescent="0.35">
      <c r="A1458" s="4" t="s">
        <v>1565</v>
      </c>
      <c r="B1458" s="5">
        <v>45999</v>
      </c>
      <c r="C1458" s="6" t="s">
        <v>36</v>
      </c>
      <c r="D1458" s="6" t="s">
        <v>121</v>
      </c>
      <c r="E1458" s="6" t="s">
        <v>28</v>
      </c>
      <c r="F1458" s="6" t="s">
        <v>19</v>
      </c>
      <c r="G1458" s="6" t="s">
        <v>30</v>
      </c>
      <c r="H1458" s="6" t="s">
        <v>31</v>
      </c>
      <c r="I1458" s="6" t="s">
        <v>106</v>
      </c>
      <c r="J1458" s="6" t="s">
        <v>33</v>
      </c>
      <c r="K1458" s="6" t="s">
        <v>78</v>
      </c>
      <c r="L1458" s="6">
        <v>32</v>
      </c>
      <c r="M1458" s="7">
        <v>52990</v>
      </c>
      <c r="N1458" s="8">
        <v>0.1</v>
      </c>
      <c r="O1458" s="9">
        <v>35100</v>
      </c>
    </row>
    <row r="1459" spans="1:15" ht="18" x14ac:dyDescent="0.35">
      <c r="A1459" s="4" t="s">
        <v>1566</v>
      </c>
      <c r="B1459" s="5">
        <v>46000</v>
      </c>
      <c r="C1459" s="6" t="s">
        <v>26</v>
      </c>
      <c r="D1459" s="6" t="s">
        <v>163</v>
      </c>
      <c r="E1459" s="6" t="s">
        <v>28</v>
      </c>
      <c r="F1459" s="6" t="s">
        <v>19</v>
      </c>
      <c r="G1459" s="6" t="s">
        <v>40</v>
      </c>
      <c r="H1459" s="6" t="s">
        <v>41</v>
      </c>
      <c r="I1459" s="6" t="s">
        <v>156</v>
      </c>
      <c r="J1459" s="6" t="s">
        <v>33</v>
      </c>
      <c r="K1459" s="6" t="s">
        <v>24</v>
      </c>
      <c r="L1459" s="6">
        <v>32</v>
      </c>
      <c r="M1459" s="7">
        <v>48500</v>
      </c>
      <c r="N1459" s="8">
        <v>0.18</v>
      </c>
      <c r="O1459" s="9">
        <v>30200</v>
      </c>
    </row>
    <row r="1460" spans="1:15" ht="18" x14ac:dyDescent="0.35">
      <c r="A1460" s="4" t="s">
        <v>1567</v>
      </c>
      <c r="B1460" s="5">
        <v>46000</v>
      </c>
      <c r="C1460" s="6" t="s">
        <v>82</v>
      </c>
      <c r="D1460" s="6" t="s">
        <v>87</v>
      </c>
      <c r="E1460" s="6" t="s">
        <v>18</v>
      </c>
      <c r="F1460" s="6" t="s">
        <v>19</v>
      </c>
      <c r="G1460" s="6" t="s">
        <v>20</v>
      </c>
      <c r="H1460" s="6" t="s">
        <v>21</v>
      </c>
      <c r="I1460" s="6" t="s">
        <v>115</v>
      </c>
      <c r="J1460" s="6" t="s">
        <v>33</v>
      </c>
      <c r="K1460" s="6" t="s">
        <v>78</v>
      </c>
      <c r="L1460" s="6">
        <v>16</v>
      </c>
      <c r="M1460" s="7">
        <v>6499</v>
      </c>
      <c r="N1460" s="8">
        <v>0.15</v>
      </c>
      <c r="O1460" s="9">
        <v>4210</v>
      </c>
    </row>
    <row r="1461" spans="1:15" ht="18" x14ac:dyDescent="0.35">
      <c r="A1461" s="4" t="s">
        <v>1568</v>
      </c>
      <c r="B1461" s="5">
        <v>46001</v>
      </c>
      <c r="C1461" s="6" t="s">
        <v>48</v>
      </c>
      <c r="D1461" s="6" t="s">
        <v>136</v>
      </c>
      <c r="E1461" s="6" t="s">
        <v>105</v>
      </c>
      <c r="F1461" s="6" t="s">
        <v>29</v>
      </c>
      <c r="G1461" s="6" t="s">
        <v>70</v>
      </c>
      <c r="H1461" s="6" t="s">
        <v>71</v>
      </c>
      <c r="I1461" s="6" t="s">
        <v>88</v>
      </c>
      <c r="J1461" s="6" t="s">
        <v>57</v>
      </c>
      <c r="K1461" s="6" t="s">
        <v>24</v>
      </c>
      <c r="L1461" s="6">
        <v>32</v>
      </c>
      <c r="M1461" s="7">
        <v>999</v>
      </c>
      <c r="N1461" s="8">
        <v>0.18</v>
      </c>
      <c r="O1461" s="9">
        <v>540</v>
      </c>
    </row>
    <row r="1462" spans="1:15" ht="18" x14ac:dyDescent="0.35">
      <c r="A1462" s="4" t="s">
        <v>1569</v>
      </c>
      <c r="B1462" s="5">
        <v>46005</v>
      </c>
      <c r="C1462" s="6" t="s">
        <v>48</v>
      </c>
      <c r="D1462" s="6" t="s">
        <v>136</v>
      </c>
      <c r="E1462" s="6" t="s">
        <v>84</v>
      </c>
      <c r="F1462" s="6" t="s">
        <v>29</v>
      </c>
      <c r="G1462" s="6" t="s">
        <v>30</v>
      </c>
      <c r="H1462" s="6" t="s">
        <v>61</v>
      </c>
      <c r="I1462" s="6" t="s">
        <v>62</v>
      </c>
      <c r="J1462" s="6" t="s">
        <v>23</v>
      </c>
      <c r="K1462" s="6" t="s">
        <v>24</v>
      </c>
      <c r="L1462" s="6">
        <v>13</v>
      </c>
      <c r="M1462" s="7">
        <v>12490</v>
      </c>
      <c r="N1462" s="8">
        <v>0.2</v>
      </c>
      <c r="O1462" s="9">
        <v>7900</v>
      </c>
    </row>
    <row r="1463" spans="1:15" ht="18" x14ac:dyDescent="0.35">
      <c r="A1463" s="4" t="s">
        <v>1570</v>
      </c>
      <c r="B1463" s="5">
        <v>46005</v>
      </c>
      <c r="C1463" s="6" t="s">
        <v>36</v>
      </c>
      <c r="D1463" s="6" t="s">
        <v>59</v>
      </c>
      <c r="E1463" s="6" t="s">
        <v>50</v>
      </c>
      <c r="F1463" s="6" t="s">
        <v>29</v>
      </c>
      <c r="G1463" s="6" t="s">
        <v>40</v>
      </c>
      <c r="H1463" s="6" t="s">
        <v>41</v>
      </c>
      <c r="I1463" s="6" t="s">
        <v>42</v>
      </c>
      <c r="J1463" s="6" t="s">
        <v>57</v>
      </c>
      <c r="K1463" s="6" t="s">
        <v>24</v>
      </c>
      <c r="L1463" s="6">
        <v>23</v>
      </c>
      <c r="M1463" s="7">
        <v>55230</v>
      </c>
      <c r="N1463" s="8">
        <v>0.2</v>
      </c>
      <c r="O1463" s="9">
        <v>33800</v>
      </c>
    </row>
    <row r="1464" spans="1:15" ht="18" x14ac:dyDescent="0.35">
      <c r="A1464" s="4" t="s">
        <v>1571</v>
      </c>
      <c r="B1464" s="5">
        <v>46005</v>
      </c>
      <c r="C1464" s="6" t="s">
        <v>26</v>
      </c>
      <c r="D1464" s="6" t="s">
        <v>74</v>
      </c>
      <c r="E1464" s="6" t="s">
        <v>69</v>
      </c>
      <c r="F1464" s="6" t="s">
        <v>19</v>
      </c>
      <c r="G1464" s="6" t="s">
        <v>54</v>
      </c>
      <c r="H1464" s="6" t="s">
        <v>90</v>
      </c>
      <c r="I1464" s="6" t="s">
        <v>91</v>
      </c>
      <c r="J1464" s="6" t="s">
        <v>57</v>
      </c>
      <c r="K1464" s="6" t="s">
        <v>78</v>
      </c>
      <c r="L1464" s="6">
        <v>22</v>
      </c>
      <c r="M1464" s="7">
        <v>31990</v>
      </c>
      <c r="N1464" s="8">
        <v>0.12</v>
      </c>
      <c r="O1464" s="9">
        <v>21800</v>
      </c>
    </row>
    <row r="1465" spans="1:15" ht="18" x14ac:dyDescent="0.35">
      <c r="A1465" s="4" t="s">
        <v>1572</v>
      </c>
      <c r="B1465" s="5">
        <v>46006</v>
      </c>
      <c r="C1465" s="6" t="s">
        <v>36</v>
      </c>
      <c r="D1465" s="6" t="s">
        <v>44</v>
      </c>
      <c r="E1465" s="6" t="s">
        <v>60</v>
      </c>
      <c r="F1465" s="6" t="s">
        <v>19</v>
      </c>
      <c r="G1465" s="6" t="s">
        <v>40</v>
      </c>
      <c r="H1465" s="6" t="s">
        <v>64</v>
      </c>
      <c r="I1465" s="6" t="s">
        <v>65</v>
      </c>
      <c r="J1465" s="6" t="s">
        <v>57</v>
      </c>
      <c r="K1465" s="6" t="s">
        <v>78</v>
      </c>
      <c r="L1465" s="6">
        <v>12</v>
      </c>
      <c r="M1465" s="7">
        <v>1930</v>
      </c>
      <c r="N1465" s="8">
        <v>0.1</v>
      </c>
      <c r="O1465" s="9">
        <v>1120</v>
      </c>
    </row>
    <row r="1466" spans="1:15" ht="18" x14ac:dyDescent="0.35">
      <c r="A1466" s="4" t="s">
        <v>1573</v>
      </c>
      <c r="B1466" s="5">
        <v>46007</v>
      </c>
      <c r="C1466" s="6" t="s">
        <v>48</v>
      </c>
      <c r="D1466" s="6" t="s">
        <v>136</v>
      </c>
      <c r="E1466" s="6" t="s">
        <v>75</v>
      </c>
      <c r="F1466" s="6" t="s">
        <v>39</v>
      </c>
      <c r="G1466" s="6" t="s">
        <v>20</v>
      </c>
      <c r="H1466" s="6" t="s">
        <v>21</v>
      </c>
      <c r="I1466" s="6" t="s">
        <v>51</v>
      </c>
      <c r="J1466" s="6" t="s">
        <v>57</v>
      </c>
      <c r="K1466" s="6" t="s">
        <v>66</v>
      </c>
      <c r="L1466" s="6">
        <v>10</v>
      </c>
      <c r="M1466" s="7">
        <v>5999</v>
      </c>
      <c r="N1466" s="8">
        <v>0.05</v>
      </c>
      <c r="O1466" s="9">
        <v>3890</v>
      </c>
    </row>
    <row r="1467" spans="1:15" ht="18" x14ac:dyDescent="0.35">
      <c r="A1467" s="4" t="s">
        <v>1574</v>
      </c>
      <c r="B1467" s="5">
        <v>46007</v>
      </c>
      <c r="C1467" s="6" t="s">
        <v>26</v>
      </c>
      <c r="D1467" s="6" t="s">
        <v>163</v>
      </c>
      <c r="E1467" s="6" t="s">
        <v>18</v>
      </c>
      <c r="F1467" s="6" t="s">
        <v>19</v>
      </c>
      <c r="G1467" s="6" t="s">
        <v>30</v>
      </c>
      <c r="H1467" s="6" t="s">
        <v>31</v>
      </c>
      <c r="I1467" s="6" t="s">
        <v>106</v>
      </c>
      <c r="J1467" s="6" t="s">
        <v>33</v>
      </c>
      <c r="K1467" s="6" t="s">
        <v>78</v>
      </c>
      <c r="L1467" s="6">
        <v>1</v>
      </c>
      <c r="M1467" s="7">
        <v>52990</v>
      </c>
      <c r="N1467" s="8">
        <v>0.18</v>
      </c>
      <c r="O1467" s="9">
        <v>35100</v>
      </c>
    </row>
    <row r="1468" spans="1:15" ht="18" x14ac:dyDescent="0.35">
      <c r="A1468" s="4" t="s">
        <v>1575</v>
      </c>
      <c r="B1468" s="5">
        <v>46008</v>
      </c>
      <c r="C1468" s="6" t="s">
        <v>36</v>
      </c>
      <c r="D1468" s="6" t="s">
        <v>44</v>
      </c>
      <c r="E1468" s="6" t="s">
        <v>60</v>
      </c>
      <c r="F1468" s="6" t="s">
        <v>29</v>
      </c>
      <c r="G1468" s="6" t="s">
        <v>40</v>
      </c>
      <c r="H1468" s="6" t="s">
        <v>41</v>
      </c>
      <c r="I1468" s="6" t="s">
        <v>156</v>
      </c>
      <c r="J1468" s="6" t="s">
        <v>33</v>
      </c>
      <c r="K1468" s="6" t="s">
        <v>24</v>
      </c>
      <c r="L1468" s="6">
        <v>33</v>
      </c>
      <c r="M1468" s="7">
        <v>48500</v>
      </c>
      <c r="N1468" s="8">
        <v>0.05</v>
      </c>
      <c r="O1468" s="9">
        <v>30200</v>
      </c>
    </row>
    <row r="1469" spans="1:15" ht="18" x14ac:dyDescent="0.35">
      <c r="A1469" s="4" t="s">
        <v>1576</v>
      </c>
      <c r="B1469" s="5">
        <v>46008</v>
      </c>
      <c r="C1469" s="6" t="s">
        <v>82</v>
      </c>
      <c r="D1469" s="6" t="s">
        <v>183</v>
      </c>
      <c r="E1469" s="6" t="s">
        <v>18</v>
      </c>
      <c r="F1469" s="6" t="s">
        <v>29</v>
      </c>
      <c r="G1469" s="6" t="s">
        <v>54</v>
      </c>
      <c r="H1469" s="6" t="s">
        <v>90</v>
      </c>
      <c r="I1469" s="6" t="s">
        <v>258</v>
      </c>
      <c r="J1469" s="6" t="s">
        <v>33</v>
      </c>
      <c r="K1469" s="6" t="s">
        <v>24</v>
      </c>
      <c r="L1469" s="6">
        <v>19</v>
      </c>
      <c r="M1469" s="7">
        <v>29010</v>
      </c>
      <c r="N1469" s="8">
        <v>0.08</v>
      </c>
      <c r="O1469" s="9">
        <v>19150</v>
      </c>
    </row>
    <row r="1470" spans="1:15" ht="18" x14ac:dyDescent="0.35">
      <c r="A1470" s="4" t="s">
        <v>1577</v>
      </c>
      <c r="B1470" s="5">
        <v>46008</v>
      </c>
      <c r="C1470" s="6" t="s">
        <v>26</v>
      </c>
      <c r="D1470" s="6" t="s">
        <v>53</v>
      </c>
      <c r="E1470" s="6" t="s">
        <v>69</v>
      </c>
      <c r="F1470" s="6" t="s">
        <v>19</v>
      </c>
      <c r="G1470" s="6" t="s">
        <v>40</v>
      </c>
      <c r="H1470" s="6" t="s">
        <v>41</v>
      </c>
      <c r="I1470" s="6" t="s">
        <v>119</v>
      </c>
      <c r="J1470" s="6" t="s">
        <v>57</v>
      </c>
      <c r="K1470" s="6" t="s">
        <v>66</v>
      </c>
      <c r="L1470" s="6">
        <v>21</v>
      </c>
      <c r="M1470" s="7">
        <v>48990</v>
      </c>
      <c r="N1470" s="8">
        <v>0.15</v>
      </c>
      <c r="O1470" s="9">
        <v>30100</v>
      </c>
    </row>
    <row r="1471" spans="1:15" ht="18" x14ac:dyDescent="0.35">
      <c r="A1471" s="4" t="s">
        <v>1578</v>
      </c>
      <c r="B1471" s="5">
        <v>46008</v>
      </c>
      <c r="C1471" s="6" t="s">
        <v>16</v>
      </c>
      <c r="D1471" s="6" t="s">
        <v>111</v>
      </c>
      <c r="E1471" s="6" t="s">
        <v>84</v>
      </c>
      <c r="F1471" s="6" t="s">
        <v>29</v>
      </c>
      <c r="G1471" s="6" t="s">
        <v>54</v>
      </c>
      <c r="H1471" s="6" t="s">
        <v>55</v>
      </c>
      <c r="I1471" s="6" t="s">
        <v>56</v>
      </c>
      <c r="J1471" s="6" t="s">
        <v>33</v>
      </c>
      <c r="K1471" s="6" t="s">
        <v>66</v>
      </c>
      <c r="L1471" s="6">
        <v>16</v>
      </c>
      <c r="M1471" s="7">
        <v>7299</v>
      </c>
      <c r="N1471" s="8">
        <v>0.08</v>
      </c>
      <c r="O1471" s="9">
        <v>5010</v>
      </c>
    </row>
    <row r="1472" spans="1:15" ht="18" x14ac:dyDescent="0.35">
      <c r="A1472" s="4" t="s">
        <v>1579</v>
      </c>
      <c r="B1472" s="5">
        <v>46008</v>
      </c>
      <c r="C1472" s="6" t="s">
        <v>48</v>
      </c>
      <c r="D1472" s="6" t="s">
        <v>136</v>
      </c>
      <c r="E1472" s="6" t="s">
        <v>50</v>
      </c>
      <c r="F1472" s="6" t="s">
        <v>39</v>
      </c>
      <c r="G1472" s="6" t="s">
        <v>30</v>
      </c>
      <c r="H1472" s="6" t="s">
        <v>61</v>
      </c>
      <c r="I1472" s="6" t="s">
        <v>96</v>
      </c>
      <c r="J1472" s="6" t="s">
        <v>23</v>
      </c>
      <c r="K1472" s="6" t="s">
        <v>24</v>
      </c>
      <c r="L1472" s="6">
        <v>4</v>
      </c>
      <c r="M1472" s="7">
        <v>25110</v>
      </c>
      <c r="N1472" s="8">
        <v>0.05</v>
      </c>
      <c r="O1472" s="9">
        <v>16730</v>
      </c>
    </row>
    <row r="1473" spans="1:15" ht="18" x14ac:dyDescent="0.35">
      <c r="A1473" s="4" t="s">
        <v>1580</v>
      </c>
      <c r="B1473" s="5">
        <v>46010</v>
      </c>
      <c r="C1473" s="6" t="s">
        <v>36</v>
      </c>
      <c r="D1473" s="6" t="s">
        <v>44</v>
      </c>
      <c r="E1473" s="6" t="s">
        <v>101</v>
      </c>
      <c r="F1473" s="6" t="s">
        <v>29</v>
      </c>
      <c r="G1473" s="6" t="s">
        <v>54</v>
      </c>
      <c r="H1473" s="6" t="s">
        <v>55</v>
      </c>
      <c r="I1473" s="6" t="s">
        <v>108</v>
      </c>
      <c r="J1473" s="6" t="s">
        <v>23</v>
      </c>
      <c r="K1473" s="6" t="s">
        <v>24</v>
      </c>
      <c r="L1473" s="6">
        <v>3</v>
      </c>
      <c r="M1473" s="7">
        <v>5890</v>
      </c>
      <c r="N1473" s="8">
        <v>0.2</v>
      </c>
      <c r="O1473" s="9">
        <v>3980</v>
      </c>
    </row>
    <row r="1474" spans="1:15" ht="18" x14ac:dyDescent="0.35">
      <c r="A1474" s="4" t="s">
        <v>1581</v>
      </c>
      <c r="B1474" s="5">
        <v>46010</v>
      </c>
      <c r="C1474" s="6" t="s">
        <v>36</v>
      </c>
      <c r="D1474" s="6" t="s">
        <v>37</v>
      </c>
      <c r="E1474" s="6" t="s">
        <v>60</v>
      </c>
      <c r="F1474" s="6" t="s">
        <v>39</v>
      </c>
      <c r="G1474" s="6" t="s">
        <v>54</v>
      </c>
      <c r="H1474" s="6" t="s">
        <v>129</v>
      </c>
      <c r="I1474" s="6" t="s">
        <v>145</v>
      </c>
      <c r="J1474" s="6" t="s">
        <v>57</v>
      </c>
      <c r="K1474" s="6" t="s">
        <v>24</v>
      </c>
      <c r="L1474" s="6">
        <v>23</v>
      </c>
      <c r="M1474" s="7">
        <v>31490</v>
      </c>
      <c r="N1474" s="8">
        <v>0.12</v>
      </c>
      <c r="O1474" s="9">
        <v>21300</v>
      </c>
    </row>
    <row r="1475" spans="1:15" ht="18" x14ac:dyDescent="0.35">
      <c r="A1475" s="4" t="s">
        <v>1582</v>
      </c>
      <c r="B1475" s="5">
        <v>46011</v>
      </c>
      <c r="C1475" s="6" t="s">
        <v>48</v>
      </c>
      <c r="D1475" s="6" t="s">
        <v>93</v>
      </c>
      <c r="E1475" s="6" t="s">
        <v>50</v>
      </c>
      <c r="F1475" s="6" t="s">
        <v>39</v>
      </c>
      <c r="G1475" s="6" t="s">
        <v>54</v>
      </c>
      <c r="H1475" s="6" t="s">
        <v>55</v>
      </c>
      <c r="I1475" s="6" t="s">
        <v>56</v>
      </c>
      <c r="J1475" s="6" t="s">
        <v>23</v>
      </c>
      <c r="K1475" s="6" t="s">
        <v>24</v>
      </c>
      <c r="L1475" s="6">
        <v>16</v>
      </c>
      <c r="M1475" s="7">
        <v>7299</v>
      </c>
      <c r="N1475" s="8">
        <v>0.08</v>
      </c>
      <c r="O1475" s="9">
        <v>5010</v>
      </c>
    </row>
    <row r="1476" spans="1:15" ht="18" x14ac:dyDescent="0.35">
      <c r="A1476" s="4" t="s">
        <v>1583</v>
      </c>
      <c r="B1476" s="5">
        <v>46012</v>
      </c>
      <c r="C1476" s="6" t="s">
        <v>26</v>
      </c>
      <c r="D1476" s="6" t="s">
        <v>163</v>
      </c>
      <c r="E1476" s="6" t="s">
        <v>18</v>
      </c>
      <c r="F1476" s="6" t="s">
        <v>39</v>
      </c>
      <c r="G1476" s="6" t="s">
        <v>30</v>
      </c>
      <c r="H1476" s="6" t="s">
        <v>31</v>
      </c>
      <c r="I1476" s="6" t="s">
        <v>85</v>
      </c>
      <c r="J1476" s="6" t="s">
        <v>57</v>
      </c>
      <c r="K1476" s="6" t="s">
        <v>78</v>
      </c>
      <c r="L1476" s="6">
        <v>22</v>
      </c>
      <c r="M1476" s="7">
        <v>43500</v>
      </c>
      <c r="N1476" s="8">
        <v>0.05</v>
      </c>
      <c r="O1476" s="9">
        <v>29520</v>
      </c>
    </row>
    <row r="1477" spans="1:15" ht="18" x14ac:dyDescent="0.35">
      <c r="A1477" s="4" t="s">
        <v>1584</v>
      </c>
      <c r="B1477" s="5">
        <v>46013</v>
      </c>
      <c r="C1477" s="6" t="s">
        <v>36</v>
      </c>
      <c r="D1477" s="6" t="s">
        <v>44</v>
      </c>
      <c r="E1477" s="6" t="s">
        <v>38</v>
      </c>
      <c r="F1477" s="6" t="s">
        <v>19</v>
      </c>
      <c r="G1477" s="6" t="s">
        <v>20</v>
      </c>
      <c r="H1477" s="6" t="s">
        <v>45</v>
      </c>
      <c r="I1477" s="6" t="s">
        <v>46</v>
      </c>
      <c r="J1477" s="6" t="s">
        <v>57</v>
      </c>
      <c r="K1477" s="6" t="s">
        <v>66</v>
      </c>
      <c r="L1477" s="6">
        <v>24</v>
      </c>
      <c r="M1477" s="7">
        <v>1899</v>
      </c>
      <c r="N1477" s="8">
        <v>0.15</v>
      </c>
      <c r="O1477" s="9">
        <v>1080</v>
      </c>
    </row>
    <row r="1478" spans="1:15" ht="18" x14ac:dyDescent="0.35">
      <c r="A1478" s="4" t="s">
        <v>1585</v>
      </c>
      <c r="B1478" s="5">
        <v>46013</v>
      </c>
      <c r="C1478" s="6" t="s">
        <v>48</v>
      </c>
      <c r="D1478" s="6" t="s">
        <v>68</v>
      </c>
      <c r="E1478" s="6" t="s">
        <v>69</v>
      </c>
      <c r="F1478" s="6" t="s">
        <v>29</v>
      </c>
      <c r="G1478" s="6" t="s">
        <v>54</v>
      </c>
      <c r="H1478" s="6" t="s">
        <v>90</v>
      </c>
      <c r="I1478" s="6" t="s">
        <v>134</v>
      </c>
      <c r="J1478" s="6" t="s">
        <v>33</v>
      </c>
      <c r="K1478" s="6" t="s">
        <v>24</v>
      </c>
      <c r="L1478" s="6">
        <v>13</v>
      </c>
      <c r="M1478" s="7">
        <v>32800</v>
      </c>
      <c r="N1478" s="8">
        <v>0.08</v>
      </c>
      <c r="O1478" s="9">
        <v>23100</v>
      </c>
    </row>
    <row r="1479" spans="1:15" ht="18" x14ac:dyDescent="0.35">
      <c r="A1479" s="4" t="s">
        <v>1586</v>
      </c>
      <c r="B1479" s="5">
        <v>46013</v>
      </c>
      <c r="C1479" s="6" t="s">
        <v>16</v>
      </c>
      <c r="D1479" s="6" t="s">
        <v>17</v>
      </c>
      <c r="E1479" s="6" t="s">
        <v>50</v>
      </c>
      <c r="F1479" s="6" t="s">
        <v>39</v>
      </c>
      <c r="G1479" s="6" t="s">
        <v>30</v>
      </c>
      <c r="H1479" s="6" t="s">
        <v>31</v>
      </c>
      <c r="I1479" s="6" t="s">
        <v>106</v>
      </c>
      <c r="J1479" s="6" t="s">
        <v>57</v>
      </c>
      <c r="K1479" s="6" t="s">
        <v>66</v>
      </c>
      <c r="L1479" s="6">
        <v>19</v>
      </c>
      <c r="M1479" s="7">
        <v>52990</v>
      </c>
      <c r="N1479" s="8">
        <v>0.08</v>
      </c>
      <c r="O1479" s="9">
        <v>35100</v>
      </c>
    </row>
    <row r="1480" spans="1:15" ht="18" x14ac:dyDescent="0.35">
      <c r="A1480" s="4" t="s">
        <v>1587</v>
      </c>
      <c r="B1480" s="5">
        <v>46013</v>
      </c>
      <c r="C1480" s="6" t="s">
        <v>16</v>
      </c>
      <c r="D1480" s="6" t="s">
        <v>98</v>
      </c>
      <c r="E1480" s="6" t="s">
        <v>60</v>
      </c>
      <c r="F1480" s="6" t="s">
        <v>29</v>
      </c>
      <c r="G1480" s="6" t="s">
        <v>54</v>
      </c>
      <c r="H1480" s="6" t="s">
        <v>129</v>
      </c>
      <c r="I1480" s="6" t="s">
        <v>192</v>
      </c>
      <c r="J1480" s="6" t="s">
        <v>33</v>
      </c>
      <c r="K1480" s="6" t="s">
        <v>78</v>
      </c>
      <c r="L1480" s="6">
        <v>10</v>
      </c>
      <c r="M1480" s="7">
        <v>29010</v>
      </c>
      <c r="N1480" s="8">
        <v>0.08</v>
      </c>
      <c r="O1480" s="9">
        <v>19100</v>
      </c>
    </row>
    <row r="1481" spans="1:15" ht="18" x14ac:dyDescent="0.35">
      <c r="A1481" s="4" t="s">
        <v>1588</v>
      </c>
      <c r="B1481" s="5">
        <v>46014</v>
      </c>
      <c r="C1481" s="6" t="s">
        <v>16</v>
      </c>
      <c r="D1481" s="6" t="s">
        <v>98</v>
      </c>
      <c r="E1481" s="6" t="s">
        <v>50</v>
      </c>
      <c r="F1481" s="6" t="s">
        <v>19</v>
      </c>
      <c r="G1481" s="6" t="s">
        <v>40</v>
      </c>
      <c r="H1481" s="6" t="s">
        <v>64</v>
      </c>
      <c r="I1481" s="6" t="s">
        <v>159</v>
      </c>
      <c r="J1481" s="6" t="s">
        <v>23</v>
      </c>
      <c r="K1481" s="6" t="s">
        <v>34</v>
      </c>
      <c r="L1481" s="6">
        <v>26</v>
      </c>
      <c r="M1481" s="7">
        <v>3299</v>
      </c>
      <c r="N1481" s="8">
        <v>0.05</v>
      </c>
      <c r="O1481" s="9">
        <v>2050</v>
      </c>
    </row>
    <row r="1482" spans="1:15" ht="18" x14ac:dyDescent="0.35">
      <c r="A1482" s="4" t="s">
        <v>1589</v>
      </c>
      <c r="B1482" s="5">
        <v>46014</v>
      </c>
      <c r="C1482" s="6" t="s">
        <v>48</v>
      </c>
      <c r="D1482" s="6" t="s">
        <v>49</v>
      </c>
      <c r="E1482" s="6" t="s">
        <v>18</v>
      </c>
      <c r="F1482" s="6" t="s">
        <v>39</v>
      </c>
      <c r="G1482" s="6" t="s">
        <v>30</v>
      </c>
      <c r="H1482" s="6" t="s">
        <v>31</v>
      </c>
      <c r="I1482" s="6" t="s">
        <v>106</v>
      </c>
      <c r="J1482" s="6" t="s">
        <v>23</v>
      </c>
      <c r="K1482" s="6" t="s">
        <v>24</v>
      </c>
      <c r="L1482" s="6">
        <v>26</v>
      </c>
      <c r="M1482" s="7">
        <v>52990</v>
      </c>
      <c r="N1482" s="8">
        <v>0.15</v>
      </c>
      <c r="O1482" s="9">
        <v>35100</v>
      </c>
    </row>
    <row r="1483" spans="1:15" ht="18" x14ac:dyDescent="0.35">
      <c r="A1483" s="4" t="s">
        <v>1590</v>
      </c>
      <c r="B1483" s="5">
        <v>46014</v>
      </c>
      <c r="C1483" s="6" t="s">
        <v>26</v>
      </c>
      <c r="D1483" s="6" t="s">
        <v>74</v>
      </c>
      <c r="E1483" s="6" t="s">
        <v>69</v>
      </c>
      <c r="F1483" s="6" t="s">
        <v>19</v>
      </c>
      <c r="G1483" s="6" t="s">
        <v>54</v>
      </c>
      <c r="H1483" s="6" t="s">
        <v>90</v>
      </c>
      <c r="I1483" s="6" t="s">
        <v>258</v>
      </c>
      <c r="J1483" s="6" t="s">
        <v>23</v>
      </c>
      <c r="K1483" s="6" t="s">
        <v>24</v>
      </c>
      <c r="L1483" s="6">
        <v>26</v>
      </c>
      <c r="M1483" s="7">
        <v>29010</v>
      </c>
      <c r="N1483" s="8">
        <v>0.05</v>
      </c>
      <c r="O1483" s="9">
        <v>19150</v>
      </c>
    </row>
    <row r="1484" spans="1:15" ht="18" x14ac:dyDescent="0.35">
      <c r="A1484" s="4" t="s">
        <v>1591</v>
      </c>
      <c r="B1484" s="5">
        <v>46015</v>
      </c>
      <c r="C1484" s="6" t="s">
        <v>82</v>
      </c>
      <c r="D1484" s="6" t="s">
        <v>87</v>
      </c>
      <c r="E1484" s="6" t="s">
        <v>101</v>
      </c>
      <c r="F1484" s="6" t="s">
        <v>19</v>
      </c>
      <c r="G1484" s="6" t="s">
        <v>70</v>
      </c>
      <c r="H1484" s="6" t="s">
        <v>71</v>
      </c>
      <c r="I1484" s="6" t="s">
        <v>88</v>
      </c>
      <c r="J1484" s="6" t="s">
        <v>33</v>
      </c>
      <c r="K1484" s="6" t="s">
        <v>78</v>
      </c>
      <c r="L1484" s="6">
        <v>18</v>
      </c>
      <c r="M1484" s="7">
        <v>999</v>
      </c>
      <c r="N1484" s="8">
        <v>0.1</v>
      </c>
      <c r="O1484" s="9">
        <v>540</v>
      </c>
    </row>
    <row r="1485" spans="1:15" ht="18" x14ac:dyDescent="0.35">
      <c r="A1485" s="4" t="s">
        <v>1592</v>
      </c>
      <c r="B1485" s="5">
        <v>46016</v>
      </c>
      <c r="C1485" s="6" t="s">
        <v>48</v>
      </c>
      <c r="D1485" s="6" t="s">
        <v>49</v>
      </c>
      <c r="E1485" s="6" t="s">
        <v>28</v>
      </c>
      <c r="F1485" s="6" t="s">
        <v>39</v>
      </c>
      <c r="G1485" s="6" t="s">
        <v>20</v>
      </c>
      <c r="H1485" s="6" t="s">
        <v>21</v>
      </c>
      <c r="I1485" s="6" t="s">
        <v>115</v>
      </c>
      <c r="J1485" s="6" t="s">
        <v>23</v>
      </c>
      <c r="K1485" s="6" t="s">
        <v>24</v>
      </c>
      <c r="L1485" s="6">
        <v>34</v>
      </c>
      <c r="M1485" s="7">
        <v>6499</v>
      </c>
      <c r="N1485" s="8">
        <v>0.1</v>
      </c>
      <c r="O1485" s="9">
        <v>4210</v>
      </c>
    </row>
    <row r="1486" spans="1:15" ht="18" x14ac:dyDescent="0.35">
      <c r="A1486" s="4" t="s">
        <v>1593</v>
      </c>
      <c r="B1486" s="5">
        <v>46016</v>
      </c>
      <c r="C1486" s="6" t="s">
        <v>48</v>
      </c>
      <c r="D1486" s="6" t="s">
        <v>49</v>
      </c>
      <c r="E1486" s="6" t="s">
        <v>50</v>
      </c>
      <c r="F1486" s="6" t="s">
        <v>19</v>
      </c>
      <c r="G1486" s="6" t="s">
        <v>54</v>
      </c>
      <c r="H1486" s="6" t="s">
        <v>55</v>
      </c>
      <c r="I1486" s="6" t="s">
        <v>108</v>
      </c>
      <c r="J1486" s="6" t="s">
        <v>33</v>
      </c>
      <c r="K1486" s="6" t="s">
        <v>24</v>
      </c>
      <c r="L1486" s="6">
        <v>15</v>
      </c>
      <c r="M1486" s="7">
        <v>5890</v>
      </c>
      <c r="N1486" s="8">
        <v>0.15</v>
      </c>
      <c r="O1486" s="9">
        <v>3980</v>
      </c>
    </row>
    <row r="1487" spans="1:15" ht="18" x14ac:dyDescent="0.35">
      <c r="A1487" s="4" t="s">
        <v>1594</v>
      </c>
      <c r="B1487" s="5">
        <v>46017</v>
      </c>
      <c r="C1487" s="6" t="s">
        <v>82</v>
      </c>
      <c r="D1487" s="6" t="s">
        <v>100</v>
      </c>
      <c r="E1487" s="6" t="s">
        <v>38</v>
      </c>
      <c r="F1487" s="6" t="s">
        <v>39</v>
      </c>
      <c r="G1487" s="6" t="s">
        <v>30</v>
      </c>
      <c r="H1487" s="6" t="s">
        <v>61</v>
      </c>
      <c r="I1487" s="6" t="s">
        <v>96</v>
      </c>
      <c r="J1487" s="6" t="s">
        <v>57</v>
      </c>
      <c r="K1487" s="6" t="s">
        <v>24</v>
      </c>
      <c r="L1487" s="6">
        <v>37</v>
      </c>
      <c r="M1487" s="7">
        <v>25110</v>
      </c>
      <c r="N1487" s="8">
        <v>0.15</v>
      </c>
      <c r="O1487" s="9">
        <v>16730</v>
      </c>
    </row>
    <row r="1488" spans="1:15" ht="18" x14ac:dyDescent="0.35">
      <c r="A1488" s="4" t="s">
        <v>1595</v>
      </c>
      <c r="B1488" s="5">
        <v>46017</v>
      </c>
      <c r="C1488" s="6" t="s">
        <v>16</v>
      </c>
      <c r="D1488" s="6" t="s">
        <v>126</v>
      </c>
      <c r="E1488" s="6" t="s">
        <v>105</v>
      </c>
      <c r="F1488" s="6" t="s">
        <v>19</v>
      </c>
      <c r="G1488" s="6" t="s">
        <v>54</v>
      </c>
      <c r="H1488" s="6" t="s">
        <v>90</v>
      </c>
      <c r="I1488" s="6" t="s">
        <v>91</v>
      </c>
      <c r="J1488" s="6" t="s">
        <v>57</v>
      </c>
      <c r="K1488" s="6" t="s">
        <v>24</v>
      </c>
      <c r="L1488" s="6">
        <v>9</v>
      </c>
      <c r="M1488" s="7">
        <v>31990</v>
      </c>
      <c r="N1488" s="8">
        <v>0.1</v>
      </c>
      <c r="O1488" s="9">
        <v>21800</v>
      </c>
    </row>
    <row r="1489" spans="1:15" ht="18" x14ac:dyDescent="0.35">
      <c r="A1489" s="4" t="s">
        <v>1596</v>
      </c>
      <c r="B1489" s="5">
        <v>46017</v>
      </c>
      <c r="C1489" s="6" t="s">
        <v>82</v>
      </c>
      <c r="D1489" s="6" t="s">
        <v>100</v>
      </c>
      <c r="E1489" s="6" t="s">
        <v>84</v>
      </c>
      <c r="F1489" s="6" t="s">
        <v>39</v>
      </c>
      <c r="G1489" s="6" t="s">
        <v>20</v>
      </c>
      <c r="H1489" s="6" t="s">
        <v>45</v>
      </c>
      <c r="I1489" s="6" t="s">
        <v>46</v>
      </c>
      <c r="J1489" s="6" t="s">
        <v>23</v>
      </c>
      <c r="K1489" s="6" t="s">
        <v>24</v>
      </c>
      <c r="L1489" s="6">
        <v>23</v>
      </c>
      <c r="M1489" s="7">
        <v>1899</v>
      </c>
      <c r="N1489" s="8">
        <v>0.18</v>
      </c>
      <c r="O1489" s="9">
        <v>1080</v>
      </c>
    </row>
    <row r="1490" spans="1:15" ht="18" x14ac:dyDescent="0.35">
      <c r="A1490" s="4" t="s">
        <v>1597</v>
      </c>
      <c r="B1490" s="5">
        <v>46018</v>
      </c>
      <c r="C1490" s="6" t="s">
        <v>82</v>
      </c>
      <c r="D1490" s="6" t="s">
        <v>183</v>
      </c>
      <c r="E1490" s="6" t="s">
        <v>50</v>
      </c>
      <c r="F1490" s="6" t="s">
        <v>19</v>
      </c>
      <c r="G1490" s="6" t="s">
        <v>40</v>
      </c>
      <c r="H1490" s="6" t="s">
        <v>41</v>
      </c>
      <c r="I1490" s="6" t="s">
        <v>119</v>
      </c>
      <c r="J1490" s="6" t="s">
        <v>33</v>
      </c>
      <c r="K1490" s="6" t="s">
        <v>34</v>
      </c>
      <c r="L1490" s="6">
        <v>36</v>
      </c>
      <c r="M1490" s="7">
        <v>48990</v>
      </c>
      <c r="N1490" s="8">
        <v>0.18</v>
      </c>
      <c r="O1490" s="9">
        <v>30100</v>
      </c>
    </row>
    <row r="1491" spans="1:15" ht="18" x14ac:dyDescent="0.35">
      <c r="A1491" s="4" t="s">
        <v>1598</v>
      </c>
      <c r="B1491" s="5">
        <v>46019</v>
      </c>
      <c r="C1491" s="6" t="s">
        <v>82</v>
      </c>
      <c r="D1491" s="6" t="s">
        <v>83</v>
      </c>
      <c r="E1491" s="6" t="s">
        <v>60</v>
      </c>
      <c r="F1491" s="6" t="s">
        <v>39</v>
      </c>
      <c r="G1491" s="6" t="s">
        <v>40</v>
      </c>
      <c r="H1491" s="6" t="s">
        <v>64</v>
      </c>
      <c r="I1491" s="6" t="s">
        <v>159</v>
      </c>
      <c r="J1491" s="6" t="s">
        <v>57</v>
      </c>
      <c r="K1491" s="6" t="s">
        <v>78</v>
      </c>
      <c r="L1491" s="6">
        <v>8</v>
      </c>
      <c r="M1491" s="7">
        <v>3299</v>
      </c>
      <c r="N1491" s="8">
        <v>0.1</v>
      </c>
      <c r="O1491" s="9">
        <v>2050</v>
      </c>
    </row>
    <row r="1492" spans="1:15" ht="18" x14ac:dyDescent="0.35">
      <c r="A1492" s="4" t="s">
        <v>1599</v>
      </c>
      <c r="B1492" s="5">
        <v>46020</v>
      </c>
      <c r="C1492" s="6" t="s">
        <v>36</v>
      </c>
      <c r="D1492" s="6" t="s">
        <v>59</v>
      </c>
      <c r="E1492" s="6" t="s">
        <v>69</v>
      </c>
      <c r="F1492" s="6" t="s">
        <v>29</v>
      </c>
      <c r="G1492" s="6" t="s">
        <v>70</v>
      </c>
      <c r="H1492" s="6" t="s">
        <v>71</v>
      </c>
      <c r="I1492" s="6" t="s">
        <v>88</v>
      </c>
      <c r="J1492" s="6" t="s">
        <v>57</v>
      </c>
      <c r="K1492" s="6" t="s">
        <v>66</v>
      </c>
      <c r="L1492" s="6">
        <v>17</v>
      </c>
      <c r="M1492" s="7">
        <v>999</v>
      </c>
      <c r="N1492" s="8">
        <v>0.2</v>
      </c>
      <c r="O1492" s="9">
        <v>540</v>
      </c>
    </row>
    <row r="1493" spans="1:15" ht="18" x14ac:dyDescent="0.35">
      <c r="A1493" s="4" t="s">
        <v>1600</v>
      </c>
      <c r="B1493" s="5">
        <v>46020</v>
      </c>
      <c r="C1493" s="6" t="s">
        <v>82</v>
      </c>
      <c r="D1493" s="6" t="s">
        <v>183</v>
      </c>
      <c r="E1493" s="6" t="s">
        <v>60</v>
      </c>
      <c r="F1493" s="6" t="s">
        <v>39</v>
      </c>
      <c r="G1493" s="6" t="s">
        <v>54</v>
      </c>
      <c r="H1493" s="6" t="s">
        <v>129</v>
      </c>
      <c r="I1493" s="6" t="s">
        <v>130</v>
      </c>
      <c r="J1493" s="6" t="s">
        <v>33</v>
      </c>
      <c r="K1493" s="6" t="s">
        <v>78</v>
      </c>
      <c r="L1493" s="6">
        <v>30</v>
      </c>
      <c r="M1493" s="7">
        <v>27890</v>
      </c>
      <c r="N1493" s="8">
        <v>0.15</v>
      </c>
      <c r="O1493" s="9">
        <v>18800</v>
      </c>
    </row>
    <row r="1494" spans="1:15" ht="18" x14ac:dyDescent="0.35">
      <c r="A1494" s="4" t="s">
        <v>1601</v>
      </c>
      <c r="B1494" s="5">
        <v>46020</v>
      </c>
      <c r="C1494" s="6" t="s">
        <v>48</v>
      </c>
      <c r="D1494" s="6" t="s">
        <v>68</v>
      </c>
      <c r="E1494" s="6" t="s">
        <v>60</v>
      </c>
      <c r="F1494" s="6" t="s">
        <v>39</v>
      </c>
      <c r="G1494" s="6" t="s">
        <v>70</v>
      </c>
      <c r="H1494" s="6" t="s">
        <v>71</v>
      </c>
      <c r="I1494" s="6" t="s">
        <v>80</v>
      </c>
      <c r="J1494" s="6" t="s">
        <v>33</v>
      </c>
      <c r="K1494" s="6" t="s">
        <v>78</v>
      </c>
      <c r="L1494" s="6">
        <v>22</v>
      </c>
      <c r="M1494" s="7">
        <v>1299</v>
      </c>
      <c r="N1494" s="8">
        <v>0.2</v>
      </c>
      <c r="O1494" s="9">
        <v>720</v>
      </c>
    </row>
    <row r="1495" spans="1:15" ht="18" x14ac:dyDescent="0.35">
      <c r="A1495" s="4" t="s">
        <v>1602</v>
      </c>
      <c r="B1495" s="5">
        <v>46020</v>
      </c>
      <c r="C1495" s="6" t="s">
        <v>82</v>
      </c>
      <c r="D1495" s="6" t="s">
        <v>100</v>
      </c>
      <c r="E1495" s="6" t="s">
        <v>84</v>
      </c>
      <c r="F1495" s="6" t="s">
        <v>39</v>
      </c>
      <c r="G1495" s="6" t="s">
        <v>54</v>
      </c>
      <c r="H1495" s="6" t="s">
        <v>90</v>
      </c>
      <c r="I1495" s="6" t="s">
        <v>258</v>
      </c>
      <c r="J1495" s="6" t="s">
        <v>57</v>
      </c>
      <c r="K1495" s="6" t="s">
        <v>24</v>
      </c>
      <c r="L1495" s="6">
        <v>6</v>
      </c>
      <c r="M1495" s="7">
        <v>29010</v>
      </c>
      <c r="N1495" s="8">
        <v>0.1</v>
      </c>
      <c r="O1495" s="9">
        <v>19150</v>
      </c>
    </row>
    <row r="1496" spans="1:15" ht="18" x14ac:dyDescent="0.35">
      <c r="A1496" s="4" t="s">
        <v>1603</v>
      </c>
      <c r="B1496" s="5">
        <v>46020</v>
      </c>
      <c r="C1496" s="6" t="s">
        <v>82</v>
      </c>
      <c r="D1496" s="6" t="s">
        <v>100</v>
      </c>
      <c r="E1496" s="6" t="s">
        <v>50</v>
      </c>
      <c r="F1496" s="6" t="s">
        <v>39</v>
      </c>
      <c r="G1496" s="6" t="s">
        <v>40</v>
      </c>
      <c r="H1496" s="6" t="s">
        <v>76</v>
      </c>
      <c r="I1496" s="6" t="s">
        <v>113</v>
      </c>
      <c r="J1496" s="6" t="s">
        <v>57</v>
      </c>
      <c r="K1496" s="6" t="s">
        <v>66</v>
      </c>
      <c r="L1496" s="6">
        <v>28</v>
      </c>
      <c r="M1496" s="7">
        <v>22999</v>
      </c>
      <c r="N1496" s="8">
        <v>0.05</v>
      </c>
      <c r="O1496" s="9">
        <v>15100</v>
      </c>
    </row>
    <row r="1497" spans="1:15" ht="18" x14ac:dyDescent="0.35">
      <c r="A1497" s="4" t="s">
        <v>1604</v>
      </c>
      <c r="B1497" s="5">
        <v>46021</v>
      </c>
      <c r="C1497" s="6" t="s">
        <v>82</v>
      </c>
      <c r="D1497" s="6" t="s">
        <v>87</v>
      </c>
      <c r="E1497" s="6" t="s">
        <v>28</v>
      </c>
      <c r="F1497" s="6" t="s">
        <v>39</v>
      </c>
      <c r="G1497" s="6" t="s">
        <v>40</v>
      </c>
      <c r="H1497" s="6" t="s">
        <v>76</v>
      </c>
      <c r="I1497" s="6" t="s">
        <v>139</v>
      </c>
      <c r="J1497" s="6" t="s">
        <v>33</v>
      </c>
      <c r="K1497" s="6" t="s">
        <v>24</v>
      </c>
      <c r="L1497" s="6">
        <v>20</v>
      </c>
      <c r="M1497" s="7">
        <v>25999</v>
      </c>
      <c r="N1497" s="8">
        <v>0.12</v>
      </c>
      <c r="O1497" s="9">
        <v>17800</v>
      </c>
    </row>
    <row r="1498" spans="1:15" ht="18" x14ac:dyDescent="0.35">
      <c r="A1498" s="4" t="s">
        <v>1605</v>
      </c>
      <c r="B1498" s="5">
        <v>46021</v>
      </c>
      <c r="C1498" s="6" t="s">
        <v>48</v>
      </c>
      <c r="D1498" s="6" t="s">
        <v>49</v>
      </c>
      <c r="E1498" s="6" t="s">
        <v>69</v>
      </c>
      <c r="F1498" s="6" t="s">
        <v>39</v>
      </c>
      <c r="G1498" s="6" t="s">
        <v>54</v>
      </c>
      <c r="H1498" s="6" t="s">
        <v>55</v>
      </c>
      <c r="I1498" s="6" t="s">
        <v>56</v>
      </c>
      <c r="J1498" s="6" t="s">
        <v>57</v>
      </c>
      <c r="K1498" s="6" t="s">
        <v>66</v>
      </c>
      <c r="L1498" s="6">
        <v>23</v>
      </c>
      <c r="M1498" s="7">
        <v>7299</v>
      </c>
      <c r="N1498" s="8">
        <v>0.15</v>
      </c>
      <c r="O1498" s="9">
        <v>5010</v>
      </c>
    </row>
    <row r="1499" spans="1:15" ht="18" x14ac:dyDescent="0.35">
      <c r="A1499" s="4" t="s">
        <v>1606</v>
      </c>
      <c r="B1499" s="5">
        <v>46021</v>
      </c>
      <c r="C1499" s="6" t="s">
        <v>16</v>
      </c>
      <c r="D1499" s="6" t="s">
        <v>17</v>
      </c>
      <c r="E1499" s="6" t="s">
        <v>18</v>
      </c>
      <c r="F1499" s="6" t="s">
        <v>19</v>
      </c>
      <c r="G1499" s="6" t="s">
        <v>54</v>
      </c>
      <c r="H1499" s="6" t="s">
        <v>90</v>
      </c>
      <c r="I1499" s="6" t="s">
        <v>134</v>
      </c>
      <c r="J1499" s="6" t="s">
        <v>57</v>
      </c>
      <c r="K1499" s="6" t="s">
        <v>66</v>
      </c>
      <c r="L1499" s="6">
        <v>5</v>
      </c>
      <c r="M1499" s="7">
        <v>32800</v>
      </c>
      <c r="N1499" s="8">
        <v>0.12</v>
      </c>
      <c r="O1499" s="9">
        <v>23100</v>
      </c>
    </row>
    <row r="1500" spans="1:15" ht="18" x14ac:dyDescent="0.35">
      <c r="A1500" s="4" t="s">
        <v>1607</v>
      </c>
      <c r="B1500" s="5">
        <v>46022</v>
      </c>
      <c r="C1500" s="6" t="s">
        <v>26</v>
      </c>
      <c r="D1500" s="6" t="s">
        <v>27</v>
      </c>
      <c r="E1500" s="6" t="s">
        <v>38</v>
      </c>
      <c r="F1500" s="6" t="s">
        <v>19</v>
      </c>
      <c r="G1500" s="6" t="s">
        <v>40</v>
      </c>
      <c r="H1500" s="6" t="s">
        <v>76</v>
      </c>
      <c r="I1500" s="6" t="s">
        <v>139</v>
      </c>
      <c r="J1500" s="6" t="s">
        <v>57</v>
      </c>
      <c r="K1500" s="6" t="s">
        <v>24</v>
      </c>
      <c r="L1500" s="6">
        <v>18</v>
      </c>
      <c r="M1500" s="7">
        <v>25999</v>
      </c>
      <c r="N1500" s="8">
        <v>0.1</v>
      </c>
      <c r="O1500" s="9">
        <v>17800</v>
      </c>
    </row>
    <row r="1501" spans="1:15" ht="18" x14ac:dyDescent="0.35">
      <c r="A1501" s="10" t="s">
        <v>1608</v>
      </c>
      <c r="B1501" s="11">
        <v>46022</v>
      </c>
      <c r="C1501" s="12" t="s">
        <v>26</v>
      </c>
      <c r="D1501" s="12" t="s">
        <v>53</v>
      </c>
      <c r="E1501" s="12" t="s">
        <v>101</v>
      </c>
      <c r="F1501" s="12" t="s">
        <v>39</v>
      </c>
      <c r="G1501" s="12" t="s">
        <v>30</v>
      </c>
      <c r="H1501" s="12" t="s">
        <v>31</v>
      </c>
      <c r="I1501" s="12" t="s">
        <v>85</v>
      </c>
      <c r="J1501" s="12" t="s">
        <v>57</v>
      </c>
      <c r="K1501" s="12" t="s">
        <v>34</v>
      </c>
      <c r="L1501" s="12">
        <v>24</v>
      </c>
      <c r="M1501" s="13">
        <v>43500</v>
      </c>
      <c r="N1501" s="14">
        <v>0.1</v>
      </c>
      <c r="O1501" s="15">
        <v>29520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C8ED6-B404-423D-B70F-4FF3AFC88CCF}">
  <dimension ref="A1:U1501"/>
  <sheetViews>
    <sheetView workbookViewId="0">
      <selection activeCell="D3" sqref="D3"/>
    </sheetView>
  </sheetViews>
  <sheetFormatPr defaultRowHeight="14.4" x14ac:dyDescent="0.3"/>
  <cols>
    <col min="1" max="1" width="14.5546875" bestFit="1" customWidth="1"/>
    <col min="2" max="2" width="20" style="38" customWidth="1"/>
    <col min="3" max="4" width="20" customWidth="1"/>
    <col min="5" max="5" width="12.77734375" bestFit="1" customWidth="1"/>
    <col min="6" max="6" width="15.21875" bestFit="1" customWidth="1"/>
    <col min="7" max="7" width="18.77734375" bestFit="1" customWidth="1"/>
    <col min="8" max="8" width="26" bestFit="1" customWidth="1"/>
    <col min="9" max="9" width="19" bestFit="1" customWidth="1"/>
    <col min="10" max="10" width="20.6640625" bestFit="1" customWidth="1"/>
    <col min="11" max="11" width="34.44140625" bestFit="1" customWidth="1"/>
    <col min="12" max="12" width="14" bestFit="1" customWidth="1"/>
    <col min="13" max="13" width="18.88671875" bestFit="1" customWidth="1"/>
    <col min="14" max="14" width="16.109375" bestFit="1" customWidth="1"/>
    <col min="15" max="15" width="15.88671875" style="28" bestFit="1" customWidth="1"/>
    <col min="16" max="16" width="14.77734375" bestFit="1" customWidth="1"/>
    <col min="17" max="17" width="15.109375" style="28" bestFit="1" customWidth="1"/>
    <col min="18" max="18" width="20.109375" bestFit="1" customWidth="1"/>
    <col min="19" max="19" width="17" bestFit="1" customWidth="1"/>
    <col min="20" max="20" width="16.44140625" bestFit="1" customWidth="1"/>
    <col min="21" max="21" width="19.5546875" bestFit="1" customWidth="1"/>
  </cols>
  <sheetData>
    <row r="1" spans="1:21" ht="18" x14ac:dyDescent="0.35">
      <c r="A1" s="19" t="s">
        <v>0</v>
      </c>
      <c r="B1" s="35" t="s">
        <v>1</v>
      </c>
      <c r="C1" s="20" t="s">
        <v>1653</v>
      </c>
      <c r="D1" s="20" t="s">
        <v>1654</v>
      </c>
      <c r="E1" s="20" t="s">
        <v>2</v>
      </c>
      <c r="F1" s="20" t="s">
        <v>3</v>
      </c>
      <c r="G1" s="20" t="s">
        <v>4</v>
      </c>
      <c r="H1" s="20" t="s">
        <v>5</v>
      </c>
      <c r="I1" s="20" t="s">
        <v>6</v>
      </c>
      <c r="J1" s="20" t="s">
        <v>7</v>
      </c>
      <c r="K1" s="20" t="s">
        <v>8</v>
      </c>
      <c r="L1" s="20" t="s">
        <v>9</v>
      </c>
      <c r="M1" s="20" t="s">
        <v>10</v>
      </c>
      <c r="N1" s="20" t="s">
        <v>11</v>
      </c>
      <c r="O1" s="25" t="s">
        <v>12</v>
      </c>
      <c r="P1" s="20" t="s">
        <v>13</v>
      </c>
      <c r="Q1" s="29" t="s">
        <v>14</v>
      </c>
      <c r="R1" s="20" t="s">
        <v>1632</v>
      </c>
      <c r="S1" s="20" t="s">
        <v>1633</v>
      </c>
      <c r="T1" s="20" t="s">
        <v>1634</v>
      </c>
      <c r="U1" s="20" t="s">
        <v>1635</v>
      </c>
    </row>
    <row r="2" spans="1:21" ht="18" x14ac:dyDescent="0.35">
      <c r="A2" s="21" t="s">
        <v>15</v>
      </c>
      <c r="B2" s="36">
        <v>45292</v>
      </c>
      <c r="C2" s="22">
        <f>YEAR(Table1_1[[#This Row],[Order Date]])</f>
        <v>2024</v>
      </c>
      <c r="D2" s="22" t="str">
        <f>TEXT(Table1_1[[#This Row],[Order Date]],"MMMM")</f>
        <v>January</v>
      </c>
      <c r="E2" s="22" t="s">
        <v>16</v>
      </c>
      <c r="F2" s="22" t="s">
        <v>17</v>
      </c>
      <c r="G2" s="22" t="s">
        <v>18</v>
      </c>
      <c r="H2" s="22" t="s">
        <v>19</v>
      </c>
      <c r="I2" s="22" t="s">
        <v>20</v>
      </c>
      <c r="J2" s="22" t="s">
        <v>21</v>
      </c>
      <c r="K2" s="22" t="s">
        <v>22</v>
      </c>
      <c r="L2" s="22" t="s">
        <v>23</v>
      </c>
      <c r="M2" s="22" t="s">
        <v>24</v>
      </c>
      <c r="N2" s="22">
        <v>26</v>
      </c>
      <c r="O2" s="26">
        <v>4499</v>
      </c>
      <c r="P2" s="22">
        <v>0.15</v>
      </c>
      <c r="Q2" s="30">
        <v>2910</v>
      </c>
      <c r="R2" s="33">
        <f>Table1_1[[#This Row],[Units Sold]]*Table1_1[[#This Row],[Unit Price]]*1-Table1_1[[#This Row],[Discount]]</f>
        <v>116973.85</v>
      </c>
      <c r="S2" s="33">
        <f>Table1_1[[#This Row],[Units Sold]]*Table1_1[[#This Row],[Unit Cost]]</f>
        <v>75660</v>
      </c>
      <c r="T2" s="33">
        <f>Table1_1[[#This Row],[Sales Amount]]-S2</f>
        <v>41313.850000000006</v>
      </c>
      <c r="U2" s="32">
        <f>IFERROR(Table1_1[[#This Row],[Profit/loss]]/Table1_1[[#This Row],[Sales Amount]],0)</f>
        <v>0.35318876825888867</v>
      </c>
    </row>
    <row r="3" spans="1:21" ht="18" x14ac:dyDescent="0.35">
      <c r="A3" s="21" t="s">
        <v>25</v>
      </c>
      <c r="B3" s="36">
        <v>45292</v>
      </c>
      <c r="C3" s="22">
        <f>YEAR(Table1_1[[#This Row],[Order Date]])</f>
        <v>2024</v>
      </c>
      <c r="D3" s="22" t="str">
        <f>TEXT(Table1_1[[#This Row],[Order Date]],"MMMM")</f>
        <v>January</v>
      </c>
      <c r="E3" s="22" t="s">
        <v>26</v>
      </c>
      <c r="F3" s="22" t="s">
        <v>27</v>
      </c>
      <c r="G3" s="22" t="s">
        <v>28</v>
      </c>
      <c r="H3" s="22" t="s">
        <v>29</v>
      </c>
      <c r="I3" s="22" t="s">
        <v>30</v>
      </c>
      <c r="J3" s="22" t="s">
        <v>31</v>
      </c>
      <c r="K3" s="22" t="s">
        <v>32</v>
      </c>
      <c r="L3" s="22" t="s">
        <v>33</v>
      </c>
      <c r="M3" s="22" t="s">
        <v>34</v>
      </c>
      <c r="N3" s="22">
        <v>33</v>
      </c>
      <c r="O3" s="26">
        <v>38990</v>
      </c>
      <c r="P3" s="22">
        <v>0.2</v>
      </c>
      <c r="Q3" s="30">
        <v>25400</v>
      </c>
      <c r="R3" s="33">
        <f>Table1_1[[#This Row],[Units Sold]]*Table1_1[[#This Row],[Unit Price]]*1-Table1_1[[#This Row],[Discount]]</f>
        <v>1286669.8</v>
      </c>
      <c r="S3" s="33">
        <f>Table1_1[[#This Row],[Units Sold]]*Table1_1[[#This Row],[Unit Cost]]</f>
        <v>838200</v>
      </c>
      <c r="T3" s="33">
        <f>Table1_1[[#This Row],[Sales Amount]]-S3</f>
        <v>448469.80000000005</v>
      </c>
      <c r="U3" s="32">
        <f>IFERROR(Table1_1[[#This Row],[Profit/loss]]/Table1_1[[#This Row],[Sales Amount]],0)</f>
        <v>0.34855080922859932</v>
      </c>
    </row>
    <row r="4" spans="1:21" ht="18" x14ac:dyDescent="0.35">
      <c r="A4" s="21" t="s">
        <v>35</v>
      </c>
      <c r="B4" s="36">
        <v>45292</v>
      </c>
      <c r="C4" s="22">
        <f>YEAR(Table1_1[[#This Row],[Order Date]])</f>
        <v>2024</v>
      </c>
      <c r="D4" s="22" t="str">
        <f>TEXT(Table1_1[[#This Row],[Order Date]],"MMMM")</f>
        <v>January</v>
      </c>
      <c r="E4" s="22" t="s">
        <v>36</v>
      </c>
      <c r="F4" s="22" t="s">
        <v>37</v>
      </c>
      <c r="G4" s="22" t="s">
        <v>38</v>
      </c>
      <c r="H4" s="22" t="s">
        <v>39</v>
      </c>
      <c r="I4" s="22" t="s">
        <v>40</v>
      </c>
      <c r="J4" s="22" t="s">
        <v>41</v>
      </c>
      <c r="K4" s="22" t="s">
        <v>42</v>
      </c>
      <c r="L4" s="22" t="s">
        <v>23</v>
      </c>
      <c r="M4" s="22" t="s">
        <v>24</v>
      </c>
      <c r="N4" s="22">
        <v>39</v>
      </c>
      <c r="O4" s="26">
        <v>55230</v>
      </c>
      <c r="P4" s="22">
        <v>0.15</v>
      </c>
      <c r="Q4" s="30">
        <v>33800</v>
      </c>
      <c r="R4" s="33">
        <f>Table1_1[[#This Row],[Units Sold]]*Table1_1[[#This Row],[Unit Price]]*1-Table1_1[[#This Row],[Discount]]</f>
        <v>2153969.85</v>
      </c>
      <c r="S4" s="33">
        <f>Table1_1[[#This Row],[Units Sold]]*Table1_1[[#This Row],[Unit Cost]]</f>
        <v>1318200</v>
      </c>
      <c r="T4" s="33">
        <f>Table1_1[[#This Row],[Sales Amount]]-S4</f>
        <v>835769.85000000009</v>
      </c>
      <c r="U4" s="32">
        <f>IFERROR(Table1_1[[#This Row],[Profit/loss]]/Table1_1[[#This Row],[Sales Amount]],0)</f>
        <v>0.38801371801931211</v>
      </c>
    </row>
    <row r="5" spans="1:21" ht="18" x14ac:dyDescent="0.35">
      <c r="A5" s="21" t="s">
        <v>43</v>
      </c>
      <c r="B5" s="36">
        <v>45292</v>
      </c>
      <c r="C5" s="22">
        <f>YEAR(Table1_1[[#This Row],[Order Date]])</f>
        <v>2024</v>
      </c>
      <c r="D5" s="22" t="str">
        <f>TEXT(Table1_1[[#This Row],[Order Date]],"MMMM")</f>
        <v>January</v>
      </c>
      <c r="E5" s="22" t="s">
        <v>36</v>
      </c>
      <c r="F5" s="22" t="s">
        <v>44</v>
      </c>
      <c r="G5" s="22" t="s">
        <v>38</v>
      </c>
      <c r="H5" s="22" t="s">
        <v>39</v>
      </c>
      <c r="I5" s="22" t="s">
        <v>20</v>
      </c>
      <c r="J5" s="22" t="s">
        <v>45</v>
      </c>
      <c r="K5" s="22" t="s">
        <v>1618</v>
      </c>
      <c r="L5" s="22" t="s">
        <v>23</v>
      </c>
      <c r="M5" s="22" t="s">
        <v>24</v>
      </c>
      <c r="N5" s="22">
        <v>19</v>
      </c>
      <c r="O5" s="26">
        <v>1899</v>
      </c>
      <c r="P5" s="22">
        <v>0.08</v>
      </c>
      <c r="Q5" s="30">
        <v>1080</v>
      </c>
      <c r="R5" s="33">
        <f>Table1_1[[#This Row],[Units Sold]]*Table1_1[[#This Row],[Unit Price]]*1-Table1_1[[#This Row],[Discount]]</f>
        <v>36080.92</v>
      </c>
      <c r="S5" s="33">
        <f>Table1_1[[#This Row],[Units Sold]]*Table1_1[[#This Row],[Unit Cost]]</f>
        <v>20520</v>
      </c>
      <c r="T5" s="33">
        <f>Table1_1[[#This Row],[Sales Amount]]-S5</f>
        <v>15560.919999999998</v>
      </c>
      <c r="U5" s="32">
        <f>IFERROR(Table1_1[[#This Row],[Profit/loss]]/Table1_1[[#This Row],[Sales Amount]],0)</f>
        <v>0.43127835986443802</v>
      </c>
    </row>
    <row r="6" spans="1:21" ht="18" x14ac:dyDescent="0.35">
      <c r="A6" s="21" t="s">
        <v>47</v>
      </c>
      <c r="B6" s="36">
        <v>45292</v>
      </c>
      <c r="C6" s="22">
        <f>YEAR(Table1_1[[#This Row],[Order Date]])</f>
        <v>2024</v>
      </c>
      <c r="D6" s="22" t="str">
        <f>TEXT(Table1_1[[#This Row],[Order Date]],"MMMM")</f>
        <v>January</v>
      </c>
      <c r="E6" s="22" t="s">
        <v>48</v>
      </c>
      <c r="F6" s="22" t="s">
        <v>49</v>
      </c>
      <c r="G6" s="22" t="s">
        <v>50</v>
      </c>
      <c r="H6" s="22" t="s">
        <v>39</v>
      </c>
      <c r="I6" s="22" t="s">
        <v>20</v>
      </c>
      <c r="J6" s="22" t="s">
        <v>21</v>
      </c>
      <c r="K6" s="22" t="s">
        <v>51</v>
      </c>
      <c r="L6" s="22" t="s">
        <v>33</v>
      </c>
      <c r="M6" s="22" t="s">
        <v>24</v>
      </c>
      <c r="N6" s="22">
        <v>36</v>
      </c>
      <c r="O6" s="26">
        <v>5999</v>
      </c>
      <c r="P6" s="22">
        <v>0.05</v>
      </c>
      <c r="Q6" s="30">
        <v>3890</v>
      </c>
      <c r="R6" s="33">
        <f>Table1_1[[#This Row],[Units Sold]]*Table1_1[[#This Row],[Unit Price]]*1-Table1_1[[#This Row],[Discount]]</f>
        <v>215963.95</v>
      </c>
      <c r="S6" s="33">
        <f>Table1_1[[#This Row],[Units Sold]]*Table1_1[[#This Row],[Unit Cost]]</f>
        <v>140040</v>
      </c>
      <c r="T6" s="33">
        <f>Table1_1[[#This Row],[Sales Amount]]-S6</f>
        <v>75923.950000000012</v>
      </c>
      <c r="U6" s="32">
        <f>IFERROR(Table1_1[[#This Row],[Profit/loss]]/Table1_1[[#This Row],[Sales Amount]],0)</f>
        <v>0.35155844297161637</v>
      </c>
    </row>
    <row r="7" spans="1:21" ht="18" x14ac:dyDescent="0.35">
      <c r="A7" s="21" t="s">
        <v>52</v>
      </c>
      <c r="B7" s="36">
        <v>45293</v>
      </c>
      <c r="C7" s="22">
        <f>YEAR(Table1_1[[#This Row],[Order Date]])</f>
        <v>2024</v>
      </c>
      <c r="D7" s="22" t="str">
        <f>TEXT(Table1_1[[#This Row],[Order Date]],"MMMM")</f>
        <v>January</v>
      </c>
      <c r="E7" s="22" t="s">
        <v>26</v>
      </c>
      <c r="F7" s="22" t="s">
        <v>53</v>
      </c>
      <c r="G7" s="22" t="s">
        <v>50</v>
      </c>
      <c r="H7" s="22" t="s">
        <v>39</v>
      </c>
      <c r="I7" s="22" t="s">
        <v>54</v>
      </c>
      <c r="J7" s="22" t="s">
        <v>55</v>
      </c>
      <c r="K7" s="22" t="s">
        <v>56</v>
      </c>
      <c r="L7" s="22" t="s">
        <v>57</v>
      </c>
      <c r="M7" s="22" t="s">
        <v>24</v>
      </c>
      <c r="N7" s="22">
        <v>33</v>
      </c>
      <c r="O7" s="26">
        <v>7299</v>
      </c>
      <c r="P7" s="22">
        <v>0.1</v>
      </c>
      <c r="Q7" s="30">
        <v>5010</v>
      </c>
      <c r="R7" s="33">
        <f>Table1_1[[#This Row],[Units Sold]]*Table1_1[[#This Row],[Unit Price]]*1-Table1_1[[#This Row],[Discount]]</f>
        <v>240866.9</v>
      </c>
      <c r="S7" s="33">
        <f>Table1_1[[#This Row],[Units Sold]]*Table1_1[[#This Row],[Unit Cost]]</f>
        <v>165330</v>
      </c>
      <c r="T7" s="33">
        <f>Table1_1[[#This Row],[Sales Amount]]-S7</f>
        <v>75536.899999999994</v>
      </c>
      <c r="U7" s="32">
        <f>IFERROR(Table1_1[[#This Row],[Profit/loss]]/Table1_1[[#This Row],[Sales Amount]],0)</f>
        <v>0.31360431840157366</v>
      </c>
    </row>
    <row r="8" spans="1:21" ht="18" x14ac:dyDescent="0.35">
      <c r="A8" s="21" t="s">
        <v>58</v>
      </c>
      <c r="B8" s="36">
        <v>45294</v>
      </c>
      <c r="C8" s="22">
        <f>YEAR(Table1_1[[#This Row],[Order Date]])</f>
        <v>2024</v>
      </c>
      <c r="D8" s="22" t="str">
        <f>TEXT(Table1_1[[#This Row],[Order Date]],"MMMM")</f>
        <v>January</v>
      </c>
      <c r="E8" s="22" t="s">
        <v>36</v>
      </c>
      <c r="F8" s="22" t="s">
        <v>59</v>
      </c>
      <c r="G8" s="22" t="s">
        <v>60</v>
      </c>
      <c r="H8" s="22" t="s">
        <v>19</v>
      </c>
      <c r="I8" s="22" t="s">
        <v>30</v>
      </c>
      <c r="J8" s="22" t="s">
        <v>61</v>
      </c>
      <c r="K8" s="22" t="s">
        <v>62</v>
      </c>
      <c r="L8" s="22" t="s">
        <v>23</v>
      </c>
      <c r="M8" s="22" t="s">
        <v>24</v>
      </c>
      <c r="N8" s="22">
        <v>8</v>
      </c>
      <c r="O8" s="26">
        <v>12490</v>
      </c>
      <c r="P8" s="22">
        <v>0.05</v>
      </c>
      <c r="Q8" s="30">
        <v>7900</v>
      </c>
      <c r="R8" s="33">
        <f>Table1_1[[#This Row],[Units Sold]]*Table1_1[[#This Row],[Unit Price]]*1-Table1_1[[#This Row],[Discount]]</f>
        <v>99919.95</v>
      </c>
      <c r="S8" s="33">
        <f>Table1_1[[#This Row],[Units Sold]]*Table1_1[[#This Row],[Unit Cost]]</f>
        <v>63200</v>
      </c>
      <c r="T8" s="33">
        <f>Table1_1[[#This Row],[Sales Amount]]-S8</f>
        <v>36719.949999999997</v>
      </c>
      <c r="U8" s="32">
        <f>IFERROR(Table1_1[[#This Row],[Profit/loss]]/Table1_1[[#This Row],[Sales Amount]],0)</f>
        <v>0.36749367868979116</v>
      </c>
    </row>
    <row r="9" spans="1:21" ht="18" x14ac:dyDescent="0.35">
      <c r="A9" s="21" t="s">
        <v>63</v>
      </c>
      <c r="B9" s="36">
        <v>45295</v>
      </c>
      <c r="C9" s="22">
        <f>YEAR(Table1_1[[#This Row],[Order Date]])</f>
        <v>2024</v>
      </c>
      <c r="D9" s="22" t="str">
        <f>TEXT(Table1_1[[#This Row],[Order Date]],"MMMM")</f>
        <v>January</v>
      </c>
      <c r="E9" s="22" t="s">
        <v>26</v>
      </c>
      <c r="F9" s="22" t="s">
        <v>53</v>
      </c>
      <c r="G9" s="22" t="s">
        <v>38</v>
      </c>
      <c r="H9" s="22" t="s">
        <v>39</v>
      </c>
      <c r="I9" s="22" t="s">
        <v>40</v>
      </c>
      <c r="J9" s="22" t="s">
        <v>64</v>
      </c>
      <c r="K9" s="22" t="s">
        <v>1619</v>
      </c>
      <c r="L9" s="22" t="s">
        <v>33</v>
      </c>
      <c r="M9" s="22" t="s">
        <v>66</v>
      </c>
      <c r="N9" s="22">
        <v>4</v>
      </c>
      <c r="O9" s="26">
        <v>1930</v>
      </c>
      <c r="P9" s="22">
        <v>0.2</v>
      </c>
      <c r="Q9" s="30">
        <v>1120</v>
      </c>
      <c r="R9" s="33">
        <f>Table1_1[[#This Row],[Units Sold]]*Table1_1[[#This Row],[Unit Price]]*1-Table1_1[[#This Row],[Discount]]</f>
        <v>7719.8</v>
      </c>
      <c r="S9" s="33">
        <f>Table1_1[[#This Row],[Units Sold]]*Table1_1[[#This Row],[Unit Cost]]</f>
        <v>4480</v>
      </c>
      <c r="T9" s="33">
        <f>Table1_1[[#This Row],[Sales Amount]]-S9</f>
        <v>3239.8</v>
      </c>
      <c r="U9" s="32">
        <f>IFERROR(Table1_1[[#This Row],[Profit/loss]]/Table1_1[[#This Row],[Sales Amount]],0)</f>
        <v>0.41967408482085028</v>
      </c>
    </row>
    <row r="10" spans="1:21" ht="18" x14ac:dyDescent="0.35">
      <c r="A10" s="21" t="s">
        <v>67</v>
      </c>
      <c r="B10" s="36">
        <v>45295</v>
      </c>
      <c r="C10" s="22">
        <f>YEAR(Table1_1[[#This Row],[Order Date]])</f>
        <v>2024</v>
      </c>
      <c r="D10" s="22" t="str">
        <f>TEXT(Table1_1[[#This Row],[Order Date]],"MMMM")</f>
        <v>January</v>
      </c>
      <c r="E10" s="22" t="s">
        <v>48</v>
      </c>
      <c r="F10" s="22" t="s">
        <v>68</v>
      </c>
      <c r="G10" s="22" t="s">
        <v>69</v>
      </c>
      <c r="H10" s="22" t="s">
        <v>29</v>
      </c>
      <c r="I10" s="22" t="s">
        <v>70</v>
      </c>
      <c r="J10" s="22" t="s">
        <v>71</v>
      </c>
      <c r="K10" s="22" t="s">
        <v>72</v>
      </c>
      <c r="L10" s="22" t="s">
        <v>57</v>
      </c>
      <c r="M10" s="22" t="s">
        <v>34</v>
      </c>
      <c r="N10" s="22">
        <v>31</v>
      </c>
      <c r="O10" s="26">
        <v>3499</v>
      </c>
      <c r="P10" s="22">
        <v>0.15</v>
      </c>
      <c r="Q10" s="30">
        <v>2190</v>
      </c>
      <c r="R10" s="33">
        <f>Table1_1[[#This Row],[Units Sold]]*Table1_1[[#This Row],[Unit Price]]*1-Table1_1[[#This Row],[Discount]]</f>
        <v>108468.85</v>
      </c>
      <c r="S10" s="33">
        <f>Table1_1[[#This Row],[Units Sold]]*Table1_1[[#This Row],[Unit Cost]]</f>
        <v>67890</v>
      </c>
      <c r="T10" s="33">
        <f>Table1_1[[#This Row],[Sales Amount]]-S10</f>
        <v>40578.850000000006</v>
      </c>
      <c r="U10" s="32">
        <f>IFERROR(Table1_1[[#This Row],[Profit/loss]]/Table1_1[[#This Row],[Sales Amount]],0)</f>
        <v>0.3741060221436846</v>
      </c>
    </row>
    <row r="11" spans="1:21" ht="18" x14ac:dyDescent="0.35">
      <c r="A11" s="21" t="s">
        <v>73</v>
      </c>
      <c r="B11" s="36">
        <v>45295</v>
      </c>
      <c r="C11" s="22">
        <f>YEAR(Table1_1[[#This Row],[Order Date]])</f>
        <v>2024</v>
      </c>
      <c r="D11" s="22" t="str">
        <f>TEXT(Table1_1[[#This Row],[Order Date]],"MMMM")</f>
        <v>January</v>
      </c>
      <c r="E11" s="22" t="s">
        <v>26</v>
      </c>
      <c r="F11" s="22" t="s">
        <v>74</v>
      </c>
      <c r="G11" s="22" t="s">
        <v>75</v>
      </c>
      <c r="H11" s="22" t="s">
        <v>39</v>
      </c>
      <c r="I11" s="22" t="s">
        <v>40</v>
      </c>
      <c r="J11" s="22" t="s">
        <v>76</v>
      </c>
      <c r="K11" s="22" t="s">
        <v>1620</v>
      </c>
      <c r="L11" s="22" t="s">
        <v>33</v>
      </c>
      <c r="M11" s="22" t="s">
        <v>78</v>
      </c>
      <c r="N11" s="22">
        <v>9</v>
      </c>
      <c r="O11" s="26">
        <v>52990</v>
      </c>
      <c r="P11" s="22">
        <v>0.1</v>
      </c>
      <c r="Q11" s="30">
        <v>39500</v>
      </c>
      <c r="R11" s="33">
        <f>Table1_1[[#This Row],[Units Sold]]*Table1_1[[#This Row],[Unit Price]]*1-Table1_1[[#This Row],[Discount]]</f>
        <v>476909.9</v>
      </c>
      <c r="S11" s="33">
        <f>Table1_1[[#This Row],[Units Sold]]*Table1_1[[#This Row],[Unit Cost]]</f>
        <v>355500</v>
      </c>
      <c r="T11" s="33">
        <f>Table1_1[[#This Row],[Sales Amount]]-S11</f>
        <v>121409.90000000002</v>
      </c>
      <c r="U11" s="32">
        <f>IFERROR(Table1_1[[#This Row],[Profit/loss]]/Table1_1[[#This Row],[Sales Amount]],0)</f>
        <v>0.25457617885474809</v>
      </c>
    </row>
    <row r="12" spans="1:21" ht="18" x14ac:dyDescent="0.35">
      <c r="A12" s="21" t="s">
        <v>79</v>
      </c>
      <c r="B12" s="36">
        <v>45295</v>
      </c>
      <c r="C12" s="22">
        <f>YEAR(Table1_1[[#This Row],[Order Date]])</f>
        <v>2024</v>
      </c>
      <c r="D12" s="22" t="str">
        <f>TEXT(Table1_1[[#This Row],[Order Date]],"MMMM")</f>
        <v>January</v>
      </c>
      <c r="E12" s="22" t="s">
        <v>36</v>
      </c>
      <c r="F12" s="22" t="s">
        <v>37</v>
      </c>
      <c r="G12" s="22" t="s">
        <v>60</v>
      </c>
      <c r="H12" s="22" t="s">
        <v>29</v>
      </c>
      <c r="I12" s="22" t="s">
        <v>70</v>
      </c>
      <c r="J12" s="22" t="s">
        <v>71</v>
      </c>
      <c r="K12" s="22" t="s">
        <v>80</v>
      </c>
      <c r="L12" s="22" t="s">
        <v>33</v>
      </c>
      <c r="M12" s="22" t="s">
        <v>34</v>
      </c>
      <c r="N12" s="22">
        <v>6</v>
      </c>
      <c r="O12" s="26">
        <v>1299</v>
      </c>
      <c r="P12" s="22">
        <v>0.05</v>
      </c>
      <c r="Q12" s="30">
        <v>720</v>
      </c>
      <c r="R12" s="33">
        <f>Table1_1[[#This Row],[Units Sold]]*Table1_1[[#This Row],[Unit Price]]*1-Table1_1[[#This Row],[Discount]]</f>
        <v>7793.95</v>
      </c>
      <c r="S12" s="33">
        <f>Table1_1[[#This Row],[Units Sold]]*Table1_1[[#This Row],[Unit Cost]]</f>
        <v>4320</v>
      </c>
      <c r="T12" s="33">
        <f>Table1_1[[#This Row],[Sales Amount]]-S12</f>
        <v>3473.95</v>
      </c>
      <c r="U12" s="32">
        <f>IFERROR(Table1_1[[#This Row],[Profit/loss]]/Table1_1[[#This Row],[Sales Amount]],0)</f>
        <v>0.4457239268920124</v>
      </c>
    </row>
    <row r="13" spans="1:21" ht="18" x14ac:dyDescent="0.35">
      <c r="A13" s="21" t="s">
        <v>81</v>
      </c>
      <c r="B13" s="36">
        <v>45297</v>
      </c>
      <c r="C13" s="22">
        <f>YEAR(Table1_1[[#This Row],[Order Date]])</f>
        <v>2024</v>
      </c>
      <c r="D13" s="22" t="str">
        <f>TEXT(Table1_1[[#This Row],[Order Date]],"MMMM")</f>
        <v>January</v>
      </c>
      <c r="E13" s="22" t="s">
        <v>82</v>
      </c>
      <c r="F13" s="22" t="s">
        <v>83</v>
      </c>
      <c r="G13" s="22" t="s">
        <v>84</v>
      </c>
      <c r="H13" s="22" t="s">
        <v>29</v>
      </c>
      <c r="I13" s="22" t="s">
        <v>30</v>
      </c>
      <c r="J13" s="22" t="s">
        <v>31</v>
      </c>
      <c r="K13" s="22" t="s">
        <v>85</v>
      </c>
      <c r="L13" s="22" t="s">
        <v>23</v>
      </c>
      <c r="M13" s="22" t="s">
        <v>24</v>
      </c>
      <c r="N13" s="22">
        <v>22</v>
      </c>
      <c r="O13" s="26">
        <v>43500</v>
      </c>
      <c r="P13" s="22">
        <v>0.12</v>
      </c>
      <c r="Q13" s="30">
        <v>29520</v>
      </c>
      <c r="R13" s="33">
        <f>Table1_1[[#This Row],[Units Sold]]*Table1_1[[#This Row],[Unit Price]]*1-Table1_1[[#This Row],[Discount]]</f>
        <v>956999.88</v>
      </c>
      <c r="S13" s="33">
        <f>Table1_1[[#This Row],[Units Sold]]*Table1_1[[#This Row],[Unit Cost]]</f>
        <v>649440</v>
      </c>
      <c r="T13" s="33">
        <f>Table1_1[[#This Row],[Sales Amount]]-S13</f>
        <v>307559.88</v>
      </c>
      <c r="U13" s="32">
        <f>IFERROR(Table1_1[[#This Row],[Profit/loss]]/Table1_1[[#This Row],[Sales Amount]],0)</f>
        <v>0.32137922525131352</v>
      </c>
    </row>
    <row r="14" spans="1:21" ht="18" x14ac:dyDescent="0.35">
      <c r="A14" s="21" t="s">
        <v>86</v>
      </c>
      <c r="B14" s="36">
        <v>45297</v>
      </c>
      <c r="C14" s="22">
        <f>YEAR(Table1_1[[#This Row],[Order Date]])</f>
        <v>2024</v>
      </c>
      <c r="D14" s="22" t="str">
        <f>TEXT(Table1_1[[#This Row],[Order Date]],"MMMM")</f>
        <v>January</v>
      </c>
      <c r="E14" s="22" t="s">
        <v>82</v>
      </c>
      <c r="F14" s="22" t="s">
        <v>87</v>
      </c>
      <c r="G14" s="22" t="s">
        <v>84</v>
      </c>
      <c r="H14" s="22" t="s">
        <v>39</v>
      </c>
      <c r="I14" s="22" t="s">
        <v>70</v>
      </c>
      <c r="J14" s="22" t="s">
        <v>71</v>
      </c>
      <c r="K14" s="22" t="s">
        <v>88</v>
      </c>
      <c r="L14" s="22" t="s">
        <v>33</v>
      </c>
      <c r="M14" s="22" t="s">
        <v>24</v>
      </c>
      <c r="N14" s="22">
        <v>35</v>
      </c>
      <c r="O14" s="26">
        <v>999</v>
      </c>
      <c r="P14" s="22">
        <v>0.2</v>
      </c>
      <c r="Q14" s="30">
        <v>540</v>
      </c>
      <c r="R14" s="33">
        <f>Table1_1[[#This Row],[Units Sold]]*Table1_1[[#This Row],[Unit Price]]*1-Table1_1[[#This Row],[Discount]]</f>
        <v>34964.800000000003</v>
      </c>
      <c r="S14" s="33">
        <f>Table1_1[[#This Row],[Units Sold]]*Table1_1[[#This Row],[Unit Cost]]</f>
        <v>18900</v>
      </c>
      <c r="T14" s="33">
        <f>Table1_1[[#This Row],[Sales Amount]]-S14</f>
        <v>16064.800000000003</v>
      </c>
      <c r="U14" s="32">
        <f>IFERROR(Table1_1[[#This Row],[Profit/loss]]/Table1_1[[#This Row],[Sales Amount]],0)</f>
        <v>0.45945636754678998</v>
      </c>
    </row>
    <row r="15" spans="1:21" ht="18" x14ac:dyDescent="0.35">
      <c r="A15" s="21" t="s">
        <v>89</v>
      </c>
      <c r="B15" s="36">
        <v>45297</v>
      </c>
      <c r="C15" s="22">
        <f>YEAR(Table1_1[[#This Row],[Order Date]])</f>
        <v>2024</v>
      </c>
      <c r="D15" s="22" t="str">
        <f>TEXT(Table1_1[[#This Row],[Order Date]],"MMMM")</f>
        <v>January</v>
      </c>
      <c r="E15" s="22" t="s">
        <v>16</v>
      </c>
      <c r="F15" s="22" t="s">
        <v>17</v>
      </c>
      <c r="G15" s="22" t="s">
        <v>50</v>
      </c>
      <c r="H15" s="22" t="s">
        <v>19</v>
      </c>
      <c r="I15" s="22" t="s">
        <v>54</v>
      </c>
      <c r="J15" s="22" t="s">
        <v>90</v>
      </c>
      <c r="K15" s="22" t="s">
        <v>1621</v>
      </c>
      <c r="L15" s="22" t="s">
        <v>23</v>
      </c>
      <c r="M15" s="22" t="s">
        <v>66</v>
      </c>
      <c r="N15" s="22">
        <v>30</v>
      </c>
      <c r="O15" s="26">
        <v>31990</v>
      </c>
      <c r="P15" s="22">
        <v>0.05</v>
      </c>
      <c r="Q15" s="30">
        <v>21800</v>
      </c>
      <c r="R15" s="33">
        <f>Table1_1[[#This Row],[Units Sold]]*Table1_1[[#This Row],[Unit Price]]*1-Table1_1[[#This Row],[Discount]]</f>
        <v>959699.95</v>
      </c>
      <c r="S15" s="33">
        <f>Table1_1[[#This Row],[Units Sold]]*Table1_1[[#This Row],[Unit Cost]]</f>
        <v>654000</v>
      </c>
      <c r="T15" s="33">
        <f>Table1_1[[#This Row],[Sales Amount]]-S15</f>
        <v>305699.94999999995</v>
      </c>
      <c r="U15" s="32">
        <f>IFERROR(Table1_1[[#This Row],[Profit/loss]]/Table1_1[[#This Row],[Sales Amount]],0)</f>
        <v>0.31853700732192386</v>
      </c>
    </row>
    <row r="16" spans="1:21" ht="18" x14ac:dyDescent="0.35">
      <c r="A16" s="21" t="s">
        <v>92</v>
      </c>
      <c r="B16" s="36">
        <v>45298</v>
      </c>
      <c r="C16" s="22">
        <f>YEAR(Table1_1[[#This Row],[Order Date]])</f>
        <v>2024</v>
      </c>
      <c r="D16" s="22" t="str">
        <f>TEXT(Table1_1[[#This Row],[Order Date]],"MMMM")</f>
        <v>January</v>
      </c>
      <c r="E16" s="22" t="s">
        <v>48</v>
      </c>
      <c r="F16" s="22" t="s">
        <v>93</v>
      </c>
      <c r="G16" s="22" t="s">
        <v>38</v>
      </c>
      <c r="H16" s="22" t="s">
        <v>19</v>
      </c>
      <c r="I16" s="22" t="s">
        <v>20</v>
      </c>
      <c r="J16" s="22" t="s">
        <v>21</v>
      </c>
      <c r="K16" s="22" t="s">
        <v>51</v>
      </c>
      <c r="L16" s="22" t="s">
        <v>57</v>
      </c>
      <c r="M16" s="22" t="s">
        <v>24</v>
      </c>
      <c r="N16" s="22">
        <v>6</v>
      </c>
      <c r="O16" s="26">
        <v>5999</v>
      </c>
      <c r="P16" s="22">
        <v>0.15</v>
      </c>
      <c r="Q16" s="30">
        <v>3890</v>
      </c>
      <c r="R16" s="33">
        <f>Table1_1[[#This Row],[Units Sold]]*Table1_1[[#This Row],[Unit Price]]*1-Table1_1[[#This Row],[Discount]]</f>
        <v>35993.85</v>
      </c>
      <c r="S16" s="33">
        <f>Table1_1[[#This Row],[Units Sold]]*Table1_1[[#This Row],[Unit Cost]]</f>
        <v>23340</v>
      </c>
      <c r="T16" s="33">
        <f>Table1_1[[#This Row],[Sales Amount]]-S16</f>
        <v>12653.849999999999</v>
      </c>
      <c r="U16" s="32">
        <f>IFERROR(Table1_1[[#This Row],[Profit/loss]]/Table1_1[[#This Row],[Sales Amount]],0)</f>
        <v>0.35155589079801131</v>
      </c>
    </row>
    <row r="17" spans="1:21" ht="18" x14ac:dyDescent="0.35">
      <c r="A17" s="21" t="s">
        <v>94</v>
      </c>
      <c r="B17" s="36">
        <v>45298</v>
      </c>
      <c r="C17" s="22">
        <f>YEAR(Table1_1[[#This Row],[Order Date]])</f>
        <v>2024</v>
      </c>
      <c r="D17" s="22" t="str">
        <f>TEXT(Table1_1[[#This Row],[Order Date]],"MMMM")</f>
        <v>January</v>
      </c>
      <c r="E17" s="22" t="s">
        <v>26</v>
      </c>
      <c r="F17" s="22" t="s">
        <v>53</v>
      </c>
      <c r="G17" s="22" t="s">
        <v>38</v>
      </c>
      <c r="H17" s="22" t="s">
        <v>19</v>
      </c>
      <c r="I17" s="22" t="s">
        <v>30</v>
      </c>
      <c r="J17" s="22" t="s">
        <v>31</v>
      </c>
      <c r="K17" s="22" t="s">
        <v>85</v>
      </c>
      <c r="L17" s="22" t="s">
        <v>33</v>
      </c>
      <c r="M17" s="22" t="s">
        <v>34</v>
      </c>
      <c r="N17" s="22">
        <v>24</v>
      </c>
      <c r="O17" s="26">
        <v>43500</v>
      </c>
      <c r="P17" s="22">
        <v>0.08</v>
      </c>
      <c r="Q17" s="30">
        <v>29520</v>
      </c>
      <c r="R17" s="33">
        <f>Table1_1[[#This Row],[Units Sold]]*Table1_1[[#This Row],[Unit Price]]*1-Table1_1[[#This Row],[Discount]]</f>
        <v>1043999.92</v>
      </c>
      <c r="S17" s="33">
        <f>Table1_1[[#This Row],[Units Sold]]*Table1_1[[#This Row],[Unit Cost]]</f>
        <v>708480</v>
      </c>
      <c r="T17" s="33">
        <f>Table1_1[[#This Row],[Sales Amount]]-S17</f>
        <v>335519.92000000004</v>
      </c>
      <c r="U17" s="32">
        <f>IFERROR(Table1_1[[#This Row],[Profit/loss]]/Table1_1[[#This Row],[Sales Amount]],0)</f>
        <v>0.32137925834323822</v>
      </c>
    </row>
    <row r="18" spans="1:21" ht="18" x14ac:dyDescent="0.35">
      <c r="A18" s="21" t="s">
        <v>95</v>
      </c>
      <c r="B18" s="36">
        <v>45302</v>
      </c>
      <c r="C18" s="22">
        <f>YEAR(Table1_1[[#This Row],[Order Date]])</f>
        <v>2024</v>
      </c>
      <c r="D18" s="22" t="str">
        <f>TEXT(Table1_1[[#This Row],[Order Date]],"MMMM")</f>
        <v>January</v>
      </c>
      <c r="E18" s="22" t="s">
        <v>36</v>
      </c>
      <c r="F18" s="22" t="s">
        <v>44</v>
      </c>
      <c r="G18" s="22" t="s">
        <v>75</v>
      </c>
      <c r="H18" s="22" t="s">
        <v>19</v>
      </c>
      <c r="I18" s="22" t="s">
        <v>30</v>
      </c>
      <c r="J18" s="22" t="s">
        <v>61</v>
      </c>
      <c r="K18" s="22" t="s">
        <v>96</v>
      </c>
      <c r="L18" s="22" t="s">
        <v>23</v>
      </c>
      <c r="M18" s="22" t="s">
        <v>34</v>
      </c>
      <c r="N18" s="22">
        <v>18</v>
      </c>
      <c r="O18" s="26">
        <v>25110</v>
      </c>
      <c r="P18" s="22">
        <v>0.1</v>
      </c>
      <c r="Q18" s="30">
        <v>16730</v>
      </c>
      <c r="R18" s="33">
        <f>Table1_1[[#This Row],[Units Sold]]*Table1_1[[#This Row],[Unit Price]]*1-Table1_1[[#This Row],[Discount]]</f>
        <v>451979.9</v>
      </c>
      <c r="S18" s="33">
        <f>Table1_1[[#This Row],[Units Sold]]*Table1_1[[#This Row],[Unit Cost]]</f>
        <v>301140</v>
      </c>
      <c r="T18" s="33">
        <f>Table1_1[[#This Row],[Sales Amount]]-S18</f>
        <v>150839.90000000002</v>
      </c>
      <c r="U18" s="32">
        <f>IFERROR(Table1_1[[#This Row],[Profit/loss]]/Table1_1[[#This Row],[Sales Amount]],0)</f>
        <v>0.33373143363233632</v>
      </c>
    </row>
    <row r="19" spans="1:21" ht="18" x14ac:dyDescent="0.35">
      <c r="A19" s="21" t="s">
        <v>97</v>
      </c>
      <c r="B19" s="36">
        <v>45302</v>
      </c>
      <c r="C19" s="22">
        <f>YEAR(Table1_1[[#This Row],[Order Date]])</f>
        <v>2024</v>
      </c>
      <c r="D19" s="22" t="str">
        <f>TEXT(Table1_1[[#This Row],[Order Date]],"MMMM")</f>
        <v>January</v>
      </c>
      <c r="E19" s="22" t="s">
        <v>16</v>
      </c>
      <c r="F19" s="22" t="s">
        <v>98</v>
      </c>
      <c r="G19" s="22" t="s">
        <v>69</v>
      </c>
      <c r="H19" s="22" t="s">
        <v>39</v>
      </c>
      <c r="I19" s="22" t="s">
        <v>30</v>
      </c>
      <c r="J19" s="22" t="s">
        <v>61</v>
      </c>
      <c r="K19" s="22" t="s">
        <v>62</v>
      </c>
      <c r="L19" s="22" t="s">
        <v>33</v>
      </c>
      <c r="M19" s="22" t="s">
        <v>66</v>
      </c>
      <c r="N19" s="22">
        <v>7</v>
      </c>
      <c r="O19" s="26">
        <v>12490</v>
      </c>
      <c r="P19" s="22">
        <v>0.18</v>
      </c>
      <c r="Q19" s="30">
        <v>7900</v>
      </c>
      <c r="R19" s="33">
        <f>Table1_1[[#This Row],[Units Sold]]*Table1_1[[#This Row],[Unit Price]]*1-Table1_1[[#This Row],[Discount]]</f>
        <v>87429.82</v>
      </c>
      <c r="S19" s="33">
        <f>Table1_1[[#This Row],[Units Sold]]*Table1_1[[#This Row],[Unit Cost]]</f>
        <v>55300</v>
      </c>
      <c r="T19" s="33">
        <f>Table1_1[[#This Row],[Sales Amount]]-S19</f>
        <v>32129.820000000007</v>
      </c>
      <c r="U19" s="32">
        <f>IFERROR(Table1_1[[#This Row],[Profit/loss]]/Table1_1[[#This Row],[Sales Amount]],0)</f>
        <v>0.36749269299650855</v>
      </c>
    </row>
    <row r="20" spans="1:21" ht="18" x14ac:dyDescent="0.35">
      <c r="A20" s="21" t="s">
        <v>99</v>
      </c>
      <c r="B20" s="36">
        <v>45302</v>
      </c>
      <c r="C20" s="22">
        <f>YEAR(Table1_1[[#This Row],[Order Date]])</f>
        <v>2024</v>
      </c>
      <c r="D20" s="22" t="str">
        <f>TEXT(Table1_1[[#This Row],[Order Date]],"MMMM")</f>
        <v>January</v>
      </c>
      <c r="E20" s="22" t="s">
        <v>82</v>
      </c>
      <c r="F20" s="22" t="s">
        <v>100</v>
      </c>
      <c r="G20" s="22" t="s">
        <v>101</v>
      </c>
      <c r="H20" s="22" t="s">
        <v>39</v>
      </c>
      <c r="I20" s="22" t="s">
        <v>40</v>
      </c>
      <c r="J20" s="22" t="s">
        <v>64</v>
      </c>
      <c r="K20" s="22" t="s">
        <v>1619</v>
      </c>
      <c r="L20" s="22" t="s">
        <v>57</v>
      </c>
      <c r="M20" s="22" t="s">
        <v>24</v>
      </c>
      <c r="N20" s="22">
        <v>22</v>
      </c>
      <c r="O20" s="26">
        <v>1930</v>
      </c>
      <c r="P20" s="22">
        <v>0.08</v>
      </c>
      <c r="Q20" s="30">
        <v>1120</v>
      </c>
      <c r="R20" s="33">
        <f>Table1_1[[#This Row],[Units Sold]]*Table1_1[[#This Row],[Unit Price]]*1-Table1_1[[#This Row],[Discount]]</f>
        <v>42459.92</v>
      </c>
      <c r="S20" s="33">
        <f>Table1_1[[#This Row],[Units Sold]]*Table1_1[[#This Row],[Unit Cost]]</f>
        <v>24640</v>
      </c>
      <c r="T20" s="33">
        <f>Table1_1[[#This Row],[Sales Amount]]-S20</f>
        <v>17819.919999999998</v>
      </c>
      <c r="U20" s="32">
        <f>IFERROR(Table1_1[[#This Row],[Profit/loss]]/Table1_1[[#This Row],[Sales Amount]],0)</f>
        <v>0.4196880257899685</v>
      </c>
    </row>
    <row r="21" spans="1:21" ht="18" x14ac:dyDescent="0.35">
      <c r="A21" s="21" t="s">
        <v>102</v>
      </c>
      <c r="B21" s="36">
        <v>45303</v>
      </c>
      <c r="C21" s="22">
        <f>YEAR(Table1_1[[#This Row],[Order Date]])</f>
        <v>2024</v>
      </c>
      <c r="D21" s="22" t="str">
        <f>TEXT(Table1_1[[#This Row],[Order Date]],"MMMM")</f>
        <v>January</v>
      </c>
      <c r="E21" s="22" t="s">
        <v>36</v>
      </c>
      <c r="F21" s="22" t="s">
        <v>59</v>
      </c>
      <c r="G21" s="22" t="s">
        <v>75</v>
      </c>
      <c r="H21" s="22" t="s">
        <v>19</v>
      </c>
      <c r="I21" s="22" t="s">
        <v>20</v>
      </c>
      <c r="J21" s="22" t="s">
        <v>45</v>
      </c>
      <c r="K21" s="22" t="s">
        <v>1622</v>
      </c>
      <c r="L21" s="22" t="s">
        <v>33</v>
      </c>
      <c r="M21" s="22" t="s">
        <v>66</v>
      </c>
      <c r="N21" s="22">
        <v>31</v>
      </c>
      <c r="O21" s="26">
        <v>1599</v>
      </c>
      <c r="P21" s="22">
        <v>0.15</v>
      </c>
      <c r="Q21" s="30">
        <v>920</v>
      </c>
      <c r="R21" s="33">
        <f>Table1_1[[#This Row],[Units Sold]]*Table1_1[[#This Row],[Unit Price]]*1-Table1_1[[#This Row],[Discount]]</f>
        <v>49568.85</v>
      </c>
      <c r="S21" s="33">
        <f>Table1_1[[#This Row],[Units Sold]]*Table1_1[[#This Row],[Unit Cost]]</f>
        <v>28520</v>
      </c>
      <c r="T21" s="33">
        <f>Table1_1[[#This Row],[Sales Amount]]-S21</f>
        <v>21048.85</v>
      </c>
      <c r="U21" s="32">
        <f>IFERROR(Table1_1[[#This Row],[Profit/loss]]/Table1_1[[#This Row],[Sales Amount]],0)</f>
        <v>0.42463865915791871</v>
      </c>
    </row>
    <row r="22" spans="1:21" ht="18" x14ac:dyDescent="0.35">
      <c r="A22" s="21" t="s">
        <v>104</v>
      </c>
      <c r="B22" s="36">
        <v>45304</v>
      </c>
      <c r="C22" s="22">
        <f>YEAR(Table1_1[[#This Row],[Order Date]])</f>
        <v>2024</v>
      </c>
      <c r="D22" s="22" t="str">
        <f>TEXT(Table1_1[[#This Row],[Order Date]],"MMMM")</f>
        <v>January</v>
      </c>
      <c r="E22" s="22" t="s">
        <v>48</v>
      </c>
      <c r="F22" s="22" t="s">
        <v>68</v>
      </c>
      <c r="G22" s="22" t="s">
        <v>105</v>
      </c>
      <c r="H22" s="22" t="s">
        <v>29</v>
      </c>
      <c r="I22" s="22" t="s">
        <v>30</v>
      </c>
      <c r="J22" s="22" t="s">
        <v>31</v>
      </c>
      <c r="K22" s="22" t="s">
        <v>106</v>
      </c>
      <c r="L22" s="22" t="s">
        <v>33</v>
      </c>
      <c r="M22" s="22" t="s">
        <v>78</v>
      </c>
      <c r="N22" s="22">
        <v>20</v>
      </c>
      <c r="O22" s="26">
        <v>52990</v>
      </c>
      <c r="P22" s="22">
        <v>0.05</v>
      </c>
      <c r="Q22" s="30">
        <v>35100</v>
      </c>
      <c r="R22" s="33">
        <f>Table1_1[[#This Row],[Units Sold]]*Table1_1[[#This Row],[Unit Price]]*1-Table1_1[[#This Row],[Discount]]</f>
        <v>1059799.95</v>
      </c>
      <c r="S22" s="33">
        <f>Table1_1[[#This Row],[Units Sold]]*Table1_1[[#This Row],[Unit Cost]]</f>
        <v>702000</v>
      </c>
      <c r="T22" s="33">
        <f>Table1_1[[#This Row],[Sales Amount]]-S22</f>
        <v>357799.94999999995</v>
      </c>
      <c r="U22" s="32">
        <f>IFERROR(Table1_1[[#This Row],[Profit/loss]]/Table1_1[[#This Row],[Sales Amount]],0)</f>
        <v>0.33761083872479891</v>
      </c>
    </row>
    <row r="23" spans="1:21" ht="18" x14ac:dyDescent="0.35">
      <c r="A23" s="21" t="s">
        <v>107</v>
      </c>
      <c r="B23" s="36">
        <v>45306</v>
      </c>
      <c r="C23" s="22">
        <f>YEAR(Table1_1[[#This Row],[Order Date]])</f>
        <v>2024</v>
      </c>
      <c r="D23" s="22" t="str">
        <f>TEXT(Table1_1[[#This Row],[Order Date]],"MMMM")</f>
        <v>January</v>
      </c>
      <c r="E23" s="22" t="s">
        <v>82</v>
      </c>
      <c r="F23" s="22" t="s">
        <v>87</v>
      </c>
      <c r="G23" s="22" t="s">
        <v>105</v>
      </c>
      <c r="H23" s="22" t="s">
        <v>29</v>
      </c>
      <c r="I23" s="22" t="s">
        <v>54</v>
      </c>
      <c r="J23" s="22" t="s">
        <v>55</v>
      </c>
      <c r="K23" s="22" t="s">
        <v>1623</v>
      </c>
      <c r="L23" s="22" t="s">
        <v>57</v>
      </c>
      <c r="M23" s="22" t="s">
        <v>66</v>
      </c>
      <c r="N23" s="22">
        <v>23</v>
      </c>
      <c r="O23" s="26">
        <v>5890</v>
      </c>
      <c r="P23" s="22">
        <v>0.15</v>
      </c>
      <c r="Q23" s="30">
        <v>3980</v>
      </c>
      <c r="R23" s="33">
        <f>Table1_1[[#This Row],[Units Sold]]*Table1_1[[#This Row],[Unit Price]]*1-Table1_1[[#This Row],[Discount]]</f>
        <v>135469.85</v>
      </c>
      <c r="S23" s="33">
        <f>Table1_1[[#This Row],[Units Sold]]*Table1_1[[#This Row],[Unit Cost]]</f>
        <v>91540</v>
      </c>
      <c r="T23" s="33">
        <f>Table1_1[[#This Row],[Sales Amount]]-S23</f>
        <v>43929.850000000006</v>
      </c>
      <c r="U23" s="32">
        <f>IFERROR(Table1_1[[#This Row],[Profit/loss]]/Table1_1[[#This Row],[Sales Amount]],0)</f>
        <v>0.32427768983283001</v>
      </c>
    </row>
    <row r="24" spans="1:21" ht="18" x14ac:dyDescent="0.35">
      <c r="A24" s="21" t="s">
        <v>109</v>
      </c>
      <c r="B24" s="36">
        <v>45306</v>
      </c>
      <c r="C24" s="22">
        <f>YEAR(Table1_1[[#This Row],[Order Date]])</f>
        <v>2024</v>
      </c>
      <c r="D24" s="22" t="str">
        <f>TEXT(Table1_1[[#This Row],[Order Date]],"MMMM")</f>
        <v>January</v>
      </c>
      <c r="E24" s="22" t="s">
        <v>26</v>
      </c>
      <c r="F24" s="22" t="s">
        <v>74</v>
      </c>
      <c r="G24" s="22" t="s">
        <v>60</v>
      </c>
      <c r="H24" s="22" t="s">
        <v>19</v>
      </c>
      <c r="I24" s="22" t="s">
        <v>70</v>
      </c>
      <c r="J24" s="22" t="s">
        <v>71</v>
      </c>
      <c r="K24" s="22" t="s">
        <v>72</v>
      </c>
      <c r="L24" s="22" t="s">
        <v>33</v>
      </c>
      <c r="M24" s="22" t="s">
        <v>24</v>
      </c>
      <c r="N24" s="22">
        <v>6</v>
      </c>
      <c r="O24" s="26">
        <v>3499</v>
      </c>
      <c r="P24" s="22">
        <v>0.1</v>
      </c>
      <c r="Q24" s="30">
        <v>2190</v>
      </c>
      <c r="R24" s="33">
        <f>Table1_1[[#This Row],[Units Sold]]*Table1_1[[#This Row],[Unit Price]]*1-Table1_1[[#This Row],[Discount]]</f>
        <v>20993.9</v>
      </c>
      <c r="S24" s="33">
        <f>Table1_1[[#This Row],[Units Sold]]*Table1_1[[#This Row],[Unit Cost]]</f>
        <v>13140</v>
      </c>
      <c r="T24" s="33">
        <f>Table1_1[[#This Row],[Sales Amount]]-S24</f>
        <v>7853.9000000000015</v>
      </c>
      <c r="U24" s="32">
        <f>IFERROR(Table1_1[[#This Row],[Profit/loss]]/Table1_1[[#This Row],[Sales Amount]],0)</f>
        <v>0.37410390637280355</v>
      </c>
    </row>
    <row r="25" spans="1:21" ht="18" x14ac:dyDescent="0.35">
      <c r="A25" s="21" t="s">
        <v>110</v>
      </c>
      <c r="B25" s="36">
        <v>45306</v>
      </c>
      <c r="C25" s="22">
        <f>YEAR(Table1_1[[#This Row],[Order Date]])</f>
        <v>2024</v>
      </c>
      <c r="D25" s="22" t="str">
        <f>TEXT(Table1_1[[#This Row],[Order Date]],"MMMM")</f>
        <v>January</v>
      </c>
      <c r="E25" s="22" t="s">
        <v>16</v>
      </c>
      <c r="F25" s="22" t="s">
        <v>111</v>
      </c>
      <c r="G25" s="22" t="s">
        <v>28</v>
      </c>
      <c r="H25" s="22" t="s">
        <v>19</v>
      </c>
      <c r="I25" s="22" t="s">
        <v>70</v>
      </c>
      <c r="J25" s="22" t="s">
        <v>71</v>
      </c>
      <c r="K25" s="22" t="s">
        <v>80</v>
      </c>
      <c r="L25" s="22" t="s">
        <v>57</v>
      </c>
      <c r="M25" s="22" t="s">
        <v>34</v>
      </c>
      <c r="N25" s="22">
        <v>30</v>
      </c>
      <c r="O25" s="26">
        <v>1299</v>
      </c>
      <c r="P25" s="22">
        <v>0.15</v>
      </c>
      <c r="Q25" s="30">
        <v>720</v>
      </c>
      <c r="R25" s="33">
        <f>Table1_1[[#This Row],[Units Sold]]*Table1_1[[#This Row],[Unit Price]]*1-Table1_1[[#This Row],[Discount]]</f>
        <v>38969.85</v>
      </c>
      <c r="S25" s="33">
        <f>Table1_1[[#This Row],[Units Sold]]*Table1_1[[#This Row],[Unit Cost]]</f>
        <v>21600</v>
      </c>
      <c r="T25" s="33">
        <f>Table1_1[[#This Row],[Sales Amount]]-S25</f>
        <v>17369.849999999999</v>
      </c>
      <c r="U25" s="32">
        <f>IFERROR(Table1_1[[#This Row],[Profit/loss]]/Table1_1[[#This Row],[Sales Amount]],0)</f>
        <v>0.44572534921227563</v>
      </c>
    </row>
    <row r="26" spans="1:21" ht="18" x14ac:dyDescent="0.35">
      <c r="A26" s="21" t="s">
        <v>112</v>
      </c>
      <c r="B26" s="36">
        <v>45306</v>
      </c>
      <c r="C26" s="22">
        <f>YEAR(Table1_1[[#This Row],[Order Date]])</f>
        <v>2024</v>
      </c>
      <c r="D26" s="22" t="str">
        <f>TEXT(Table1_1[[#This Row],[Order Date]],"MMMM")</f>
        <v>January</v>
      </c>
      <c r="E26" s="22" t="s">
        <v>16</v>
      </c>
      <c r="F26" s="22" t="s">
        <v>98</v>
      </c>
      <c r="G26" s="22" t="s">
        <v>101</v>
      </c>
      <c r="H26" s="22" t="s">
        <v>39</v>
      </c>
      <c r="I26" s="22" t="s">
        <v>40</v>
      </c>
      <c r="J26" s="22" t="s">
        <v>76</v>
      </c>
      <c r="K26" s="22" t="s">
        <v>113</v>
      </c>
      <c r="L26" s="22" t="s">
        <v>23</v>
      </c>
      <c r="M26" s="22" t="s">
        <v>24</v>
      </c>
      <c r="N26" s="22">
        <v>21</v>
      </c>
      <c r="O26" s="26">
        <v>22999</v>
      </c>
      <c r="P26" s="22">
        <v>0.08</v>
      </c>
      <c r="Q26" s="30">
        <v>15100</v>
      </c>
      <c r="R26" s="33">
        <f>Table1_1[[#This Row],[Units Sold]]*Table1_1[[#This Row],[Unit Price]]*1-Table1_1[[#This Row],[Discount]]</f>
        <v>482978.92</v>
      </c>
      <c r="S26" s="33">
        <f>Table1_1[[#This Row],[Units Sold]]*Table1_1[[#This Row],[Unit Cost]]</f>
        <v>317100</v>
      </c>
      <c r="T26" s="33">
        <f>Table1_1[[#This Row],[Sales Amount]]-S26</f>
        <v>165878.91999999998</v>
      </c>
      <c r="U26" s="32">
        <f>IFERROR(Table1_1[[#This Row],[Profit/loss]]/Table1_1[[#This Row],[Sales Amount]],0)</f>
        <v>0.34344960645487382</v>
      </c>
    </row>
    <row r="27" spans="1:21" ht="18" x14ac:dyDescent="0.35">
      <c r="A27" s="21" t="s">
        <v>114</v>
      </c>
      <c r="B27" s="36">
        <v>45307</v>
      </c>
      <c r="C27" s="22">
        <f>YEAR(Table1_1[[#This Row],[Order Date]])</f>
        <v>2024</v>
      </c>
      <c r="D27" s="22" t="str">
        <f>TEXT(Table1_1[[#This Row],[Order Date]],"MMMM")</f>
        <v>January</v>
      </c>
      <c r="E27" s="22" t="s">
        <v>48</v>
      </c>
      <c r="F27" s="22" t="s">
        <v>68</v>
      </c>
      <c r="G27" s="22" t="s">
        <v>84</v>
      </c>
      <c r="H27" s="22" t="s">
        <v>29</v>
      </c>
      <c r="I27" s="22" t="s">
        <v>20</v>
      </c>
      <c r="J27" s="22" t="s">
        <v>21</v>
      </c>
      <c r="K27" s="22" t="s">
        <v>115</v>
      </c>
      <c r="L27" s="22" t="s">
        <v>23</v>
      </c>
      <c r="M27" s="22" t="s">
        <v>34</v>
      </c>
      <c r="N27" s="22">
        <v>26</v>
      </c>
      <c r="O27" s="26">
        <v>6499</v>
      </c>
      <c r="P27" s="22">
        <v>0.12</v>
      </c>
      <c r="Q27" s="30">
        <v>4210</v>
      </c>
      <c r="R27" s="33">
        <f>Table1_1[[#This Row],[Units Sold]]*Table1_1[[#This Row],[Unit Price]]*1-Table1_1[[#This Row],[Discount]]</f>
        <v>168973.88</v>
      </c>
      <c r="S27" s="33">
        <f>Table1_1[[#This Row],[Units Sold]]*Table1_1[[#This Row],[Unit Cost]]</f>
        <v>109460</v>
      </c>
      <c r="T27" s="33">
        <f>Table1_1[[#This Row],[Sales Amount]]-S27</f>
        <v>59513.880000000005</v>
      </c>
      <c r="U27" s="32">
        <f>IFERROR(Table1_1[[#This Row],[Profit/loss]]/Table1_1[[#This Row],[Sales Amount]],0)</f>
        <v>0.35220757196319336</v>
      </c>
    </row>
    <row r="28" spans="1:21" ht="18" x14ac:dyDescent="0.35">
      <c r="A28" s="21" t="s">
        <v>116</v>
      </c>
      <c r="B28" s="36">
        <v>45307</v>
      </c>
      <c r="C28" s="22">
        <f>YEAR(Table1_1[[#This Row],[Order Date]])</f>
        <v>2024</v>
      </c>
      <c r="D28" s="22" t="str">
        <f>TEXT(Table1_1[[#This Row],[Order Date]],"MMMM")</f>
        <v>January</v>
      </c>
      <c r="E28" s="22" t="s">
        <v>16</v>
      </c>
      <c r="F28" s="22" t="s">
        <v>111</v>
      </c>
      <c r="G28" s="22" t="s">
        <v>101</v>
      </c>
      <c r="H28" s="22" t="s">
        <v>29</v>
      </c>
      <c r="I28" s="22" t="s">
        <v>70</v>
      </c>
      <c r="J28" s="22" t="s">
        <v>71</v>
      </c>
      <c r="K28" s="22" t="s">
        <v>80</v>
      </c>
      <c r="L28" s="22" t="s">
        <v>23</v>
      </c>
      <c r="M28" s="22" t="s">
        <v>24</v>
      </c>
      <c r="N28" s="22">
        <v>25</v>
      </c>
      <c r="O28" s="26">
        <v>1299</v>
      </c>
      <c r="P28" s="22">
        <v>0.2</v>
      </c>
      <c r="Q28" s="30">
        <v>720</v>
      </c>
      <c r="R28" s="33">
        <f>Table1_1[[#This Row],[Units Sold]]*Table1_1[[#This Row],[Unit Price]]*1-Table1_1[[#This Row],[Discount]]</f>
        <v>32474.799999999999</v>
      </c>
      <c r="S28" s="33">
        <f>Table1_1[[#This Row],[Units Sold]]*Table1_1[[#This Row],[Unit Cost]]</f>
        <v>18000</v>
      </c>
      <c r="T28" s="33">
        <f>Table1_1[[#This Row],[Sales Amount]]-S28</f>
        <v>14474.8</v>
      </c>
      <c r="U28" s="32">
        <f>IFERROR(Table1_1[[#This Row],[Profit/loss]]/Table1_1[[#This Row],[Sales Amount]],0)</f>
        <v>0.44572406912436718</v>
      </c>
    </row>
    <row r="29" spans="1:21" ht="18" x14ac:dyDescent="0.35">
      <c r="A29" s="21" t="s">
        <v>117</v>
      </c>
      <c r="B29" s="36">
        <v>45308</v>
      </c>
      <c r="C29" s="22">
        <f>YEAR(Table1_1[[#This Row],[Order Date]])</f>
        <v>2024</v>
      </c>
      <c r="D29" s="22" t="str">
        <f>TEXT(Table1_1[[#This Row],[Order Date]],"MMMM")</f>
        <v>January</v>
      </c>
      <c r="E29" s="22" t="s">
        <v>82</v>
      </c>
      <c r="F29" s="22" t="s">
        <v>87</v>
      </c>
      <c r="G29" s="22" t="s">
        <v>69</v>
      </c>
      <c r="H29" s="22" t="s">
        <v>19</v>
      </c>
      <c r="I29" s="22" t="s">
        <v>70</v>
      </c>
      <c r="J29" s="22" t="s">
        <v>71</v>
      </c>
      <c r="K29" s="22" t="s">
        <v>88</v>
      </c>
      <c r="L29" s="22" t="s">
        <v>57</v>
      </c>
      <c r="M29" s="22" t="s">
        <v>24</v>
      </c>
      <c r="N29" s="22">
        <v>15</v>
      </c>
      <c r="O29" s="26">
        <v>999</v>
      </c>
      <c r="P29" s="22">
        <v>0.2</v>
      </c>
      <c r="Q29" s="30">
        <v>540</v>
      </c>
      <c r="R29" s="33">
        <f>Table1_1[[#This Row],[Units Sold]]*Table1_1[[#This Row],[Unit Price]]*1-Table1_1[[#This Row],[Discount]]</f>
        <v>14984.8</v>
      </c>
      <c r="S29" s="33">
        <f>Table1_1[[#This Row],[Units Sold]]*Table1_1[[#This Row],[Unit Cost]]</f>
        <v>8100</v>
      </c>
      <c r="T29" s="33">
        <f>Table1_1[[#This Row],[Sales Amount]]-S29</f>
        <v>6884.7999999999993</v>
      </c>
      <c r="U29" s="32">
        <f>IFERROR(Table1_1[[#This Row],[Profit/loss]]/Table1_1[[#This Row],[Sales Amount]],0)</f>
        <v>0.45945224494154074</v>
      </c>
    </row>
    <row r="30" spans="1:21" ht="18" x14ac:dyDescent="0.35">
      <c r="A30" s="21" t="s">
        <v>118</v>
      </c>
      <c r="B30" s="36">
        <v>45308</v>
      </c>
      <c r="C30" s="22">
        <f>YEAR(Table1_1[[#This Row],[Order Date]])</f>
        <v>2024</v>
      </c>
      <c r="D30" s="22" t="str">
        <f>TEXT(Table1_1[[#This Row],[Order Date]],"MMMM")</f>
        <v>January</v>
      </c>
      <c r="E30" s="22" t="s">
        <v>36</v>
      </c>
      <c r="F30" s="22" t="s">
        <v>44</v>
      </c>
      <c r="G30" s="22" t="s">
        <v>75</v>
      </c>
      <c r="H30" s="22" t="s">
        <v>29</v>
      </c>
      <c r="I30" s="22" t="s">
        <v>40</v>
      </c>
      <c r="J30" s="22" t="s">
        <v>41</v>
      </c>
      <c r="K30" s="22" t="s">
        <v>1624</v>
      </c>
      <c r="L30" s="22" t="s">
        <v>57</v>
      </c>
      <c r="M30" s="22" t="s">
        <v>24</v>
      </c>
      <c r="N30" s="22">
        <v>25</v>
      </c>
      <c r="O30" s="26">
        <v>48990</v>
      </c>
      <c r="P30" s="22">
        <v>0.15</v>
      </c>
      <c r="Q30" s="30">
        <v>30100</v>
      </c>
      <c r="R30" s="33">
        <f>Table1_1[[#This Row],[Units Sold]]*Table1_1[[#This Row],[Unit Price]]*1-Table1_1[[#This Row],[Discount]]</f>
        <v>1224749.8500000001</v>
      </c>
      <c r="S30" s="33">
        <f>Table1_1[[#This Row],[Units Sold]]*Table1_1[[#This Row],[Unit Cost]]</f>
        <v>752500</v>
      </c>
      <c r="T30" s="33">
        <f>Table1_1[[#This Row],[Sales Amount]]-S30</f>
        <v>472249.85000000009</v>
      </c>
      <c r="U30" s="32">
        <f>IFERROR(Table1_1[[#This Row],[Profit/loss]]/Table1_1[[#This Row],[Sales Amount]],0)</f>
        <v>0.38558882044361964</v>
      </c>
    </row>
    <row r="31" spans="1:21" ht="18" x14ac:dyDescent="0.35">
      <c r="A31" s="21" t="s">
        <v>120</v>
      </c>
      <c r="B31" s="36">
        <v>45308</v>
      </c>
      <c r="C31" s="22">
        <f>YEAR(Table1_1[[#This Row],[Order Date]])</f>
        <v>2024</v>
      </c>
      <c r="D31" s="22" t="str">
        <f>TEXT(Table1_1[[#This Row],[Order Date]],"MMMM")</f>
        <v>January</v>
      </c>
      <c r="E31" s="22" t="s">
        <v>36</v>
      </c>
      <c r="F31" s="22" t="s">
        <v>121</v>
      </c>
      <c r="G31" s="22" t="s">
        <v>75</v>
      </c>
      <c r="H31" s="22" t="s">
        <v>29</v>
      </c>
      <c r="I31" s="22" t="s">
        <v>54</v>
      </c>
      <c r="J31" s="22" t="s">
        <v>55</v>
      </c>
      <c r="K31" s="22" t="s">
        <v>1623</v>
      </c>
      <c r="L31" s="22" t="s">
        <v>57</v>
      </c>
      <c r="M31" s="22" t="s">
        <v>24</v>
      </c>
      <c r="N31" s="22">
        <v>10</v>
      </c>
      <c r="O31" s="26">
        <v>5890</v>
      </c>
      <c r="P31" s="22">
        <v>0.2</v>
      </c>
      <c r="Q31" s="30">
        <v>3980</v>
      </c>
      <c r="R31" s="33">
        <f>Table1_1[[#This Row],[Units Sold]]*Table1_1[[#This Row],[Unit Price]]*1-Table1_1[[#This Row],[Discount]]</f>
        <v>58899.8</v>
      </c>
      <c r="S31" s="33">
        <f>Table1_1[[#This Row],[Units Sold]]*Table1_1[[#This Row],[Unit Cost]]</f>
        <v>39800</v>
      </c>
      <c r="T31" s="33">
        <f>Table1_1[[#This Row],[Sales Amount]]-S31</f>
        <v>19099.800000000003</v>
      </c>
      <c r="U31" s="32">
        <f>IFERROR(Table1_1[[#This Row],[Profit/loss]]/Table1_1[[#This Row],[Sales Amount]],0)</f>
        <v>0.32427614355227014</v>
      </c>
    </row>
    <row r="32" spans="1:21" ht="18" x14ac:dyDescent="0.35">
      <c r="A32" s="21" t="s">
        <v>122</v>
      </c>
      <c r="B32" s="36">
        <v>45308</v>
      </c>
      <c r="C32" s="22">
        <f>YEAR(Table1_1[[#This Row],[Order Date]])</f>
        <v>2024</v>
      </c>
      <c r="D32" s="22" t="str">
        <f>TEXT(Table1_1[[#This Row],[Order Date]],"MMMM")</f>
        <v>January</v>
      </c>
      <c r="E32" s="22" t="s">
        <v>36</v>
      </c>
      <c r="F32" s="22" t="s">
        <v>121</v>
      </c>
      <c r="G32" s="22" t="s">
        <v>50</v>
      </c>
      <c r="H32" s="22" t="s">
        <v>39</v>
      </c>
      <c r="I32" s="22" t="s">
        <v>20</v>
      </c>
      <c r="J32" s="22" t="s">
        <v>21</v>
      </c>
      <c r="K32" s="22" t="s">
        <v>22</v>
      </c>
      <c r="L32" s="22" t="s">
        <v>33</v>
      </c>
      <c r="M32" s="22" t="s">
        <v>24</v>
      </c>
      <c r="N32" s="22">
        <v>21</v>
      </c>
      <c r="O32" s="26">
        <v>4499</v>
      </c>
      <c r="P32" s="22">
        <v>0.18</v>
      </c>
      <c r="Q32" s="30">
        <v>2910</v>
      </c>
      <c r="R32" s="33">
        <f>Table1_1[[#This Row],[Units Sold]]*Table1_1[[#This Row],[Unit Price]]*1-Table1_1[[#This Row],[Discount]]</f>
        <v>94478.82</v>
      </c>
      <c r="S32" s="33">
        <f>Table1_1[[#This Row],[Units Sold]]*Table1_1[[#This Row],[Unit Cost]]</f>
        <v>61110</v>
      </c>
      <c r="T32" s="33">
        <f>Table1_1[[#This Row],[Sales Amount]]-S32</f>
        <v>33368.820000000007</v>
      </c>
      <c r="U32" s="32">
        <f>IFERROR(Table1_1[[#This Row],[Profit/loss]]/Table1_1[[#This Row],[Sales Amount]],0)</f>
        <v>0.35318836539237053</v>
      </c>
    </row>
    <row r="33" spans="1:21" ht="18" x14ac:dyDescent="0.35">
      <c r="A33" s="21" t="s">
        <v>123</v>
      </c>
      <c r="B33" s="36">
        <v>45310</v>
      </c>
      <c r="C33" s="22">
        <f>YEAR(Table1_1[[#This Row],[Order Date]])</f>
        <v>2024</v>
      </c>
      <c r="D33" s="22" t="str">
        <f>TEXT(Table1_1[[#This Row],[Order Date]],"MMMM")</f>
        <v>January</v>
      </c>
      <c r="E33" s="22" t="s">
        <v>16</v>
      </c>
      <c r="F33" s="22" t="s">
        <v>17</v>
      </c>
      <c r="G33" s="22" t="s">
        <v>28</v>
      </c>
      <c r="H33" s="22" t="s">
        <v>39</v>
      </c>
      <c r="I33" s="22" t="s">
        <v>20</v>
      </c>
      <c r="J33" s="22" t="s">
        <v>21</v>
      </c>
      <c r="K33" s="22" t="s">
        <v>115</v>
      </c>
      <c r="L33" s="22" t="s">
        <v>33</v>
      </c>
      <c r="M33" s="22" t="s">
        <v>66</v>
      </c>
      <c r="N33" s="22">
        <v>10</v>
      </c>
      <c r="O33" s="26">
        <v>6499</v>
      </c>
      <c r="P33" s="22">
        <v>0.15</v>
      </c>
      <c r="Q33" s="30">
        <v>4210</v>
      </c>
      <c r="R33" s="33">
        <f>Table1_1[[#This Row],[Units Sold]]*Table1_1[[#This Row],[Unit Price]]*1-Table1_1[[#This Row],[Discount]]</f>
        <v>64989.85</v>
      </c>
      <c r="S33" s="33">
        <f>Table1_1[[#This Row],[Units Sold]]*Table1_1[[#This Row],[Unit Cost]]</f>
        <v>42100</v>
      </c>
      <c r="T33" s="33">
        <f>Table1_1[[#This Row],[Sales Amount]]-S33</f>
        <v>22889.85</v>
      </c>
      <c r="U33" s="32">
        <f>IFERROR(Table1_1[[#This Row],[Profit/loss]]/Table1_1[[#This Row],[Sales Amount]],0)</f>
        <v>0.35220653686691072</v>
      </c>
    </row>
    <row r="34" spans="1:21" ht="18" x14ac:dyDescent="0.35">
      <c r="A34" s="21" t="s">
        <v>124</v>
      </c>
      <c r="B34" s="36">
        <v>45310</v>
      </c>
      <c r="C34" s="22">
        <f>YEAR(Table1_1[[#This Row],[Order Date]])</f>
        <v>2024</v>
      </c>
      <c r="D34" s="22" t="str">
        <f>TEXT(Table1_1[[#This Row],[Order Date]],"MMMM")</f>
        <v>January</v>
      </c>
      <c r="E34" s="22" t="s">
        <v>48</v>
      </c>
      <c r="F34" s="22" t="s">
        <v>49</v>
      </c>
      <c r="G34" s="22" t="s">
        <v>75</v>
      </c>
      <c r="H34" s="22" t="s">
        <v>29</v>
      </c>
      <c r="I34" s="22" t="s">
        <v>40</v>
      </c>
      <c r="J34" s="22" t="s">
        <v>76</v>
      </c>
      <c r="K34" s="22" t="s">
        <v>113</v>
      </c>
      <c r="L34" s="22" t="s">
        <v>57</v>
      </c>
      <c r="M34" s="22" t="s">
        <v>24</v>
      </c>
      <c r="N34" s="22">
        <v>12</v>
      </c>
      <c r="O34" s="26">
        <v>22999</v>
      </c>
      <c r="P34" s="22">
        <v>0.2</v>
      </c>
      <c r="Q34" s="30">
        <v>15100</v>
      </c>
      <c r="R34" s="33">
        <f>Table1_1[[#This Row],[Units Sold]]*Table1_1[[#This Row],[Unit Price]]*1-Table1_1[[#This Row],[Discount]]</f>
        <v>275987.8</v>
      </c>
      <c r="S34" s="33">
        <f>Table1_1[[#This Row],[Units Sold]]*Table1_1[[#This Row],[Unit Cost]]</f>
        <v>181200</v>
      </c>
      <c r="T34" s="33">
        <f>Table1_1[[#This Row],[Sales Amount]]-S34</f>
        <v>94787.799999999988</v>
      </c>
      <c r="U34" s="32">
        <f>IFERROR(Table1_1[[#This Row],[Profit/loss]]/Table1_1[[#This Row],[Sales Amount]],0)</f>
        <v>0.34344923942290201</v>
      </c>
    </row>
    <row r="35" spans="1:21" ht="18" x14ac:dyDescent="0.35">
      <c r="A35" s="21" t="s">
        <v>125</v>
      </c>
      <c r="B35" s="36">
        <v>45310</v>
      </c>
      <c r="C35" s="22">
        <f>YEAR(Table1_1[[#This Row],[Order Date]])</f>
        <v>2024</v>
      </c>
      <c r="D35" s="22" t="str">
        <f>TEXT(Table1_1[[#This Row],[Order Date]],"MMMM")</f>
        <v>January</v>
      </c>
      <c r="E35" s="22" t="s">
        <v>16</v>
      </c>
      <c r="F35" s="22" t="s">
        <v>126</v>
      </c>
      <c r="G35" s="22" t="s">
        <v>38</v>
      </c>
      <c r="H35" s="22" t="s">
        <v>19</v>
      </c>
      <c r="I35" s="22" t="s">
        <v>30</v>
      </c>
      <c r="J35" s="22" t="s">
        <v>61</v>
      </c>
      <c r="K35" s="22" t="s">
        <v>96</v>
      </c>
      <c r="L35" s="22" t="s">
        <v>23</v>
      </c>
      <c r="M35" s="22" t="s">
        <v>66</v>
      </c>
      <c r="N35" s="22">
        <v>9</v>
      </c>
      <c r="O35" s="26">
        <v>25110</v>
      </c>
      <c r="P35" s="22">
        <v>0.08</v>
      </c>
      <c r="Q35" s="30">
        <v>16730</v>
      </c>
      <c r="R35" s="33">
        <f>Table1_1[[#This Row],[Units Sold]]*Table1_1[[#This Row],[Unit Price]]*1-Table1_1[[#This Row],[Discount]]</f>
        <v>225989.92</v>
      </c>
      <c r="S35" s="33">
        <f>Table1_1[[#This Row],[Units Sold]]*Table1_1[[#This Row],[Unit Cost]]</f>
        <v>150570</v>
      </c>
      <c r="T35" s="33">
        <f>Table1_1[[#This Row],[Sales Amount]]-S35</f>
        <v>75419.920000000013</v>
      </c>
      <c r="U35" s="32">
        <f>IFERROR(Table1_1[[#This Row],[Profit/loss]]/Table1_1[[#This Row],[Sales Amount]],0)</f>
        <v>0.33373134518566144</v>
      </c>
    </row>
    <row r="36" spans="1:21" ht="18" x14ac:dyDescent="0.35">
      <c r="A36" s="21" t="s">
        <v>127</v>
      </c>
      <c r="B36" s="36">
        <v>45310</v>
      </c>
      <c r="C36" s="22">
        <f>YEAR(Table1_1[[#This Row],[Order Date]])</f>
        <v>2024</v>
      </c>
      <c r="D36" s="22" t="str">
        <f>TEXT(Table1_1[[#This Row],[Order Date]],"MMMM")</f>
        <v>January</v>
      </c>
      <c r="E36" s="22" t="s">
        <v>26</v>
      </c>
      <c r="F36" s="22" t="s">
        <v>74</v>
      </c>
      <c r="G36" s="22" t="s">
        <v>38</v>
      </c>
      <c r="H36" s="22" t="s">
        <v>19</v>
      </c>
      <c r="I36" s="22" t="s">
        <v>70</v>
      </c>
      <c r="J36" s="22" t="s">
        <v>71</v>
      </c>
      <c r="K36" s="22" t="s">
        <v>72</v>
      </c>
      <c r="L36" s="22" t="s">
        <v>57</v>
      </c>
      <c r="M36" s="22" t="s">
        <v>24</v>
      </c>
      <c r="N36" s="22">
        <v>19</v>
      </c>
      <c r="O36" s="26">
        <v>3499</v>
      </c>
      <c r="P36" s="22">
        <v>0.08</v>
      </c>
      <c r="Q36" s="30">
        <v>2190</v>
      </c>
      <c r="R36" s="33">
        <f>Table1_1[[#This Row],[Units Sold]]*Table1_1[[#This Row],[Unit Price]]*1-Table1_1[[#This Row],[Discount]]</f>
        <v>66480.92</v>
      </c>
      <c r="S36" s="33">
        <f>Table1_1[[#This Row],[Units Sold]]*Table1_1[[#This Row],[Unit Cost]]</f>
        <v>41610</v>
      </c>
      <c r="T36" s="33">
        <f>Table1_1[[#This Row],[Sales Amount]]-S36</f>
        <v>24870.92</v>
      </c>
      <c r="U36" s="32">
        <f>IFERROR(Table1_1[[#This Row],[Profit/loss]]/Table1_1[[#This Row],[Sales Amount]],0)</f>
        <v>0.37410613451197727</v>
      </c>
    </row>
    <row r="37" spans="1:21" ht="18" x14ac:dyDescent="0.35">
      <c r="A37" s="21" t="s">
        <v>128</v>
      </c>
      <c r="B37" s="36">
        <v>45312</v>
      </c>
      <c r="C37" s="22">
        <f>YEAR(Table1_1[[#This Row],[Order Date]])</f>
        <v>2024</v>
      </c>
      <c r="D37" s="22" t="str">
        <f>TEXT(Table1_1[[#This Row],[Order Date]],"MMMM")</f>
        <v>January</v>
      </c>
      <c r="E37" s="22" t="s">
        <v>36</v>
      </c>
      <c r="F37" s="22" t="s">
        <v>59</v>
      </c>
      <c r="G37" s="22" t="s">
        <v>75</v>
      </c>
      <c r="H37" s="22" t="s">
        <v>29</v>
      </c>
      <c r="I37" s="22" t="s">
        <v>54</v>
      </c>
      <c r="J37" s="22" t="s">
        <v>129</v>
      </c>
      <c r="K37" s="22" t="s">
        <v>130</v>
      </c>
      <c r="L37" s="22" t="s">
        <v>23</v>
      </c>
      <c r="M37" s="22" t="s">
        <v>24</v>
      </c>
      <c r="N37" s="22">
        <v>18</v>
      </c>
      <c r="O37" s="26">
        <v>27890</v>
      </c>
      <c r="P37" s="22">
        <v>0.15</v>
      </c>
      <c r="Q37" s="30">
        <v>18800</v>
      </c>
      <c r="R37" s="33">
        <f>Table1_1[[#This Row],[Units Sold]]*Table1_1[[#This Row],[Unit Price]]*1-Table1_1[[#This Row],[Discount]]</f>
        <v>502019.85</v>
      </c>
      <c r="S37" s="33">
        <f>Table1_1[[#This Row],[Units Sold]]*Table1_1[[#This Row],[Unit Cost]]</f>
        <v>338400</v>
      </c>
      <c r="T37" s="33">
        <f>Table1_1[[#This Row],[Sales Amount]]-S37</f>
        <v>163619.84999999998</v>
      </c>
      <c r="U37" s="32">
        <f>IFERROR(Table1_1[[#This Row],[Profit/loss]]/Table1_1[[#This Row],[Sales Amount]],0)</f>
        <v>0.32592306857985792</v>
      </c>
    </row>
    <row r="38" spans="1:21" ht="18" x14ac:dyDescent="0.35">
      <c r="A38" s="21" t="s">
        <v>131</v>
      </c>
      <c r="B38" s="36">
        <v>45312</v>
      </c>
      <c r="C38" s="22">
        <f>YEAR(Table1_1[[#This Row],[Order Date]])</f>
        <v>2024</v>
      </c>
      <c r="D38" s="22" t="str">
        <f>TEXT(Table1_1[[#This Row],[Order Date]],"MMMM")</f>
        <v>January</v>
      </c>
      <c r="E38" s="22" t="s">
        <v>16</v>
      </c>
      <c r="F38" s="22" t="s">
        <v>111</v>
      </c>
      <c r="G38" s="22" t="s">
        <v>28</v>
      </c>
      <c r="H38" s="22" t="s">
        <v>39</v>
      </c>
      <c r="I38" s="22" t="s">
        <v>54</v>
      </c>
      <c r="J38" s="22" t="s">
        <v>55</v>
      </c>
      <c r="K38" s="22" t="s">
        <v>1623</v>
      </c>
      <c r="L38" s="22" t="s">
        <v>57</v>
      </c>
      <c r="M38" s="22" t="s">
        <v>24</v>
      </c>
      <c r="N38" s="22">
        <v>9</v>
      </c>
      <c r="O38" s="26">
        <v>5890</v>
      </c>
      <c r="P38" s="22">
        <v>0.1</v>
      </c>
      <c r="Q38" s="30">
        <v>3980</v>
      </c>
      <c r="R38" s="33">
        <f>Table1_1[[#This Row],[Units Sold]]*Table1_1[[#This Row],[Unit Price]]*1-Table1_1[[#This Row],[Discount]]</f>
        <v>53009.9</v>
      </c>
      <c r="S38" s="33">
        <f>Table1_1[[#This Row],[Units Sold]]*Table1_1[[#This Row],[Unit Cost]]</f>
        <v>35820</v>
      </c>
      <c r="T38" s="33">
        <f>Table1_1[[#This Row],[Sales Amount]]-S38</f>
        <v>17189.900000000001</v>
      </c>
      <c r="U38" s="32">
        <f>IFERROR(Table1_1[[#This Row],[Profit/loss]]/Table1_1[[#This Row],[Sales Amount]],0)</f>
        <v>0.32427716332232281</v>
      </c>
    </row>
    <row r="39" spans="1:21" ht="18" x14ac:dyDescent="0.35">
      <c r="A39" s="21" t="s">
        <v>132</v>
      </c>
      <c r="B39" s="36">
        <v>45313</v>
      </c>
      <c r="C39" s="22">
        <f>YEAR(Table1_1[[#This Row],[Order Date]])</f>
        <v>2024</v>
      </c>
      <c r="D39" s="22" t="str">
        <f>TEXT(Table1_1[[#This Row],[Order Date]],"MMMM")</f>
        <v>January</v>
      </c>
      <c r="E39" s="22" t="s">
        <v>36</v>
      </c>
      <c r="F39" s="22" t="s">
        <v>44</v>
      </c>
      <c r="G39" s="22" t="s">
        <v>38</v>
      </c>
      <c r="H39" s="22" t="s">
        <v>39</v>
      </c>
      <c r="I39" s="22" t="s">
        <v>40</v>
      </c>
      <c r="J39" s="22" t="s">
        <v>64</v>
      </c>
      <c r="K39" s="22" t="s">
        <v>1619</v>
      </c>
      <c r="L39" s="22" t="s">
        <v>57</v>
      </c>
      <c r="M39" s="22" t="s">
        <v>78</v>
      </c>
      <c r="N39" s="22">
        <v>24</v>
      </c>
      <c r="O39" s="26">
        <v>1930</v>
      </c>
      <c r="P39" s="22">
        <v>0.15</v>
      </c>
      <c r="Q39" s="30">
        <v>1120</v>
      </c>
      <c r="R39" s="33">
        <f>Table1_1[[#This Row],[Units Sold]]*Table1_1[[#This Row],[Unit Price]]*1-Table1_1[[#This Row],[Discount]]</f>
        <v>46319.85</v>
      </c>
      <c r="S39" s="33">
        <f>Table1_1[[#This Row],[Units Sold]]*Table1_1[[#This Row],[Unit Cost]]</f>
        <v>26880</v>
      </c>
      <c r="T39" s="33">
        <f>Table1_1[[#This Row],[Sales Amount]]-S39</f>
        <v>19439.849999999999</v>
      </c>
      <c r="U39" s="32">
        <f>IFERROR(Table1_1[[#This Row],[Profit/loss]]/Table1_1[[#This Row],[Sales Amount]],0)</f>
        <v>0.41968723991981838</v>
      </c>
    </row>
    <row r="40" spans="1:21" ht="18" x14ac:dyDescent="0.35">
      <c r="A40" s="21" t="s">
        <v>133</v>
      </c>
      <c r="B40" s="36">
        <v>45313</v>
      </c>
      <c r="C40" s="22">
        <f>YEAR(Table1_1[[#This Row],[Order Date]])</f>
        <v>2024</v>
      </c>
      <c r="D40" s="22" t="str">
        <f>TEXT(Table1_1[[#This Row],[Order Date]],"MMMM")</f>
        <v>January</v>
      </c>
      <c r="E40" s="22" t="s">
        <v>82</v>
      </c>
      <c r="F40" s="22" t="s">
        <v>87</v>
      </c>
      <c r="G40" s="22" t="s">
        <v>105</v>
      </c>
      <c r="H40" s="22" t="s">
        <v>29</v>
      </c>
      <c r="I40" s="22" t="s">
        <v>54</v>
      </c>
      <c r="J40" s="22" t="s">
        <v>90</v>
      </c>
      <c r="K40" s="22" t="s">
        <v>1625</v>
      </c>
      <c r="L40" s="22" t="s">
        <v>33</v>
      </c>
      <c r="M40" s="22" t="s">
        <v>24</v>
      </c>
      <c r="N40" s="22">
        <v>24</v>
      </c>
      <c r="O40" s="26">
        <v>32800</v>
      </c>
      <c r="P40" s="22">
        <v>0.08</v>
      </c>
      <c r="Q40" s="30">
        <v>23100</v>
      </c>
      <c r="R40" s="33">
        <f>Table1_1[[#This Row],[Units Sold]]*Table1_1[[#This Row],[Unit Price]]*1-Table1_1[[#This Row],[Discount]]</f>
        <v>787199.92</v>
      </c>
      <c r="S40" s="33">
        <f>Table1_1[[#This Row],[Units Sold]]*Table1_1[[#This Row],[Unit Cost]]</f>
        <v>554400</v>
      </c>
      <c r="T40" s="33">
        <f>Table1_1[[#This Row],[Sales Amount]]-S40</f>
        <v>232799.92000000004</v>
      </c>
      <c r="U40" s="32">
        <f>IFERROR(Table1_1[[#This Row],[Profit/loss]]/Table1_1[[#This Row],[Sales Amount]],0)</f>
        <v>0.29573163574508499</v>
      </c>
    </row>
    <row r="41" spans="1:21" ht="18" x14ac:dyDescent="0.35">
      <c r="A41" s="21" t="s">
        <v>135</v>
      </c>
      <c r="B41" s="36">
        <v>45313</v>
      </c>
      <c r="C41" s="22">
        <f>YEAR(Table1_1[[#This Row],[Order Date]])</f>
        <v>2024</v>
      </c>
      <c r="D41" s="22" t="str">
        <f>TEXT(Table1_1[[#This Row],[Order Date]],"MMMM")</f>
        <v>January</v>
      </c>
      <c r="E41" s="22" t="s">
        <v>48</v>
      </c>
      <c r="F41" s="22" t="s">
        <v>136</v>
      </c>
      <c r="G41" s="22" t="s">
        <v>28</v>
      </c>
      <c r="H41" s="22" t="s">
        <v>39</v>
      </c>
      <c r="I41" s="22" t="s">
        <v>20</v>
      </c>
      <c r="J41" s="22" t="s">
        <v>45</v>
      </c>
      <c r="K41" s="22" t="s">
        <v>1622</v>
      </c>
      <c r="L41" s="22" t="s">
        <v>33</v>
      </c>
      <c r="M41" s="22" t="s">
        <v>34</v>
      </c>
      <c r="N41" s="22">
        <v>26</v>
      </c>
      <c r="O41" s="26">
        <v>1599</v>
      </c>
      <c r="P41" s="22">
        <v>0.2</v>
      </c>
      <c r="Q41" s="30">
        <v>920</v>
      </c>
      <c r="R41" s="33">
        <f>Table1_1[[#This Row],[Units Sold]]*Table1_1[[#This Row],[Unit Price]]*1-Table1_1[[#This Row],[Discount]]</f>
        <v>41573.800000000003</v>
      </c>
      <c r="S41" s="33">
        <f>Table1_1[[#This Row],[Units Sold]]*Table1_1[[#This Row],[Unit Cost]]</f>
        <v>23920</v>
      </c>
      <c r="T41" s="33">
        <f>Table1_1[[#This Row],[Sales Amount]]-S41</f>
        <v>17653.800000000003</v>
      </c>
      <c r="U41" s="32">
        <f>IFERROR(Table1_1[[#This Row],[Profit/loss]]/Table1_1[[#This Row],[Sales Amount]],0)</f>
        <v>0.42463763235499286</v>
      </c>
    </row>
    <row r="42" spans="1:21" ht="18" x14ac:dyDescent="0.35">
      <c r="A42" s="21" t="s">
        <v>137</v>
      </c>
      <c r="B42" s="36">
        <v>45313</v>
      </c>
      <c r="C42" s="22">
        <f>YEAR(Table1_1[[#This Row],[Order Date]])</f>
        <v>2024</v>
      </c>
      <c r="D42" s="22" t="str">
        <f>TEXT(Table1_1[[#This Row],[Order Date]],"MMMM")</f>
        <v>January</v>
      </c>
      <c r="E42" s="22" t="s">
        <v>36</v>
      </c>
      <c r="F42" s="22" t="s">
        <v>44</v>
      </c>
      <c r="G42" s="22" t="s">
        <v>105</v>
      </c>
      <c r="H42" s="22" t="s">
        <v>19</v>
      </c>
      <c r="I42" s="22" t="s">
        <v>70</v>
      </c>
      <c r="J42" s="22" t="s">
        <v>71</v>
      </c>
      <c r="K42" s="22" t="s">
        <v>88</v>
      </c>
      <c r="L42" s="22" t="s">
        <v>33</v>
      </c>
      <c r="M42" s="22" t="s">
        <v>34</v>
      </c>
      <c r="N42" s="22">
        <v>30</v>
      </c>
      <c r="O42" s="26">
        <v>999</v>
      </c>
      <c r="P42" s="22">
        <v>0.2</v>
      </c>
      <c r="Q42" s="30">
        <v>540</v>
      </c>
      <c r="R42" s="33">
        <f>Table1_1[[#This Row],[Units Sold]]*Table1_1[[#This Row],[Unit Price]]*1-Table1_1[[#This Row],[Discount]]</f>
        <v>29969.8</v>
      </c>
      <c r="S42" s="33">
        <f>Table1_1[[#This Row],[Units Sold]]*Table1_1[[#This Row],[Unit Cost]]</f>
        <v>16200</v>
      </c>
      <c r="T42" s="33">
        <f>Table1_1[[#This Row],[Sales Amount]]-S42</f>
        <v>13769.8</v>
      </c>
      <c r="U42" s="32">
        <f>IFERROR(Table1_1[[#This Row],[Profit/loss]]/Table1_1[[#This Row],[Sales Amount]],0)</f>
        <v>0.45945585222457275</v>
      </c>
    </row>
    <row r="43" spans="1:21" ht="18" x14ac:dyDescent="0.35">
      <c r="A43" s="21" t="s">
        <v>138</v>
      </c>
      <c r="B43" s="36">
        <v>45314</v>
      </c>
      <c r="C43" s="22">
        <f>YEAR(Table1_1[[#This Row],[Order Date]])</f>
        <v>2024</v>
      </c>
      <c r="D43" s="22" t="str">
        <f>TEXT(Table1_1[[#This Row],[Order Date]],"MMMM")</f>
        <v>January</v>
      </c>
      <c r="E43" s="22" t="s">
        <v>82</v>
      </c>
      <c r="F43" s="22" t="s">
        <v>100</v>
      </c>
      <c r="G43" s="22" t="s">
        <v>105</v>
      </c>
      <c r="H43" s="22" t="s">
        <v>29</v>
      </c>
      <c r="I43" s="22" t="s">
        <v>40</v>
      </c>
      <c r="J43" s="22" t="s">
        <v>76</v>
      </c>
      <c r="K43" s="22" t="s">
        <v>1626</v>
      </c>
      <c r="L43" s="22" t="s">
        <v>57</v>
      </c>
      <c r="M43" s="22" t="s">
        <v>24</v>
      </c>
      <c r="N43" s="22">
        <v>39</v>
      </c>
      <c r="O43" s="26">
        <v>25999</v>
      </c>
      <c r="P43" s="22">
        <v>0.1</v>
      </c>
      <c r="Q43" s="30">
        <v>17800</v>
      </c>
      <c r="R43" s="33">
        <f>Table1_1[[#This Row],[Units Sold]]*Table1_1[[#This Row],[Unit Price]]*1-Table1_1[[#This Row],[Discount]]</f>
        <v>1013960.9</v>
      </c>
      <c r="S43" s="33">
        <f>Table1_1[[#This Row],[Units Sold]]*Table1_1[[#This Row],[Unit Cost]]</f>
        <v>694200</v>
      </c>
      <c r="T43" s="33">
        <f>Table1_1[[#This Row],[Sales Amount]]-S43</f>
        <v>319760.90000000002</v>
      </c>
      <c r="U43" s="32">
        <f>IFERROR(Table1_1[[#This Row],[Profit/loss]]/Table1_1[[#This Row],[Sales Amount]],0)</f>
        <v>0.31535821548937443</v>
      </c>
    </row>
    <row r="44" spans="1:21" ht="18" x14ac:dyDescent="0.35">
      <c r="A44" s="21" t="s">
        <v>140</v>
      </c>
      <c r="B44" s="36">
        <v>45315</v>
      </c>
      <c r="C44" s="22">
        <f>YEAR(Table1_1[[#This Row],[Order Date]])</f>
        <v>2024</v>
      </c>
      <c r="D44" s="22" t="str">
        <f>TEXT(Table1_1[[#This Row],[Order Date]],"MMMM")</f>
        <v>January</v>
      </c>
      <c r="E44" s="22" t="s">
        <v>82</v>
      </c>
      <c r="F44" s="22" t="s">
        <v>83</v>
      </c>
      <c r="G44" s="22" t="s">
        <v>18</v>
      </c>
      <c r="H44" s="22" t="s">
        <v>19</v>
      </c>
      <c r="I44" s="22" t="s">
        <v>54</v>
      </c>
      <c r="J44" s="22" t="s">
        <v>90</v>
      </c>
      <c r="K44" s="22" t="s">
        <v>1625</v>
      </c>
      <c r="L44" s="22" t="s">
        <v>23</v>
      </c>
      <c r="M44" s="22" t="s">
        <v>78</v>
      </c>
      <c r="N44" s="22">
        <v>9</v>
      </c>
      <c r="O44" s="26">
        <v>32800</v>
      </c>
      <c r="P44" s="22">
        <v>0.1</v>
      </c>
      <c r="Q44" s="30">
        <v>23100</v>
      </c>
      <c r="R44" s="33">
        <f>Table1_1[[#This Row],[Units Sold]]*Table1_1[[#This Row],[Unit Price]]*1-Table1_1[[#This Row],[Discount]]</f>
        <v>295199.90000000002</v>
      </c>
      <c r="S44" s="33">
        <f>Table1_1[[#This Row],[Units Sold]]*Table1_1[[#This Row],[Unit Cost]]</f>
        <v>207900</v>
      </c>
      <c r="T44" s="33">
        <f>Table1_1[[#This Row],[Sales Amount]]-S44</f>
        <v>87299.900000000023</v>
      </c>
      <c r="U44" s="32">
        <f>IFERROR(Table1_1[[#This Row],[Profit/loss]]/Table1_1[[#This Row],[Sales Amount]],0)</f>
        <v>0.29573146874372253</v>
      </c>
    </row>
    <row r="45" spans="1:21" ht="18" x14ac:dyDescent="0.35">
      <c r="A45" s="21" t="s">
        <v>141</v>
      </c>
      <c r="B45" s="36">
        <v>45316</v>
      </c>
      <c r="C45" s="22">
        <f>YEAR(Table1_1[[#This Row],[Order Date]])</f>
        <v>2024</v>
      </c>
      <c r="D45" s="22" t="str">
        <f>TEXT(Table1_1[[#This Row],[Order Date]],"MMMM")</f>
        <v>January</v>
      </c>
      <c r="E45" s="22" t="s">
        <v>16</v>
      </c>
      <c r="F45" s="22" t="s">
        <v>111</v>
      </c>
      <c r="G45" s="22" t="s">
        <v>75</v>
      </c>
      <c r="H45" s="22" t="s">
        <v>39</v>
      </c>
      <c r="I45" s="22" t="s">
        <v>70</v>
      </c>
      <c r="J45" s="22" t="s">
        <v>71</v>
      </c>
      <c r="K45" s="22" t="s">
        <v>88</v>
      </c>
      <c r="L45" s="22" t="s">
        <v>23</v>
      </c>
      <c r="M45" s="22" t="s">
        <v>34</v>
      </c>
      <c r="N45" s="22">
        <v>36</v>
      </c>
      <c r="O45" s="26">
        <v>999</v>
      </c>
      <c r="P45" s="22">
        <v>0.12</v>
      </c>
      <c r="Q45" s="30">
        <v>540</v>
      </c>
      <c r="R45" s="33">
        <f>Table1_1[[#This Row],[Units Sold]]*Table1_1[[#This Row],[Unit Price]]*1-Table1_1[[#This Row],[Discount]]</f>
        <v>35963.879999999997</v>
      </c>
      <c r="S45" s="33">
        <f>Table1_1[[#This Row],[Units Sold]]*Table1_1[[#This Row],[Unit Cost]]</f>
        <v>19440</v>
      </c>
      <c r="T45" s="33">
        <f>Table1_1[[#This Row],[Sales Amount]]-S45</f>
        <v>16523.879999999997</v>
      </c>
      <c r="U45" s="32">
        <f>IFERROR(Table1_1[[#This Row],[Profit/loss]]/Table1_1[[#This Row],[Sales Amount]],0)</f>
        <v>0.45945765584803416</v>
      </c>
    </row>
    <row r="46" spans="1:21" ht="18" x14ac:dyDescent="0.35">
      <c r="A46" s="21" t="s">
        <v>142</v>
      </c>
      <c r="B46" s="36">
        <v>45317</v>
      </c>
      <c r="C46" s="22">
        <f>YEAR(Table1_1[[#This Row],[Order Date]])</f>
        <v>2024</v>
      </c>
      <c r="D46" s="22" t="str">
        <f>TEXT(Table1_1[[#This Row],[Order Date]],"MMMM")</f>
        <v>January</v>
      </c>
      <c r="E46" s="22" t="s">
        <v>16</v>
      </c>
      <c r="F46" s="22" t="s">
        <v>98</v>
      </c>
      <c r="G46" s="22" t="s">
        <v>105</v>
      </c>
      <c r="H46" s="22" t="s">
        <v>29</v>
      </c>
      <c r="I46" s="22" t="s">
        <v>20</v>
      </c>
      <c r="J46" s="22" t="s">
        <v>21</v>
      </c>
      <c r="K46" s="22" t="s">
        <v>51</v>
      </c>
      <c r="L46" s="22" t="s">
        <v>57</v>
      </c>
      <c r="M46" s="22" t="s">
        <v>24</v>
      </c>
      <c r="N46" s="22">
        <v>10</v>
      </c>
      <c r="O46" s="26">
        <v>5999</v>
      </c>
      <c r="P46" s="22">
        <v>0.05</v>
      </c>
      <c r="Q46" s="30">
        <v>3890</v>
      </c>
      <c r="R46" s="33">
        <f>Table1_1[[#This Row],[Units Sold]]*Table1_1[[#This Row],[Unit Price]]*1-Table1_1[[#This Row],[Discount]]</f>
        <v>59989.95</v>
      </c>
      <c r="S46" s="33">
        <f>Table1_1[[#This Row],[Units Sold]]*Table1_1[[#This Row],[Unit Cost]]</f>
        <v>38900</v>
      </c>
      <c r="T46" s="33">
        <f>Table1_1[[#This Row],[Sales Amount]]-S46</f>
        <v>21089.949999999997</v>
      </c>
      <c r="U46" s="32">
        <f>IFERROR(Table1_1[[#This Row],[Profit/loss]]/Table1_1[[#This Row],[Sales Amount]],0)</f>
        <v>0.3515580526404839</v>
      </c>
    </row>
    <row r="47" spans="1:21" ht="18" x14ac:dyDescent="0.35">
      <c r="A47" s="21" t="s">
        <v>143</v>
      </c>
      <c r="B47" s="36">
        <v>45317</v>
      </c>
      <c r="C47" s="22">
        <f>YEAR(Table1_1[[#This Row],[Order Date]])</f>
        <v>2024</v>
      </c>
      <c r="D47" s="22" t="str">
        <f>TEXT(Table1_1[[#This Row],[Order Date]],"MMMM")</f>
        <v>January</v>
      </c>
      <c r="E47" s="22" t="s">
        <v>82</v>
      </c>
      <c r="F47" s="22" t="s">
        <v>83</v>
      </c>
      <c r="G47" s="22" t="s">
        <v>50</v>
      </c>
      <c r="H47" s="22" t="s">
        <v>29</v>
      </c>
      <c r="I47" s="22" t="s">
        <v>54</v>
      </c>
      <c r="J47" s="22" t="s">
        <v>55</v>
      </c>
      <c r="K47" s="22" t="s">
        <v>56</v>
      </c>
      <c r="L47" s="22" t="s">
        <v>23</v>
      </c>
      <c r="M47" s="22" t="s">
        <v>24</v>
      </c>
      <c r="N47" s="22">
        <v>35</v>
      </c>
      <c r="O47" s="26">
        <v>7299</v>
      </c>
      <c r="P47" s="22">
        <v>0.12</v>
      </c>
      <c r="Q47" s="30">
        <v>5010</v>
      </c>
      <c r="R47" s="33">
        <f>Table1_1[[#This Row],[Units Sold]]*Table1_1[[#This Row],[Unit Price]]*1-Table1_1[[#This Row],[Discount]]</f>
        <v>255464.88</v>
      </c>
      <c r="S47" s="33">
        <f>Table1_1[[#This Row],[Units Sold]]*Table1_1[[#This Row],[Unit Cost]]</f>
        <v>175350</v>
      </c>
      <c r="T47" s="33">
        <f>Table1_1[[#This Row],[Sales Amount]]-S47</f>
        <v>80114.880000000005</v>
      </c>
      <c r="U47" s="32">
        <f>IFERROR(Table1_1[[#This Row],[Profit/loss]]/Table1_1[[#This Row],[Sales Amount]],0)</f>
        <v>0.31360428094852022</v>
      </c>
    </row>
    <row r="48" spans="1:21" ht="18" x14ac:dyDescent="0.35">
      <c r="A48" s="21" t="s">
        <v>144</v>
      </c>
      <c r="B48" s="36">
        <v>45318</v>
      </c>
      <c r="C48" s="22">
        <f>YEAR(Table1_1[[#This Row],[Order Date]])</f>
        <v>2024</v>
      </c>
      <c r="D48" s="22" t="str">
        <f>TEXT(Table1_1[[#This Row],[Order Date]],"MMMM")</f>
        <v>January</v>
      </c>
      <c r="E48" s="22" t="s">
        <v>36</v>
      </c>
      <c r="F48" s="22" t="s">
        <v>44</v>
      </c>
      <c r="G48" s="22" t="s">
        <v>69</v>
      </c>
      <c r="H48" s="22" t="s">
        <v>29</v>
      </c>
      <c r="I48" s="22" t="s">
        <v>54</v>
      </c>
      <c r="J48" s="22" t="s">
        <v>129</v>
      </c>
      <c r="K48" s="22" t="s">
        <v>145</v>
      </c>
      <c r="L48" s="22" t="s">
        <v>23</v>
      </c>
      <c r="M48" s="22" t="s">
        <v>34</v>
      </c>
      <c r="N48" s="22">
        <v>29</v>
      </c>
      <c r="O48" s="26">
        <v>31490</v>
      </c>
      <c r="P48" s="22">
        <v>0.2</v>
      </c>
      <c r="Q48" s="30">
        <v>21300</v>
      </c>
      <c r="R48" s="33">
        <f>Table1_1[[#This Row],[Units Sold]]*Table1_1[[#This Row],[Unit Price]]*1-Table1_1[[#This Row],[Discount]]</f>
        <v>913209.8</v>
      </c>
      <c r="S48" s="33">
        <f>Table1_1[[#This Row],[Units Sold]]*Table1_1[[#This Row],[Unit Cost]]</f>
        <v>617700</v>
      </c>
      <c r="T48" s="33">
        <f>Table1_1[[#This Row],[Sales Amount]]-S48</f>
        <v>295509.80000000005</v>
      </c>
      <c r="U48" s="32">
        <f>IFERROR(Table1_1[[#This Row],[Profit/loss]]/Table1_1[[#This Row],[Sales Amount]],0)</f>
        <v>0.32359464385949432</v>
      </c>
    </row>
    <row r="49" spans="1:21" ht="18" x14ac:dyDescent="0.35">
      <c r="A49" s="21" t="s">
        <v>146</v>
      </c>
      <c r="B49" s="36">
        <v>45320</v>
      </c>
      <c r="C49" s="22">
        <f>YEAR(Table1_1[[#This Row],[Order Date]])</f>
        <v>2024</v>
      </c>
      <c r="D49" s="22" t="str">
        <f>TEXT(Table1_1[[#This Row],[Order Date]],"MMMM")</f>
        <v>January</v>
      </c>
      <c r="E49" s="22" t="s">
        <v>82</v>
      </c>
      <c r="F49" s="22" t="s">
        <v>83</v>
      </c>
      <c r="G49" s="22" t="s">
        <v>84</v>
      </c>
      <c r="H49" s="22" t="s">
        <v>39</v>
      </c>
      <c r="I49" s="22" t="s">
        <v>40</v>
      </c>
      <c r="J49" s="22" t="s">
        <v>41</v>
      </c>
      <c r="K49" s="22" t="s">
        <v>42</v>
      </c>
      <c r="L49" s="22" t="s">
        <v>57</v>
      </c>
      <c r="M49" s="22" t="s">
        <v>34</v>
      </c>
      <c r="N49" s="22">
        <v>36</v>
      </c>
      <c r="O49" s="26">
        <v>55230</v>
      </c>
      <c r="P49" s="22">
        <v>0.12</v>
      </c>
      <c r="Q49" s="30">
        <v>33800</v>
      </c>
      <c r="R49" s="33">
        <f>Table1_1[[#This Row],[Units Sold]]*Table1_1[[#This Row],[Unit Price]]*1-Table1_1[[#This Row],[Discount]]</f>
        <v>1988279.88</v>
      </c>
      <c r="S49" s="33">
        <f>Table1_1[[#This Row],[Units Sold]]*Table1_1[[#This Row],[Unit Cost]]</f>
        <v>1216800</v>
      </c>
      <c r="T49" s="33">
        <f>Table1_1[[#This Row],[Sales Amount]]-S49</f>
        <v>771479.87999999989</v>
      </c>
      <c r="U49" s="32">
        <f>IFERROR(Table1_1[[#This Row],[Profit/loss]]/Table1_1[[#This Row],[Sales Amount]],0)</f>
        <v>0.38801372370171544</v>
      </c>
    </row>
    <row r="50" spans="1:21" ht="18" x14ac:dyDescent="0.35">
      <c r="A50" s="21" t="s">
        <v>147</v>
      </c>
      <c r="B50" s="36">
        <v>45320</v>
      </c>
      <c r="C50" s="22">
        <f>YEAR(Table1_1[[#This Row],[Order Date]])</f>
        <v>2024</v>
      </c>
      <c r="D50" s="22" t="str">
        <f>TEXT(Table1_1[[#This Row],[Order Date]],"MMMM")</f>
        <v>January</v>
      </c>
      <c r="E50" s="22" t="s">
        <v>36</v>
      </c>
      <c r="F50" s="22" t="s">
        <v>59</v>
      </c>
      <c r="G50" s="22" t="s">
        <v>50</v>
      </c>
      <c r="H50" s="22" t="s">
        <v>29</v>
      </c>
      <c r="I50" s="22" t="s">
        <v>54</v>
      </c>
      <c r="J50" s="22" t="s">
        <v>55</v>
      </c>
      <c r="K50" s="22" t="s">
        <v>148</v>
      </c>
      <c r="L50" s="22" t="s">
        <v>23</v>
      </c>
      <c r="M50" s="22" t="s">
        <v>24</v>
      </c>
      <c r="N50" s="22">
        <v>18</v>
      </c>
      <c r="O50" s="26">
        <v>4680</v>
      </c>
      <c r="P50" s="22">
        <v>0.15</v>
      </c>
      <c r="Q50" s="30">
        <v>3250</v>
      </c>
      <c r="R50" s="33">
        <f>Table1_1[[#This Row],[Units Sold]]*Table1_1[[#This Row],[Unit Price]]*1-Table1_1[[#This Row],[Discount]]</f>
        <v>84239.85</v>
      </c>
      <c r="S50" s="33">
        <f>Table1_1[[#This Row],[Units Sold]]*Table1_1[[#This Row],[Unit Cost]]</f>
        <v>58500</v>
      </c>
      <c r="T50" s="33">
        <f>Table1_1[[#This Row],[Sales Amount]]-S50</f>
        <v>25739.850000000006</v>
      </c>
      <c r="U50" s="32">
        <f>IFERROR(Table1_1[[#This Row],[Profit/loss]]/Table1_1[[#This Row],[Sales Amount]],0)</f>
        <v>0.30555431900697833</v>
      </c>
    </row>
    <row r="51" spans="1:21" ht="18" x14ac:dyDescent="0.35">
      <c r="A51" s="21" t="s">
        <v>149</v>
      </c>
      <c r="B51" s="36">
        <v>45320</v>
      </c>
      <c r="C51" s="22">
        <f>YEAR(Table1_1[[#This Row],[Order Date]])</f>
        <v>2024</v>
      </c>
      <c r="D51" s="22" t="str">
        <f>TEXT(Table1_1[[#This Row],[Order Date]],"MMMM")</f>
        <v>January</v>
      </c>
      <c r="E51" s="22" t="s">
        <v>82</v>
      </c>
      <c r="F51" s="22" t="s">
        <v>87</v>
      </c>
      <c r="G51" s="22" t="s">
        <v>50</v>
      </c>
      <c r="H51" s="22" t="s">
        <v>29</v>
      </c>
      <c r="I51" s="22" t="s">
        <v>70</v>
      </c>
      <c r="J51" s="22" t="s">
        <v>71</v>
      </c>
      <c r="K51" s="22" t="s">
        <v>80</v>
      </c>
      <c r="L51" s="22" t="s">
        <v>23</v>
      </c>
      <c r="M51" s="22" t="s">
        <v>78</v>
      </c>
      <c r="N51" s="22">
        <v>25</v>
      </c>
      <c r="O51" s="26">
        <v>1299</v>
      </c>
      <c r="P51" s="22">
        <v>0.05</v>
      </c>
      <c r="Q51" s="30">
        <v>720</v>
      </c>
      <c r="R51" s="33">
        <f>Table1_1[[#This Row],[Units Sold]]*Table1_1[[#This Row],[Unit Price]]*1-Table1_1[[#This Row],[Discount]]</f>
        <v>32474.95</v>
      </c>
      <c r="S51" s="33">
        <f>Table1_1[[#This Row],[Units Sold]]*Table1_1[[#This Row],[Unit Cost]]</f>
        <v>18000</v>
      </c>
      <c r="T51" s="33">
        <f>Table1_1[[#This Row],[Sales Amount]]-S51</f>
        <v>14474.95</v>
      </c>
      <c r="U51" s="32">
        <f>IFERROR(Table1_1[[#This Row],[Profit/loss]]/Table1_1[[#This Row],[Sales Amount]],0)</f>
        <v>0.44572662929427143</v>
      </c>
    </row>
    <row r="52" spans="1:21" ht="18" x14ac:dyDescent="0.35">
      <c r="A52" s="21" t="s">
        <v>150</v>
      </c>
      <c r="B52" s="36">
        <v>45320</v>
      </c>
      <c r="C52" s="22">
        <f>YEAR(Table1_1[[#This Row],[Order Date]])</f>
        <v>2024</v>
      </c>
      <c r="D52" s="22" t="str">
        <f>TEXT(Table1_1[[#This Row],[Order Date]],"MMMM")</f>
        <v>January</v>
      </c>
      <c r="E52" s="22" t="s">
        <v>36</v>
      </c>
      <c r="F52" s="22" t="s">
        <v>44</v>
      </c>
      <c r="G52" s="22" t="s">
        <v>84</v>
      </c>
      <c r="H52" s="22" t="s">
        <v>39</v>
      </c>
      <c r="I52" s="22" t="s">
        <v>20</v>
      </c>
      <c r="J52" s="22" t="s">
        <v>21</v>
      </c>
      <c r="K52" s="22" t="s">
        <v>51</v>
      </c>
      <c r="L52" s="22" t="s">
        <v>57</v>
      </c>
      <c r="M52" s="22" t="s">
        <v>78</v>
      </c>
      <c r="N52" s="22">
        <v>39</v>
      </c>
      <c r="O52" s="26">
        <v>5999</v>
      </c>
      <c r="P52" s="22">
        <v>0.15</v>
      </c>
      <c r="Q52" s="30">
        <v>3890</v>
      </c>
      <c r="R52" s="33">
        <f>Table1_1[[#This Row],[Units Sold]]*Table1_1[[#This Row],[Unit Price]]*1-Table1_1[[#This Row],[Discount]]</f>
        <v>233960.85</v>
      </c>
      <c r="S52" s="33">
        <f>Table1_1[[#This Row],[Units Sold]]*Table1_1[[#This Row],[Unit Cost]]</f>
        <v>151710</v>
      </c>
      <c r="T52" s="33">
        <f>Table1_1[[#This Row],[Sales Amount]]-S52</f>
        <v>82250.850000000006</v>
      </c>
      <c r="U52" s="32">
        <f>IFERROR(Table1_1[[#This Row],[Profit/loss]]/Table1_1[[#This Row],[Sales Amount]],0)</f>
        <v>0.35155817736172529</v>
      </c>
    </row>
    <row r="53" spans="1:21" ht="18" x14ac:dyDescent="0.35">
      <c r="A53" s="21" t="s">
        <v>151</v>
      </c>
      <c r="B53" s="36">
        <v>45322</v>
      </c>
      <c r="C53" s="22">
        <f>YEAR(Table1_1[[#This Row],[Order Date]])</f>
        <v>2024</v>
      </c>
      <c r="D53" s="22" t="str">
        <f>TEXT(Table1_1[[#This Row],[Order Date]],"MMMM")</f>
        <v>January</v>
      </c>
      <c r="E53" s="22" t="s">
        <v>48</v>
      </c>
      <c r="F53" s="22" t="s">
        <v>49</v>
      </c>
      <c r="G53" s="22" t="s">
        <v>75</v>
      </c>
      <c r="H53" s="22" t="s">
        <v>19</v>
      </c>
      <c r="I53" s="22" t="s">
        <v>20</v>
      </c>
      <c r="J53" s="22" t="s">
        <v>21</v>
      </c>
      <c r="K53" s="22" t="s">
        <v>115</v>
      </c>
      <c r="L53" s="22" t="s">
        <v>33</v>
      </c>
      <c r="M53" s="22" t="s">
        <v>24</v>
      </c>
      <c r="N53" s="22">
        <v>33</v>
      </c>
      <c r="O53" s="26">
        <v>6499</v>
      </c>
      <c r="P53" s="22">
        <v>0.15</v>
      </c>
      <c r="Q53" s="30">
        <v>4210</v>
      </c>
      <c r="R53" s="33">
        <f>Table1_1[[#This Row],[Units Sold]]*Table1_1[[#This Row],[Unit Price]]*1-Table1_1[[#This Row],[Discount]]</f>
        <v>214466.85</v>
      </c>
      <c r="S53" s="33">
        <f>Table1_1[[#This Row],[Units Sold]]*Table1_1[[#This Row],[Unit Cost]]</f>
        <v>138930</v>
      </c>
      <c r="T53" s="33">
        <f>Table1_1[[#This Row],[Sales Amount]]-S53</f>
        <v>75536.850000000006</v>
      </c>
      <c r="U53" s="32">
        <f>IFERROR(Table1_1[[#This Row],[Profit/loss]]/Table1_1[[#This Row],[Sales Amount]],0)</f>
        <v>0.3522075789335275</v>
      </c>
    </row>
    <row r="54" spans="1:21" ht="18" x14ac:dyDescent="0.35">
      <c r="A54" s="21" t="s">
        <v>152</v>
      </c>
      <c r="B54" s="36">
        <v>45324</v>
      </c>
      <c r="C54" s="22">
        <f>YEAR(Table1_1[[#This Row],[Order Date]])</f>
        <v>2024</v>
      </c>
      <c r="D54" s="22" t="str">
        <f>TEXT(Table1_1[[#This Row],[Order Date]],"MMMM")</f>
        <v>February</v>
      </c>
      <c r="E54" s="22" t="s">
        <v>16</v>
      </c>
      <c r="F54" s="22" t="s">
        <v>98</v>
      </c>
      <c r="G54" s="22" t="s">
        <v>18</v>
      </c>
      <c r="H54" s="22" t="s">
        <v>19</v>
      </c>
      <c r="I54" s="22" t="s">
        <v>40</v>
      </c>
      <c r="J54" s="22" t="s">
        <v>64</v>
      </c>
      <c r="K54" s="22" t="s">
        <v>1627</v>
      </c>
      <c r="L54" s="22" t="s">
        <v>57</v>
      </c>
      <c r="M54" s="22" t="s">
        <v>78</v>
      </c>
      <c r="N54" s="22">
        <v>15</v>
      </c>
      <c r="O54" s="26">
        <v>4490</v>
      </c>
      <c r="P54" s="22">
        <v>0.18</v>
      </c>
      <c r="Q54" s="30">
        <v>2950</v>
      </c>
      <c r="R54" s="33">
        <f>Table1_1[[#This Row],[Units Sold]]*Table1_1[[#This Row],[Unit Price]]*1-Table1_1[[#This Row],[Discount]]</f>
        <v>67349.820000000007</v>
      </c>
      <c r="S54" s="33">
        <f>Table1_1[[#This Row],[Units Sold]]*Table1_1[[#This Row],[Unit Cost]]</f>
        <v>44250</v>
      </c>
      <c r="T54" s="33">
        <f>Table1_1[[#This Row],[Sales Amount]]-S54</f>
        <v>23099.820000000007</v>
      </c>
      <c r="U54" s="32">
        <f>IFERROR(Table1_1[[#This Row],[Profit/loss]]/Table1_1[[#This Row],[Sales Amount]],0)</f>
        <v>0.34298265385119076</v>
      </c>
    </row>
    <row r="55" spans="1:21" ht="18" x14ac:dyDescent="0.35">
      <c r="A55" s="21" t="s">
        <v>154</v>
      </c>
      <c r="B55" s="36">
        <v>45324</v>
      </c>
      <c r="C55" s="22">
        <f>YEAR(Table1_1[[#This Row],[Order Date]])</f>
        <v>2024</v>
      </c>
      <c r="D55" s="22" t="str">
        <f>TEXT(Table1_1[[#This Row],[Order Date]],"MMMM")</f>
        <v>February</v>
      </c>
      <c r="E55" s="22" t="s">
        <v>26</v>
      </c>
      <c r="F55" s="22" t="s">
        <v>74</v>
      </c>
      <c r="G55" s="22" t="s">
        <v>105</v>
      </c>
      <c r="H55" s="22" t="s">
        <v>39</v>
      </c>
      <c r="I55" s="22" t="s">
        <v>40</v>
      </c>
      <c r="J55" s="22" t="s">
        <v>64</v>
      </c>
      <c r="K55" s="22" t="s">
        <v>1619</v>
      </c>
      <c r="L55" s="22" t="s">
        <v>23</v>
      </c>
      <c r="M55" s="22" t="s">
        <v>34</v>
      </c>
      <c r="N55" s="22">
        <v>23</v>
      </c>
      <c r="O55" s="26">
        <v>1930</v>
      </c>
      <c r="P55" s="22">
        <v>0.2</v>
      </c>
      <c r="Q55" s="30">
        <v>1120</v>
      </c>
      <c r="R55" s="33">
        <f>Table1_1[[#This Row],[Units Sold]]*Table1_1[[#This Row],[Unit Price]]*1-Table1_1[[#This Row],[Discount]]</f>
        <v>44389.8</v>
      </c>
      <c r="S55" s="33">
        <f>Table1_1[[#This Row],[Units Sold]]*Table1_1[[#This Row],[Unit Cost]]</f>
        <v>25760</v>
      </c>
      <c r="T55" s="33">
        <f>Table1_1[[#This Row],[Sales Amount]]-S55</f>
        <v>18629.800000000003</v>
      </c>
      <c r="U55" s="32">
        <f>IFERROR(Table1_1[[#This Row],[Profit/loss]]/Table1_1[[#This Row],[Sales Amount]],0)</f>
        <v>0.41968650455735329</v>
      </c>
    </row>
    <row r="56" spans="1:21" ht="18" x14ac:dyDescent="0.35">
      <c r="A56" s="21" t="s">
        <v>155</v>
      </c>
      <c r="B56" s="36">
        <v>45324</v>
      </c>
      <c r="C56" s="22">
        <f>YEAR(Table1_1[[#This Row],[Order Date]])</f>
        <v>2024</v>
      </c>
      <c r="D56" s="22" t="str">
        <f>TEXT(Table1_1[[#This Row],[Order Date]],"MMMM")</f>
        <v>February</v>
      </c>
      <c r="E56" s="22" t="s">
        <v>36</v>
      </c>
      <c r="F56" s="22" t="s">
        <v>37</v>
      </c>
      <c r="G56" s="22" t="s">
        <v>60</v>
      </c>
      <c r="H56" s="22" t="s">
        <v>19</v>
      </c>
      <c r="I56" s="22" t="s">
        <v>40</v>
      </c>
      <c r="J56" s="22" t="s">
        <v>41</v>
      </c>
      <c r="K56" s="22" t="s">
        <v>1628</v>
      </c>
      <c r="L56" s="22" t="s">
        <v>57</v>
      </c>
      <c r="M56" s="22" t="s">
        <v>78</v>
      </c>
      <c r="N56" s="22">
        <v>28</v>
      </c>
      <c r="O56" s="26">
        <v>48500</v>
      </c>
      <c r="P56" s="22">
        <v>0.05</v>
      </c>
      <c r="Q56" s="30">
        <v>30200</v>
      </c>
      <c r="R56" s="33">
        <f>Table1_1[[#This Row],[Units Sold]]*Table1_1[[#This Row],[Unit Price]]*1-Table1_1[[#This Row],[Discount]]</f>
        <v>1357999.95</v>
      </c>
      <c r="S56" s="33">
        <f>Table1_1[[#This Row],[Units Sold]]*Table1_1[[#This Row],[Unit Cost]]</f>
        <v>845600</v>
      </c>
      <c r="T56" s="33">
        <f>Table1_1[[#This Row],[Sales Amount]]-S56</f>
        <v>512399.94999999995</v>
      </c>
      <c r="U56" s="32">
        <f>IFERROR(Table1_1[[#This Row],[Profit/loss]]/Table1_1[[#This Row],[Sales Amount]],0)</f>
        <v>0.37731956470248762</v>
      </c>
    </row>
    <row r="57" spans="1:21" ht="18" x14ac:dyDescent="0.35">
      <c r="A57" s="21" t="s">
        <v>157</v>
      </c>
      <c r="B57" s="36">
        <v>45324</v>
      </c>
      <c r="C57" s="22">
        <f>YEAR(Table1_1[[#This Row],[Order Date]])</f>
        <v>2024</v>
      </c>
      <c r="D57" s="22" t="str">
        <f>TEXT(Table1_1[[#This Row],[Order Date]],"MMMM")</f>
        <v>February</v>
      </c>
      <c r="E57" s="22" t="s">
        <v>36</v>
      </c>
      <c r="F57" s="22" t="s">
        <v>121</v>
      </c>
      <c r="G57" s="22" t="s">
        <v>75</v>
      </c>
      <c r="H57" s="22" t="s">
        <v>39</v>
      </c>
      <c r="I57" s="22" t="s">
        <v>20</v>
      </c>
      <c r="J57" s="22" t="s">
        <v>21</v>
      </c>
      <c r="K57" s="22" t="s">
        <v>115</v>
      </c>
      <c r="L57" s="22" t="s">
        <v>33</v>
      </c>
      <c r="M57" s="22" t="s">
        <v>24</v>
      </c>
      <c r="N57" s="22">
        <v>39</v>
      </c>
      <c r="O57" s="26">
        <v>6499</v>
      </c>
      <c r="P57" s="22">
        <v>0.1</v>
      </c>
      <c r="Q57" s="30">
        <v>4210</v>
      </c>
      <c r="R57" s="33">
        <f>Table1_1[[#This Row],[Units Sold]]*Table1_1[[#This Row],[Unit Price]]*1-Table1_1[[#This Row],[Discount]]</f>
        <v>253460.9</v>
      </c>
      <c r="S57" s="33">
        <f>Table1_1[[#This Row],[Units Sold]]*Table1_1[[#This Row],[Unit Cost]]</f>
        <v>164190</v>
      </c>
      <c r="T57" s="33">
        <f>Table1_1[[#This Row],[Sales Amount]]-S57</f>
        <v>89270.9</v>
      </c>
      <c r="U57" s="32">
        <f>IFERROR(Table1_1[[#This Row],[Profit/loss]]/Table1_1[[#This Row],[Sales Amount]],0)</f>
        <v>0.35220777642626533</v>
      </c>
    </row>
    <row r="58" spans="1:21" ht="18" x14ac:dyDescent="0.35">
      <c r="A58" s="21" t="s">
        <v>158</v>
      </c>
      <c r="B58" s="36">
        <v>45326</v>
      </c>
      <c r="C58" s="22">
        <f>YEAR(Table1_1[[#This Row],[Order Date]])</f>
        <v>2024</v>
      </c>
      <c r="D58" s="22" t="str">
        <f>TEXT(Table1_1[[#This Row],[Order Date]],"MMMM")</f>
        <v>February</v>
      </c>
      <c r="E58" s="22" t="s">
        <v>48</v>
      </c>
      <c r="F58" s="22" t="s">
        <v>49</v>
      </c>
      <c r="G58" s="22" t="s">
        <v>69</v>
      </c>
      <c r="H58" s="22" t="s">
        <v>19</v>
      </c>
      <c r="I58" s="22" t="s">
        <v>40</v>
      </c>
      <c r="J58" s="22" t="s">
        <v>64</v>
      </c>
      <c r="K58" s="22" t="s">
        <v>1629</v>
      </c>
      <c r="L58" s="22" t="s">
        <v>57</v>
      </c>
      <c r="M58" s="22" t="s">
        <v>24</v>
      </c>
      <c r="N58" s="22">
        <v>2</v>
      </c>
      <c r="O58" s="26">
        <v>3299</v>
      </c>
      <c r="P58" s="22">
        <v>0.1</v>
      </c>
      <c r="Q58" s="30">
        <v>2050</v>
      </c>
      <c r="R58" s="33">
        <f>Table1_1[[#This Row],[Units Sold]]*Table1_1[[#This Row],[Unit Price]]*1-Table1_1[[#This Row],[Discount]]</f>
        <v>6597.9</v>
      </c>
      <c r="S58" s="33">
        <f>Table1_1[[#This Row],[Units Sold]]*Table1_1[[#This Row],[Unit Cost]]</f>
        <v>4100</v>
      </c>
      <c r="T58" s="33">
        <f>Table1_1[[#This Row],[Sales Amount]]-S58</f>
        <v>2497.8999999999996</v>
      </c>
      <c r="U58" s="32">
        <f>IFERROR(Table1_1[[#This Row],[Profit/loss]]/Table1_1[[#This Row],[Sales Amount]],0)</f>
        <v>0.37859015747434788</v>
      </c>
    </row>
    <row r="59" spans="1:21" ht="18" x14ac:dyDescent="0.35">
      <c r="A59" s="21" t="s">
        <v>160</v>
      </c>
      <c r="B59" s="36">
        <v>45326</v>
      </c>
      <c r="C59" s="22">
        <f>YEAR(Table1_1[[#This Row],[Order Date]])</f>
        <v>2024</v>
      </c>
      <c r="D59" s="22" t="str">
        <f>TEXT(Table1_1[[#This Row],[Order Date]],"MMMM")</f>
        <v>February</v>
      </c>
      <c r="E59" s="22" t="s">
        <v>26</v>
      </c>
      <c r="F59" s="22" t="s">
        <v>53</v>
      </c>
      <c r="G59" s="22" t="s">
        <v>38</v>
      </c>
      <c r="H59" s="22" t="s">
        <v>19</v>
      </c>
      <c r="I59" s="22" t="s">
        <v>30</v>
      </c>
      <c r="J59" s="22" t="s">
        <v>31</v>
      </c>
      <c r="K59" s="22" t="s">
        <v>85</v>
      </c>
      <c r="L59" s="22" t="s">
        <v>57</v>
      </c>
      <c r="M59" s="22" t="s">
        <v>66</v>
      </c>
      <c r="N59" s="22">
        <v>29</v>
      </c>
      <c r="O59" s="26">
        <v>43500</v>
      </c>
      <c r="P59" s="22">
        <v>0.1</v>
      </c>
      <c r="Q59" s="30">
        <v>29520</v>
      </c>
      <c r="R59" s="33">
        <f>Table1_1[[#This Row],[Units Sold]]*Table1_1[[#This Row],[Unit Price]]*1-Table1_1[[#This Row],[Discount]]</f>
        <v>1261499.8999999999</v>
      </c>
      <c r="S59" s="33">
        <f>Table1_1[[#This Row],[Units Sold]]*Table1_1[[#This Row],[Unit Cost]]</f>
        <v>856080</v>
      </c>
      <c r="T59" s="33">
        <f>Table1_1[[#This Row],[Sales Amount]]-S59</f>
        <v>405419.89999999991</v>
      </c>
      <c r="U59" s="32">
        <f>IFERROR(Table1_1[[#This Row],[Profit/loss]]/Table1_1[[#This Row],[Sales Amount]],0)</f>
        <v>0.32137925655007976</v>
      </c>
    </row>
    <row r="60" spans="1:21" ht="18" x14ac:dyDescent="0.35">
      <c r="A60" s="21" t="s">
        <v>161</v>
      </c>
      <c r="B60" s="36">
        <v>45326</v>
      </c>
      <c r="C60" s="22">
        <f>YEAR(Table1_1[[#This Row],[Order Date]])</f>
        <v>2024</v>
      </c>
      <c r="D60" s="22" t="str">
        <f>TEXT(Table1_1[[#This Row],[Order Date]],"MMMM")</f>
        <v>February</v>
      </c>
      <c r="E60" s="22" t="s">
        <v>82</v>
      </c>
      <c r="F60" s="22" t="s">
        <v>100</v>
      </c>
      <c r="G60" s="22" t="s">
        <v>38</v>
      </c>
      <c r="H60" s="22" t="s">
        <v>19</v>
      </c>
      <c r="I60" s="22" t="s">
        <v>54</v>
      </c>
      <c r="J60" s="22" t="s">
        <v>90</v>
      </c>
      <c r="K60" s="22" t="s">
        <v>1621</v>
      </c>
      <c r="L60" s="22" t="s">
        <v>33</v>
      </c>
      <c r="M60" s="22" t="s">
        <v>66</v>
      </c>
      <c r="N60" s="22">
        <v>1</v>
      </c>
      <c r="O60" s="26">
        <v>31990</v>
      </c>
      <c r="P60" s="22">
        <v>0.2</v>
      </c>
      <c r="Q60" s="30">
        <v>21800</v>
      </c>
      <c r="R60" s="33">
        <f>Table1_1[[#This Row],[Units Sold]]*Table1_1[[#This Row],[Unit Price]]*1-Table1_1[[#This Row],[Discount]]</f>
        <v>31989.8</v>
      </c>
      <c r="S60" s="33">
        <f>Table1_1[[#This Row],[Units Sold]]*Table1_1[[#This Row],[Unit Cost]]</f>
        <v>21800</v>
      </c>
      <c r="T60" s="33">
        <f>Table1_1[[#This Row],[Sales Amount]]-S60</f>
        <v>10189.799999999999</v>
      </c>
      <c r="U60" s="32">
        <f>IFERROR(Table1_1[[#This Row],[Profit/loss]]/Table1_1[[#This Row],[Sales Amount]],0)</f>
        <v>0.31853278232436588</v>
      </c>
    </row>
    <row r="61" spans="1:21" ht="18" x14ac:dyDescent="0.35">
      <c r="A61" s="21" t="s">
        <v>162</v>
      </c>
      <c r="B61" s="36">
        <v>45327</v>
      </c>
      <c r="C61" s="22">
        <f>YEAR(Table1_1[[#This Row],[Order Date]])</f>
        <v>2024</v>
      </c>
      <c r="D61" s="22" t="str">
        <f>TEXT(Table1_1[[#This Row],[Order Date]],"MMMM")</f>
        <v>February</v>
      </c>
      <c r="E61" s="22" t="s">
        <v>26</v>
      </c>
      <c r="F61" s="22" t="s">
        <v>163</v>
      </c>
      <c r="G61" s="22" t="s">
        <v>101</v>
      </c>
      <c r="H61" s="22" t="s">
        <v>29</v>
      </c>
      <c r="I61" s="22" t="s">
        <v>54</v>
      </c>
      <c r="J61" s="22" t="s">
        <v>55</v>
      </c>
      <c r="K61" s="22" t="s">
        <v>1623</v>
      </c>
      <c r="L61" s="22" t="s">
        <v>33</v>
      </c>
      <c r="M61" s="22" t="s">
        <v>34</v>
      </c>
      <c r="N61" s="22">
        <v>22</v>
      </c>
      <c r="O61" s="26">
        <v>5890</v>
      </c>
      <c r="P61" s="22">
        <v>0.1</v>
      </c>
      <c r="Q61" s="30">
        <v>3980</v>
      </c>
      <c r="R61" s="33">
        <f>Table1_1[[#This Row],[Units Sold]]*Table1_1[[#This Row],[Unit Price]]*1-Table1_1[[#This Row],[Discount]]</f>
        <v>129579.9</v>
      </c>
      <c r="S61" s="33">
        <f>Table1_1[[#This Row],[Units Sold]]*Table1_1[[#This Row],[Unit Cost]]</f>
        <v>87560</v>
      </c>
      <c r="T61" s="33">
        <f>Table1_1[[#This Row],[Sales Amount]]-S61</f>
        <v>42019.899999999994</v>
      </c>
      <c r="U61" s="32">
        <f>IFERROR(Table1_1[[#This Row],[Profit/loss]]/Table1_1[[#This Row],[Sales Amount]],0)</f>
        <v>0.32427791655958982</v>
      </c>
    </row>
    <row r="62" spans="1:21" ht="18" x14ac:dyDescent="0.35">
      <c r="A62" s="21" t="s">
        <v>164</v>
      </c>
      <c r="B62" s="36">
        <v>45328</v>
      </c>
      <c r="C62" s="22">
        <f>YEAR(Table1_1[[#This Row],[Order Date]])</f>
        <v>2024</v>
      </c>
      <c r="D62" s="22" t="str">
        <f>TEXT(Table1_1[[#This Row],[Order Date]],"MMMM")</f>
        <v>February</v>
      </c>
      <c r="E62" s="22" t="s">
        <v>26</v>
      </c>
      <c r="F62" s="22" t="s">
        <v>74</v>
      </c>
      <c r="G62" s="22" t="s">
        <v>38</v>
      </c>
      <c r="H62" s="22" t="s">
        <v>39</v>
      </c>
      <c r="I62" s="22" t="s">
        <v>70</v>
      </c>
      <c r="J62" s="22" t="s">
        <v>71</v>
      </c>
      <c r="K62" s="22" t="s">
        <v>80</v>
      </c>
      <c r="L62" s="22" t="s">
        <v>57</v>
      </c>
      <c r="M62" s="22" t="s">
        <v>24</v>
      </c>
      <c r="N62" s="22">
        <v>39</v>
      </c>
      <c r="O62" s="26">
        <v>1299</v>
      </c>
      <c r="P62" s="22">
        <v>0.18</v>
      </c>
      <c r="Q62" s="30">
        <v>720</v>
      </c>
      <c r="R62" s="33">
        <f>Table1_1[[#This Row],[Units Sold]]*Table1_1[[#This Row],[Unit Price]]*1-Table1_1[[#This Row],[Discount]]</f>
        <v>50660.82</v>
      </c>
      <c r="S62" s="33">
        <f>Table1_1[[#This Row],[Units Sold]]*Table1_1[[#This Row],[Unit Cost]]</f>
        <v>28080</v>
      </c>
      <c r="T62" s="33">
        <f>Table1_1[[#This Row],[Sales Amount]]-S62</f>
        <v>22580.82</v>
      </c>
      <c r="U62" s="32">
        <f>IFERROR(Table1_1[[#This Row],[Profit/loss]]/Table1_1[[#This Row],[Sales Amount]],0)</f>
        <v>0.44572551332568244</v>
      </c>
    </row>
    <row r="63" spans="1:21" ht="18" x14ac:dyDescent="0.35">
      <c r="A63" s="21" t="s">
        <v>165</v>
      </c>
      <c r="B63" s="36">
        <v>45329</v>
      </c>
      <c r="C63" s="22">
        <f>YEAR(Table1_1[[#This Row],[Order Date]])</f>
        <v>2024</v>
      </c>
      <c r="D63" s="22" t="str">
        <f>TEXT(Table1_1[[#This Row],[Order Date]],"MMMM")</f>
        <v>February</v>
      </c>
      <c r="E63" s="22" t="s">
        <v>26</v>
      </c>
      <c r="F63" s="22" t="s">
        <v>53</v>
      </c>
      <c r="G63" s="22" t="s">
        <v>101</v>
      </c>
      <c r="H63" s="22" t="s">
        <v>19</v>
      </c>
      <c r="I63" s="22" t="s">
        <v>30</v>
      </c>
      <c r="J63" s="22" t="s">
        <v>61</v>
      </c>
      <c r="K63" s="22" t="s">
        <v>96</v>
      </c>
      <c r="L63" s="22" t="s">
        <v>57</v>
      </c>
      <c r="M63" s="22" t="s">
        <v>78</v>
      </c>
      <c r="N63" s="22">
        <v>37</v>
      </c>
      <c r="O63" s="26">
        <v>25110</v>
      </c>
      <c r="P63" s="22">
        <v>0.05</v>
      </c>
      <c r="Q63" s="30">
        <v>16730</v>
      </c>
      <c r="R63" s="33">
        <f>Table1_1[[#This Row],[Units Sold]]*Table1_1[[#This Row],[Unit Price]]*1-Table1_1[[#This Row],[Discount]]</f>
        <v>929069.95</v>
      </c>
      <c r="S63" s="33">
        <f>Table1_1[[#This Row],[Units Sold]]*Table1_1[[#This Row],[Unit Cost]]</f>
        <v>619010</v>
      </c>
      <c r="T63" s="33">
        <f>Table1_1[[#This Row],[Sales Amount]]-S63</f>
        <v>310059.94999999995</v>
      </c>
      <c r="U63" s="32">
        <f>IFERROR(Table1_1[[#This Row],[Profit/loss]]/Table1_1[[#This Row],[Sales Amount]],0)</f>
        <v>0.33373154518666753</v>
      </c>
    </row>
    <row r="64" spans="1:21" ht="18" x14ac:dyDescent="0.35">
      <c r="A64" s="21" t="s">
        <v>166</v>
      </c>
      <c r="B64" s="36">
        <v>45329</v>
      </c>
      <c r="C64" s="22">
        <f>YEAR(Table1_1[[#This Row],[Order Date]])</f>
        <v>2024</v>
      </c>
      <c r="D64" s="22" t="str">
        <f>TEXT(Table1_1[[#This Row],[Order Date]],"MMMM")</f>
        <v>February</v>
      </c>
      <c r="E64" s="22" t="s">
        <v>16</v>
      </c>
      <c r="F64" s="22" t="s">
        <v>111</v>
      </c>
      <c r="G64" s="22" t="s">
        <v>28</v>
      </c>
      <c r="H64" s="22" t="s">
        <v>29</v>
      </c>
      <c r="I64" s="22" t="s">
        <v>70</v>
      </c>
      <c r="J64" s="22" t="s">
        <v>71</v>
      </c>
      <c r="K64" s="22" t="s">
        <v>88</v>
      </c>
      <c r="L64" s="22" t="s">
        <v>57</v>
      </c>
      <c r="M64" s="22" t="s">
        <v>24</v>
      </c>
      <c r="N64" s="22">
        <v>8</v>
      </c>
      <c r="O64" s="26">
        <v>999</v>
      </c>
      <c r="P64" s="22">
        <v>0.08</v>
      </c>
      <c r="Q64" s="30">
        <v>540</v>
      </c>
      <c r="R64" s="33">
        <f>Table1_1[[#This Row],[Units Sold]]*Table1_1[[#This Row],[Unit Price]]*1-Table1_1[[#This Row],[Discount]]</f>
        <v>7991.92</v>
      </c>
      <c r="S64" s="33">
        <f>Table1_1[[#This Row],[Units Sold]]*Table1_1[[#This Row],[Unit Cost]]</f>
        <v>4320</v>
      </c>
      <c r="T64" s="33">
        <f>Table1_1[[#This Row],[Sales Amount]]-S64</f>
        <v>3671.92</v>
      </c>
      <c r="U64" s="32">
        <f>IFERROR(Table1_1[[#This Row],[Profit/loss]]/Table1_1[[#This Row],[Sales Amount]],0)</f>
        <v>0.45945404858907496</v>
      </c>
    </row>
    <row r="65" spans="1:21" ht="18" x14ac:dyDescent="0.35">
      <c r="A65" s="21" t="s">
        <v>167</v>
      </c>
      <c r="B65" s="36">
        <v>45329</v>
      </c>
      <c r="C65" s="22">
        <f>YEAR(Table1_1[[#This Row],[Order Date]])</f>
        <v>2024</v>
      </c>
      <c r="D65" s="22" t="str">
        <f>TEXT(Table1_1[[#This Row],[Order Date]],"MMMM")</f>
        <v>February</v>
      </c>
      <c r="E65" s="22" t="s">
        <v>36</v>
      </c>
      <c r="F65" s="22" t="s">
        <v>121</v>
      </c>
      <c r="G65" s="22" t="s">
        <v>60</v>
      </c>
      <c r="H65" s="22" t="s">
        <v>19</v>
      </c>
      <c r="I65" s="22" t="s">
        <v>40</v>
      </c>
      <c r="J65" s="22" t="s">
        <v>41</v>
      </c>
      <c r="K65" s="22" t="s">
        <v>42</v>
      </c>
      <c r="L65" s="22" t="s">
        <v>33</v>
      </c>
      <c r="M65" s="22" t="s">
        <v>24</v>
      </c>
      <c r="N65" s="22">
        <v>17</v>
      </c>
      <c r="O65" s="26">
        <v>55230</v>
      </c>
      <c r="P65" s="22">
        <v>0.05</v>
      </c>
      <c r="Q65" s="30">
        <v>33800</v>
      </c>
      <c r="R65" s="33">
        <f>Table1_1[[#This Row],[Units Sold]]*Table1_1[[#This Row],[Unit Price]]*1-Table1_1[[#This Row],[Discount]]</f>
        <v>938909.95</v>
      </c>
      <c r="S65" s="33">
        <f>Table1_1[[#This Row],[Units Sold]]*Table1_1[[#This Row],[Unit Cost]]</f>
        <v>574600</v>
      </c>
      <c r="T65" s="33">
        <f>Table1_1[[#This Row],[Sales Amount]]-S65</f>
        <v>364309.94999999995</v>
      </c>
      <c r="U65" s="32">
        <f>IFERROR(Table1_1[[#This Row],[Profit/loss]]/Table1_1[[#This Row],[Sales Amount]],0)</f>
        <v>0.38801372804708267</v>
      </c>
    </row>
    <row r="66" spans="1:21" ht="18" x14ac:dyDescent="0.35">
      <c r="A66" s="21" t="s">
        <v>168</v>
      </c>
      <c r="B66" s="36">
        <v>45330</v>
      </c>
      <c r="C66" s="22">
        <f>YEAR(Table1_1[[#This Row],[Order Date]])</f>
        <v>2024</v>
      </c>
      <c r="D66" s="22" t="str">
        <f>TEXT(Table1_1[[#This Row],[Order Date]],"MMMM")</f>
        <v>February</v>
      </c>
      <c r="E66" s="22" t="s">
        <v>48</v>
      </c>
      <c r="F66" s="22" t="s">
        <v>136</v>
      </c>
      <c r="G66" s="22" t="s">
        <v>50</v>
      </c>
      <c r="H66" s="22" t="s">
        <v>29</v>
      </c>
      <c r="I66" s="22" t="s">
        <v>30</v>
      </c>
      <c r="J66" s="22" t="s">
        <v>61</v>
      </c>
      <c r="K66" s="22" t="s">
        <v>62</v>
      </c>
      <c r="L66" s="22" t="s">
        <v>33</v>
      </c>
      <c r="M66" s="22" t="s">
        <v>24</v>
      </c>
      <c r="N66" s="22">
        <v>5</v>
      </c>
      <c r="O66" s="26">
        <v>12490</v>
      </c>
      <c r="P66" s="22">
        <v>0.18</v>
      </c>
      <c r="Q66" s="30">
        <v>7900</v>
      </c>
      <c r="R66" s="33">
        <f>Table1_1[[#This Row],[Units Sold]]*Table1_1[[#This Row],[Unit Price]]*1-Table1_1[[#This Row],[Discount]]</f>
        <v>62449.82</v>
      </c>
      <c r="S66" s="33">
        <f>Table1_1[[#This Row],[Units Sold]]*Table1_1[[#This Row],[Unit Cost]]</f>
        <v>39500</v>
      </c>
      <c r="T66" s="33">
        <f>Table1_1[[#This Row],[Sales Amount]]-S66</f>
        <v>22949.82</v>
      </c>
      <c r="U66" s="32">
        <f>IFERROR(Table1_1[[#This Row],[Profit/loss]]/Table1_1[[#This Row],[Sales Amount]],0)</f>
        <v>0.36749217211514779</v>
      </c>
    </row>
    <row r="67" spans="1:21" ht="18" x14ac:dyDescent="0.35">
      <c r="A67" s="21" t="s">
        <v>169</v>
      </c>
      <c r="B67" s="36">
        <v>45332</v>
      </c>
      <c r="C67" s="22">
        <f>YEAR(Table1_1[[#This Row],[Order Date]])</f>
        <v>2024</v>
      </c>
      <c r="D67" s="22" t="str">
        <f>TEXT(Table1_1[[#This Row],[Order Date]],"MMMM")</f>
        <v>February</v>
      </c>
      <c r="E67" s="22" t="s">
        <v>48</v>
      </c>
      <c r="F67" s="22" t="s">
        <v>68</v>
      </c>
      <c r="G67" s="22" t="s">
        <v>28</v>
      </c>
      <c r="H67" s="22" t="s">
        <v>29</v>
      </c>
      <c r="I67" s="22" t="s">
        <v>40</v>
      </c>
      <c r="J67" s="22" t="s">
        <v>76</v>
      </c>
      <c r="K67" s="22" t="s">
        <v>113</v>
      </c>
      <c r="L67" s="22" t="s">
        <v>33</v>
      </c>
      <c r="M67" s="22" t="s">
        <v>24</v>
      </c>
      <c r="N67" s="22">
        <v>16</v>
      </c>
      <c r="O67" s="26">
        <v>22999</v>
      </c>
      <c r="P67" s="22">
        <v>0.15</v>
      </c>
      <c r="Q67" s="30">
        <v>15100</v>
      </c>
      <c r="R67" s="33">
        <f>Table1_1[[#This Row],[Units Sold]]*Table1_1[[#This Row],[Unit Price]]*1-Table1_1[[#This Row],[Discount]]</f>
        <v>367983.85</v>
      </c>
      <c r="S67" s="33">
        <f>Table1_1[[#This Row],[Units Sold]]*Table1_1[[#This Row],[Unit Cost]]</f>
        <v>241600</v>
      </c>
      <c r="T67" s="33">
        <f>Table1_1[[#This Row],[Sales Amount]]-S67</f>
        <v>126383.84999999998</v>
      </c>
      <c r="U67" s="32">
        <f>IFERROR(Table1_1[[#This Row],[Profit/loss]]/Table1_1[[#This Row],[Sales Amount]],0)</f>
        <v>0.34344944757765861</v>
      </c>
    </row>
    <row r="68" spans="1:21" ht="18" x14ac:dyDescent="0.35">
      <c r="A68" s="21" t="s">
        <v>170</v>
      </c>
      <c r="B68" s="36">
        <v>45332</v>
      </c>
      <c r="C68" s="22">
        <f>YEAR(Table1_1[[#This Row],[Order Date]])</f>
        <v>2024</v>
      </c>
      <c r="D68" s="22" t="str">
        <f>TEXT(Table1_1[[#This Row],[Order Date]],"MMMM")</f>
        <v>February</v>
      </c>
      <c r="E68" s="22" t="s">
        <v>36</v>
      </c>
      <c r="F68" s="22" t="s">
        <v>121</v>
      </c>
      <c r="G68" s="22" t="s">
        <v>101</v>
      </c>
      <c r="H68" s="22" t="s">
        <v>29</v>
      </c>
      <c r="I68" s="22" t="s">
        <v>54</v>
      </c>
      <c r="J68" s="22" t="s">
        <v>90</v>
      </c>
      <c r="K68" s="22" t="s">
        <v>1621</v>
      </c>
      <c r="L68" s="22" t="s">
        <v>33</v>
      </c>
      <c r="M68" s="22" t="s">
        <v>24</v>
      </c>
      <c r="N68" s="22">
        <v>34</v>
      </c>
      <c r="O68" s="26">
        <v>31990</v>
      </c>
      <c r="P68" s="22">
        <v>0.1</v>
      </c>
      <c r="Q68" s="30">
        <v>21800</v>
      </c>
      <c r="R68" s="33">
        <f>Table1_1[[#This Row],[Units Sold]]*Table1_1[[#This Row],[Unit Price]]*1-Table1_1[[#This Row],[Discount]]</f>
        <v>1087659.8999999999</v>
      </c>
      <c r="S68" s="33">
        <f>Table1_1[[#This Row],[Units Sold]]*Table1_1[[#This Row],[Unit Cost]]</f>
        <v>741200</v>
      </c>
      <c r="T68" s="33">
        <f>Table1_1[[#This Row],[Sales Amount]]-S68</f>
        <v>346459.89999999991</v>
      </c>
      <c r="U68" s="32">
        <f>IFERROR(Table1_1[[#This Row],[Profit/loss]]/Table1_1[[#This Row],[Sales Amount]],0)</f>
        <v>0.3185369801718349</v>
      </c>
    </row>
    <row r="69" spans="1:21" ht="18" x14ac:dyDescent="0.35">
      <c r="A69" s="21" t="s">
        <v>171</v>
      </c>
      <c r="B69" s="36">
        <v>45332</v>
      </c>
      <c r="C69" s="22">
        <f>YEAR(Table1_1[[#This Row],[Order Date]])</f>
        <v>2024</v>
      </c>
      <c r="D69" s="22" t="str">
        <f>TEXT(Table1_1[[#This Row],[Order Date]],"MMMM")</f>
        <v>February</v>
      </c>
      <c r="E69" s="22" t="s">
        <v>36</v>
      </c>
      <c r="F69" s="22" t="s">
        <v>121</v>
      </c>
      <c r="G69" s="22" t="s">
        <v>84</v>
      </c>
      <c r="H69" s="22" t="s">
        <v>19</v>
      </c>
      <c r="I69" s="22" t="s">
        <v>54</v>
      </c>
      <c r="J69" s="22" t="s">
        <v>55</v>
      </c>
      <c r="K69" s="22" t="s">
        <v>148</v>
      </c>
      <c r="L69" s="22" t="s">
        <v>33</v>
      </c>
      <c r="M69" s="22" t="s">
        <v>24</v>
      </c>
      <c r="N69" s="22">
        <v>3</v>
      </c>
      <c r="O69" s="26">
        <v>4680</v>
      </c>
      <c r="P69" s="22">
        <v>0.12</v>
      </c>
      <c r="Q69" s="30">
        <v>3250</v>
      </c>
      <c r="R69" s="33">
        <f>Table1_1[[#This Row],[Units Sold]]*Table1_1[[#This Row],[Unit Price]]*1-Table1_1[[#This Row],[Discount]]</f>
        <v>14039.88</v>
      </c>
      <c r="S69" s="33">
        <f>Table1_1[[#This Row],[Units Sold]]*Table1_1[[#This Row],[Unit Cost]]</f>
        <v>9750</v>
      </c>
      <c r="T69" s="33">
        <f>Table1_1[[#This Row],[Sales Amount]]-S69</f>
        <v>4289.8799999999992</v>
      </c>
      <c r="U69" s="32">
        <f>IFERROR(Table1_1[[#This Row],[Profit/loss]]/Table1_1[[#This Row],[Sales Amount]],0)</f>
        <v>0.30554962008222286</v>
      </c>
    </row>
    <row r="70" spans="1:21" ht="18" x14ac:dyDescent="0.35">
      <c r="A70" s="21" t="s">
        <v>172</v>
      </c>
      <c r="B70" s="36">
        <v>45332</v>
      </c>
      <c r="C70" s="22">
        <f>YEAR(Table1_1[[#This Row],[Order Date]])</f>
        <v>2024</v>
      </c>
      <c r="D70" s="22" t="str">
        <f>TEXT(Table1_1[[#This Row],[Order Date]],"MMMM")</f>
        <v>February</v>
      </c>
      <c r="E70" s="22" t="s">
        <v>36</v>
      </c>
      <c r="F70" s="22" t="s">
        <v>59</v>
      </c>
      <c r="G70" s="22" t="s">
        <v>50</v>
      </c>
      <c r="H70" s="22" t="s">
        <v>39</v>
      </c>
      <c r="I70" s="22" t="s">
        <v>70</v>
      </c>
      <c r="J70" s="22" t="s">
        <v>71</v>
      </c>
      <c r="K70" s="22" t="s">
        <v>88</v>
      </c>
      <c r="L70" s="22" t="s">
        <v>33</v>
      </c>
      <c r="M70" s="22" t="s">
        <v>24</v>
      </c>
      <c r="N70" s="22">
        <v>2</v>
      </c>
      <c r="O70" s="26">
        <v>999</v>
      </c>
      <c r="P70" s="22">
        <v>0.1</v>
      </c>
      <c r="Q70" s="30">
        <v>540</v>
      </c>
      <c r="R70" s="33">
        <f>Table1_1[[#This Row],[Units Sold]]*Table1_1[[#This Row],[Unit Price]]*1-Table1_1[[#This Row],[Discount]]</f>
        <v>1997.9</v>
      </c>
      <c r="S70" s="33">
        <f>Table1_1[[#This Row],[Units Sold]]*Table1_1[[#This Row],[Unit Cost]]</f>
        <v>1080</v>
      </c>
      <c r="T70" s="33">
        <f>Table1_1[[#This Row],[Sales Amount]]-S70</f>
        <v>917.90000000000009</v>
      </c>
      <c r="U70" s="32">
        <f>IFERROR(Table1_1[[#This Row],[Profit/loss]]/Table1_1[[#This Row],[Sales Amount]],0)</f>
        <v>0.45943240402422547</v>
      </c>
    </row>
    <row r="71" spans="1:21" ht="18" x14ac:dyDescent="0.35">
      <c r="A71" s="21" t="s">
        <v>173</v>
      </c>
      <c r="B71" s="36">
        <v>45334</v>
      </c>
      <c r="C71" s="22">
        <f>YEAR(Table1_1[[#This Row],[Order Date]])</f>
        <v>2024</v>
      </c>
      <c r="D71" s="22" t="str">
        <f>TEXT(Table1_1[[#This Row],[Order Date]],"MMMM")</f>
        <v>February</v>
      </c>
      <c r="E71" s="22" t="s">
        <v>16</v>
      </c>
      <c r="F71" s="22" t="s">
        <v>98</v>
      </c>
      <c r="G71" s="22" t="s">
        <v>50</v>
      </c>
      <c r="H71" s="22" t="s">
        <v>39</v>
      </c>
      <c r="I71" s="22" t="s">
        <v>54</v>
      </c>
      <c r="J71" s="22" t="s">
        <v>129</v>
      </c>
      <c r="K71" s="22" t="s">
        <v>130</v>
      </c>
      <c r="L71" s="22" t="s">
        <v>33</v>
      </c>
      <c r="M71" s="22" t="s">
        <v>24</v>
      </c>
      <c r="N71" s="22">
        <v>13</v>
      </c>
      <c r="O71" s="26">
        <v>27890</v>
      </c>
      <c r="P71" s="22">
        <v>0.05</v>
      </c>
      <c r="Q71" s="30">
        <v>18800</v>
      </c>
      <c r="R71" s="33">
        <f>Table1_1[[#This Row],[Units Sold]]*Table1_1[[#This Row],[Unit Price]]*1-Table1_1[[#This Row],[Discount]]</f>
        <v>362569.95</v>
      </c>
      <c r="S71" s="33">
        <f>Table1_1[[#This Row],[Units Sold]]*Table1_1[[#This Row],[Unit Cost]]</f>
        <v>244400</v>
      </c>
      <c r="T71" s="33">
        <f>Table1_1[[#This Row],[Sales Amount]]-S71</f>
        <v>118169.95000000001</v>
      </c>
      <c r="U71" s="32">
        <f>IFERROR(Table1_1[[#This Row],[Profit/loss]]/Table1_1[[#This Row],[Sales Amount]],0)</f>
        <v>0.32592317703108048</v>
      </c>
    </row>
    <row r="72" spans="1:21" ht="18" x14ac:dyDescent="0.35">
      <c r="A72" s="21" t="s">
        <v>174</v>
      </c>
      <c r="B72" s="36">
        <v>45335</v>
      </c>
      <c r="C72" s="22">
        <f>YEAR(Table1_1[[#This Row],[Order Date]])</f>
        <v>2024</v>
      </c>
      <c r="D72" s="22" t="str">
        <f>TEXT(Table1_1[[#This Row],[Order Date]],"MMMM")</f>
        <v>February</v>
      </c>
      <c r="E72" s="22" t="s">
        <v>82</v>
      </c>
      <c r="F72" s="22" t="s">
        <v>83</v>
      </c>
      <c r="G72" s="22" t="s">
        <v>50</v>
      </c>
      <c r="H72" s="22" t="s">
        <v>19</v>
      </c>
      <c r="I72" s="22" t="s">
        <v>70</v>
      </c>
      <c r="J72" s="22" t="s">
        <v>71</v>
      </c>
      <c r="K72" s="22" t="s">
        <v>80</v>
      </c>
      <c r="L72" s="22" t="s">
        <v>57</v>
      </c>
      <c r="M72" s="22" t="s">
        <v>24</v>
      </c>
      <c r="N72" s="22">
        <v>22</v>
      </c>
      <c r="O72" s="26">
        <v>1299</v>
      </c>
      <c r="P72" s="22">
        <v>0.18</v>
      </c>
      <c r="Q72" s="30">
        <v>720</v>
      </c>
      <c r="R72" s="33">
        <f>Table1_1[[#This Row],[Units Sold]]*Table1_1[[#This Row],[Unit Price]]*1-Table1_1[[#This Row],[Discount]]</f>
        <v>28577.82</v>
      </c>
      <c r="S72" s="33">
        <f>Table1_1[[#This Row],[Units Sold]]*Table1_1[[#This Row],[Unit Cost]]</f>
        <v>15840</v>
      </c>
      <c r="T72" s="33">
        <f>Table1_1[[#This Row],[Sales Amount]]-S72</f>
        <v>12737.82</v>
      </c>
      <c r="U72" s="32">
        <f>IFERROR(Table1_1[[#This Row],[Profit/loss]]/Table1_1[[#This Row],[Sales Amount]],0)</f>
        <v>0.44572399154309178</v>
      </c>
    </row>
    <row r="73" spans="1:21" ht="18" x14ac:dyDescent="0.35">
      <c r="A73" s="21" t="s">
        <v>175</v>
      </c>
      <c r="B73" s="36">
        <v>45336</v>
      </c>
      <c r="C73" s="22">
        <f>YEAR(Table1_1[[#This Row],[Order Date]])</f>
        <v>2024</v>
      </c>
      <c r="D73" s="22" t="str">
        <f>TEXT(Table1_1[[#This Row],[Order Date]],"MMMM")</f>
        <v>February</v>
      </c>
      <c r="E73" s="22" t="s">
        <v>16</v>
      </c>
      <c r="F73" s="22" t="s">
        <v>111</v>
      </c>
      <c r="G73" s="22" t="s">
        <v>84</v>
      </c>
      <c r="H73" s="22" t="s">
        <v>29</v>
      </c>
      <c r="I73" s="22" t="s">
        <v>40</v>
      </c>
      <c r="J73" s="22" t="s">
        <v>76</v>
      </c>
      <c r="K73" s="22" t="s">
        <v>113</v>
      </c>
      <c r="L73" s="22" t="s">
        <v>57</v>
      </c>
      <c r="M73" s="22" t="s">
        <v>24</v>
      </c>
      <c r="N73" s="22">
        <v>7</v>
      </c>
      <c r="O73" s="26">
        <v>22999</v>
      </c>
      <c r="P73" s="22">
        <v>0.08</v>
      </c>
      <c r="Q73" s="30">
        <v>15100</v>
      </c>
      <c r="R73" s="33">
        <f>Table1_1[[#This Row],[Units Sold]]*Table1_1[[#This Row],[Unit Price]]*1-Table1_1[[#This Row],[Discount]]</f>
        <v>160992.92000000001</v>
      </c>
      <c r="S73" s="33">
        <f>Table1_1[[#This Row],[Units Sold]]*Table1_1[[#This Row],[Unit Cost]]</f>
        <v>105700</v>
      </c>
      <c r="T73" s="33">
        <f>Table1_1[[#This Row],[Sales Amount]]-S73</f>
        <v>55292.920000000013</v>
      </c>
      <c r="U73" s="32">
        <f>IFERROR(Table1_1[[#This Row],[Profit/loss]]/Table1_1[[#This Row],[Sales Amount]],0)</f>
        <v>0.34344938895449567</v>
      </c>
    </row>
    <row r="74" spans="1:21" ht="18" x14ac:dyDescent="0.35">
      <c r="A74" s="21" t="s">
        <v>176</v>
      </c>
      <c r="B74" s="36">
        <v>45336</v>
      </c>
      <c r="C74" s="22">
        <f>YEAR(Table1_1[[#This Row],[Order Date]])</f>
        <v>2024</v>
      </c>
      <c r="D74" s="22" t="str">
        <f>TEXT(Table1_1[[#This Row],[Order Date]],"MMMM")</f>
        <v>February</v>
      </c>
      <c r="E74" s="22" t="s">
        <v>26</v>
      </c>
      <c r="F74" s="22" t="s">
        <v>53</v>
      </c>
      <c r="G74" s="22" t="s">
        <v>69</v>
      </c>
      <c r="H74" s="22" t="s">
        <v>29</v>
      </c>
      <c r="I74" s="22" t="s">
        <v>54</v>
      </c>
      <c r="J74" s="22" t="s">
        <v>90</v>
      </c>
      <c r="K74" s="22" t="s">
        <v>1625</v>
      </c>
      <c r="L74" s="22" t="s">
        <v>57</v>
      </c>
      <c r="M74" s="22" t="s">
        <v>24</v>
      </c>
      <c r="N74" s="22">
        <v>23</v>
      </c>
      <c r="O74" s="26">
        <v>32800</v>
      </c>
      <c r="P74" s="22">
        <v>0.2</v>
      </c>
      <c r="Q74" s="30">
        <v>23100</v>
      </c>
      <c r="R74" s="33">
        <f>Table1_1[[#This Row],[Units Sold]]*Table1_1[[#This Row],[Unit Price]]*1-Table1_1[[#This Row],[Discount]]</f>
        <v>754399.8</v>
      </c>
      <c r="S74" s="33">
        <f>Table1_1[[#This Row],[Units Sold]]*Table1_1[[#This Row],[Unit Cost]]</f>
        <v>531300</v>
      </c>
      <c r="T74" s="33">
        <f>Table1_1[[#This Row],[Sales Amount]]-S74</f>
        <v>223099.80000000005</v>
      </c>
      <c r="U74" s="32">
        <f>IFERROR(Table1_1[[#This Row],[Profit/loss]]/Table1_1[[#This Row],[Sales Amount]],0)</f>
        <v>0.29573152060750818</v>
      </c>
    </row>
    <row r="75" spans="1:21" ht="18" x14ac:dyDescent="0.35">
      <c r="A75" s="21" t="s">
        <v>177</v>
      </c>
      <c r="B75" s="36">
        <v>45336</v>
      </c>
      <c r="C75" s="22">
        <f>YEAR(Table1_1[[#This Row],[Order Date]])</f>
        <v>2024</v>
      </c>
      <c r="D75" s="22" t="str">
        <f>TEXT(Table1_1[[#This Row],[Order Date]],"MMMM")</f>
        <v>February</v>
      </c>
      <c r="E75" s="22" t="s">
        <v>36</v>
      </c>
      <c r="F75" s="22" t="s">
        <v>37</v>
      </c>
      <c r="G75" s="22" t="s">
        <v>50</v>
      </c>
      <c r="H75" s="22" t="s">
        <v>29</v>
      </c>
      <c r="I75" s="22" t="s">
        <v>40</v>
      </c>
      <c r="J75" s="22" t="s">
        <v>76</v>
      </c>
      <c r="K75" s="22" t="s">
        <v>1620</v>
      </c>
      <c r="L75" s="22" t="s">
        <v>33</v>
      </c>
      <c r="M75" s="22" t="s">
        <v>24</v>
      </c>
      <c r="N75" s="22">
        <v>20</v>
      </c>
      <c r="O75" s="26">
        <v>52990</v>
      </c>
      <c r="P75" s="22">
        <v>0.15</v>
      </c>
      <c r="Q75" s="30">
        <v>39500</v>
      </c>
      <c r="R75" s="33">
        <f>Table1_1[[#This Row],[Units Sold]]*Table1_1[[#This Row],[Unit Price]]*1-Table1_1[[#This Row],[Discount]]</f>
        <v>1059799.8500000001</v>
      </c>
      <c r="S75" s="33">
        <f>Table1_1[[#This Row],[Units Sold]]*Table1_1[[#This Row],[Unit Cost]]</f>
        <v>790000</v>
      </c>
      <c r="T75" s="33">
        <f>Table1_1[[#This Row],[Sales Amount]]-S75</f>
        <v>269799.85000000009</v>
      </c>
      <c r="U75" s="32">
        <f>IFERROR(Table1_1[[#This Row],[Profit/loss]]/Table1_1[[#This Row],[Sales Amount]],0)</f>
        <v>0.25457622965317467</v>
      </c>
    </row>
    <row r="76" spans="1:21" ht="18" x14ac:dyDescent="0.35">
      <c r="A76" s="21" t="s">
        <v>178</v>
      </c>
      <c r="B76" s="36">
        <v>45337</v>
      </c>
      <c r="C76" s="22">
        <f>YEAR(Table1_1[[#This Row],[Order Date]])</f>
        <v>2024</v>
      </c>
      <c r="D76" s="22" t="str">
        <f>TEXT(Table1_1[[#This Row],[Order Date]],"MMMM")</f>
        <v>February</v>
      </c>
      <c r="E76" s="22" t="s">
        <v>48</v>
      </c>
      <c r="F76" s="22" t="s">
        <v>93</v>
      </c>
      <c r="G76" s="22" t="s">
        <v>84</v>
      </c>
      <c r="H76" s="22" t="s">
        <v>29</v>
      </c>
      <c r="I76" s="22" t="s">
        <v>70</v>
      </c>
      <c r="J76" s="22" t="s">
        <v>71</v>
      </c>
      <c r="K76" s="22" t="s">
        <v>72</v>
      </c>
      <c r="L76" s="22" t="s">
        <v>23</v>
      </c>
      <c r="M76" s="22" t="s">
        <v>24</v>
      </c>
      <c r="N76" s="22">
        <v>34</v>
      </c>
      <c r="O76" s="26">
        <v>3499</v>
      </c>
      <c r="P76" s="22">
        <v>0.15</v>
      </c>
      <c r="Q76" s="30">
        <v>2190</v>
      </c>
      <c r="R76" s="33">
        <f>Table1_1[[#This Row],[Units Sold]]*Table1_1[[#This Row],[Unit Price]]*1-Table1_1[[#This Row],[Discount]]</f>
        <v>118965.85</v>
      </c>
      <c r="S76" s="33">
        <f>Table1_1[[#This Row],[Units Sold]]*Table1_1[[#This Row],[Unit Cost]]</f>
        <v>74460</v>
      </c>
      <c r="T76" s="33">
        <f>Table1_1[[#This Row],[Sales Amount]]-S76</f>
        <v>44505.850000000006</v>
      </c>
      <c r="U76" s="32">
        <f>IFERROR(Table1_1[[#This Row],[Profit/loss]]/Table1_1[[#This Row],[Sales Amount]],0)</f>
        <v>0.3741060985148259</v>
      </c>
    </row>
    <row r="77" spans="1:21" ht="18" x14ac:dyDescent="0.35">
      <c r="A77" s="21" t="s">
        <v>179</v>
      </c>
      <c r="B77" s="36">
        <v>45338</v>
      </c>
      <c r="C77" s="22">
        <f>YEAR(Table1_1[[#This Row],[Order Date]])</f>
        <v>2024</v>
      </c>
      <c r="D77" s="22" t="str">
        <f>TEXT(Table1_1[[#This Row],[Order Date]],"MMMM")</f>
        <v>February</v>
      </c>
      <c r="E77" s="22" t="s">
        <v>48</v>
      </c>
      <c r="F77" s="22" t="s">
        <v>93</v>
      </c>
      <c r="G77" s="22" t="s">
        <v>84</v>
      </c>
      <c r="H77" s="22" t="s">
        <v>29</v>
      </c>
      <c r="I77" s="22" t="s">
        <v>54</v>
      </c>
      <c r="J77" s="22" t="s">
        <v>129</v>
      </c>
      <c r="K77" s="22" t="s">
        <v>130</v>
      </c>
      <c r="L77" s="22" t="s">
        <v>23</v>
      </c>
      <c r="M77" s="22" t="s">
        <v>34</v>
      </c>
      <c r="N77" s="22">
        <v>36</v>
      </c>
      <c r="O77" s="26">
        <v>27890</v>
      </c>
      <c r="P77" s="22">
        <v>0.1</v>
      </c>
      <c r="Q77" s="30">
        <v>18800</v>
      </c>
      <c r="R77" s="33">
        <f>Table1_1[[#This Row],[Units Sold]]*Table1_1[[#This Row],[Unit Price]]*1-Table1_1[[#This Row],[Discount]]</f>
        <v>1004039.9</v>
      </c>
      <c r="S77" s="33">
        <f>Table1_1[[#This Row],[Units Sold]]*Table1_1[[#This Row],[Unit Cost]]</f>
        <v>676800</v>
      </c>
      <c r="T77" s="33">
        <f>Table1_1[[#This Row],[Sales Amount]]-S77</f>
        <v>327239.90000000002</v>
      </c>
      <c r="U77" s="32">
        <f>IFERROR(Table1_1[[#This Row],[Profit/loss]]/Table1_1[[#This Row],[Sales Amount]],0)</f>
        <v>0.32592320285279502</v>
      </c>
    </row>
    <row r="78" spans="1:21" ht="18" x14ac:dyDescent="0.35">
      <c r="A78" s="21" t="s">
        <v>180</v>
      </c>
      <c r="B78" s="36">
        <v>45338</v>
      </c>
      <c r="C78" s="22">
        <f>YEAR(Table1_1[[#This Row],[Order Date]])</f>
        <v>2024</v>
      </c>
      <c r="D78" s="22" t="str">
        <f>TEXT(Table1_1[[#This Row],[Order Date]],"MMMM")</f>
        <v>February</v>
      </c>
      <c r="E78" s="22" t="s">
        <v>36</v>
      </c>
      <c r="F78" s="22" t="s">
        <v>121</v>
      </c>
      <c r="G78" s="22" t="s">
        <v>60</v>
      </c>
      <c r="H78" s="22" t="s">
        <v>19</v>
      </c>
      <c r="I78" s="22" t="s">
        <v>70</v>
      </c>
      <c r="J78" s="22" t="s">
        <v>71</v>
      </c>
      <c r="K78" s="22" t="s">
        <v>80</v>
      </c>
      <c r="L78" s="22" t="s">
        <v>23</v>
      </c>
      <c r="M78" s="22" t="s">
        <v>24</v>
      </c>
      <c r="N78" s="22">
        <v>38</v>
      </c>
      <c r="O78" s="26">
        <v>1299</v>
      </c>
      <c r="P78" s="22">
        <v>0.12</v>
      </c>
      <c r="Q78" s="30">
        <v>720</v>
      </c>
      <c r="R78" s="33">
        <f>Table1_1[[#This Row],[Units Sold]]*Table1_1[[#This Row],[Unit Price]]*1-Table1_1[[#This Row],[Discount]]</f>
        <v>49361.88</v>
      </c>
      <c r="S78" s="33">
        <f>Table1_1[[#This Row],[Units Sold]]*Table1_1[[#This Row],[Unit Cost]]</f>
        <v>27360</v>
      </c>
      <c r="T78" s="33">
        <f>Table1_1[[#This Row],[Sales Amount]]-S78</f>
        <v>22001.879999999997</v>
      </c>
      <c r="U78" s="32">
        <f>IFERROR(Table1_1[[#This Row],[Profit/loss]]/Table1_1[[#This Row],[Sales Amount]],0)</f>
        <v>0.44572613522823684</v>
      </c>
    </row>
    <row r="79" spans="1:21" ht="18" x14ac:dyDescent="0.35">
      <c r="A79" s="21" t="s">
        <v>181</v>
      </c>
      <c r="B79" s="36">
        <v>45338</v>
      </c>
      <c r="C79" s="22">
        <f>YEAR(Table1_1[[#This Row],[Order Date]])</f>
        <v>2024</v>
      </c>
      <c r="D79" s="22" t="str">
        <f>TEXT(Table1_1[[#This Row],[Order Date]],"MMMM")</f>
        <v>February</v>
      </c>
      <c r="E79" s="22" t="s">
        <v>26</v>
      </c>
      <c r="F79" s="22" t="s">
        <v>163</v>
      </c>
      <c r="G79" s="22" t="s">
        <v>18</v>
      </c>
      <c r="H79" s="22" t="s">
        <v>29</v>
      </c>
      <c r="I79" s="22" t="s">
        <v>40</v>
      </c>
      <c r="J79" s="22" t="s">
        <v>64</v>
      </c>
      <c r="K79" s="22" t="s">
        <v>1619</v>
      </c>
      <c r="L79" s="22" t="s">
        <v>33</v>
      </c>
      <c r="M79" s="22" t="s">
        <v>78</v>
      </c>
      <c r="N79" s="22">
        <v>32</v>
      </c>
      <c r="O79" s="26">
        <v>1930</v>
      </c>
      <c r="P79" s="22">
        <v>0.08</v>
      </c>
      <c r="Q79" s="30">
        <v>1120</v>
      </c>
      <c r="R79" s="33">
        <f>Table1_1[[#This Row],[Units Sold]]*Table1_1[[#This Row],[Unit Price]]*1-Table1_1[[#This Row],[Discount]]</f>
        <v>61759.92</v>
      </c>
      <c r="S79" s="33">
        <f>Table1_1[[#This Row],[Units Sold]]*Table1_1[[#This Row],[Unit Cost]]</f>
        <v>35840</v>
      </c>
      <c r="T79" s="33">
        <f>Table1_1[[#This Row],[Sales Amount]]-S79</f>
        <v>25919.919999999998</v>
      </c>
      <c r="U79" s="32">
        <f>IFERROR(Table1_1[[#This Row],[Profit/loss]]/Table1_1[[#This Row],[Sales Amount]],0)</f>
        <v>0.41968836747197857</v>
      </c>
    </row>
    <row r="80" spans="1:21" ht="18" x14ac:dyDescent="0.35">
      <c r="A80" s="21" t="s">
        <v>182</v>
      </c>
      <c r="B80" s="36">
        <v>45338</v>
      </c>
      <c r="C80" s="22">
        <f>YEAR(Table1_1[[#This Row],[Order Date]])</f>
        <v>2024</v>
      </c>
      <c r="D80" s="22" t="str">
        <f>TEXT(Table1_1[[#This Row],[Order Date]],"MMMM")</f>
        <v>February</v>
      </c>
      <c r="E80" s="22" t="s">
        <v>82</v>
      </c>
      <c r="F80" s="22" t="s">
        <v>183</v>
      </c>
      <c r="G80" s="22" t="s">
        <v>75</v>
      </c>
      <c r="H80" s="22" t="s">
        <v>39</v>
      </c>
      <c r="I80" s="22" t="s">
        <v>20</v>
      </c>
      <c r="J80" s="22" t="s">
        <v>21</v>
      </c>
      <c r="K80" s="22" t="s">
        <v>51</v>
      </c>
      <c r="L80" s="22" t="s">
        <v>33</v>
      </c>
      <c r="M80" s="22" t="s">
        <v>24</v>
      </c>
      <c r="N80" s="22">
        <v>11</v>
      </c>
      <c r="O80" s="26">
        <v>5999</v>
      </c>
      <c r="P80" s="22">
        <v>0.12</v>
      </c>
      <c r="Q80" s="30">
        <v>3890</v>
      </c>
      <c r="R80" s="33">
        <f>Table1_1[[#This Row],[Units Sold]]*Table1_1[[#This Row],[Unit Price]]*1-Table1_1[[#This Row],[Discount]]</f>
        <v>65988.88</v>
      </c>
      <c r="S80" s="33">
        <f>Table1_1[[#This Row],[Units Sold]]*Table1_1[[#This Row],[Unit Cost]]</f>
        <v>42790</v>
      </c>
      <c r="T80" s="33">
        <f>Table1_1[[#This Row],[Sales Amount]]-S80</f>
        <v>23198.880000000005</v>
      </c>
      <c r="U80" s="32">
        <f>IFERROR(Table1_1[[#This Row],[Profit/loss]]/Table1_1[[#This Row],[Sales Amount]],0)</f>
        <v>0.3515574139157992</v>
      </c>
    </row>
    <row r="81" spans="1:21" ht="18" x14ac:dyDescent="0.35">
      <c r="A81" s="21" t="s">
        <v>184</v>
      </c>
      <c r="B81" s="36">
        <v>45339</v>
      </c>
      <c r="C81" s="22">
        <f>YEAR(Table1_1[[#This Row],[Order Date]])</f>
        <v>2024</v>
      </c>
      <c r="D81" s="22" t="str">
        <f>TEXT(Table1_1[[#This Row],[Order Date]],"MMMM")</f>
        <v>February</v>
      </c>
      <c r="E81" s="22" t="s">
        <v>82</v>
      </c>
      <c r="F81" s="22" t="s">
        <v>87</v>
      </c>
      <c r="G81" s="22" t="s">
        <v>28</v>
      </c>
      <c r="H81" s="22" t="s">
        <v>39</v>
      </c>
      <c r="I81" s="22" t="s">
        <v>70</v>
      </c>
      <c r="J81" s="22" t="s">
        <v>71</v>
      </c>
      <c r="K81" s="22" t="s">
        <v>80</v>
      </c>
      <c r="L81" s="22" t="s">
        <v>33</v>
      </c>
      <c r="M81" s="22" t="s">
        <v>24</v>
      </c>
      <c r="N81" s="22">
        <v>23</v>
      </c>
      <c r="O81" s="26">
        <v>1299</v>
      </c>
      <c r="P81" s="22">
        <v>0.15</v>
      </c>
      <c r="Q81" s="30">
        <v>720</v>
      </c>
      <c r="R81" s="33">
        <f>Table1_1[[#This Row],[Units Sold]]*Table1_1[[#This Row],[Unit Price]]*1-Table1_1[[#This Row],[Discount]]</f>
        <v>29876.85</v>
      </c>
      <c r="S81" s="33">
        <f>Table1_1[[#This Row],[Units Sold]]*Table1_1[[#This Row],[Unit Cost]]</f>
        <v>16560</v>
      </c>
      <c r="T81" s="33">
        <f>Table1_1[[#This Row],[Sales Amount]]-S81</f>
        <v>13316.849999999999</v>
      </c>
      <c r="U81" s="32">
        <f>IFERROR(Table1_1[[#This Row],[Profit/loss]]/Table1_1[[#This Row],[Sales Amount]],0)</f>
        <v>0.44572469989306102</v>
      </c>
    </row>
    <row r="82" spans="1:21" ht="18" x14ac:dyDescent="0.35">
      <c r="A82" s="21" t="s">
        <v>185</v>
      </c>
      <c r="B82" s="36">
        <v>45339</v>
      </c>
      <c r="C82" s="22">
        <f>YEAR(Table1_1[[#This Row],[Order Date]])</f>
        <v>2024</v>
      </c>
      <c r="D82" s="22" t="str">
        <f>TEXT(Table1_1[[#This Row],[Order Date]],"MMMM")</f>
        <v>February</v>
      </c>
      <c r="E82" s="22" t="s">
        <v>48</v>
      </c>
      <c r="F82" s="22" t="s">
        <v>136</v>
      </c>
      <c r="G82" s="22" t="s">
        <v>38</v>
      </c>
      <c r="H82" s="22" t="s">
        <v>29</v>
      </c>
      <c r="I82" s="22" t="s">
        <v>30</v>
      </c>
      <c r="J82" s="22" t="s">
        <v>61</v>
      </c>
      <c r="K82" s="22" t="s">
        <v>186</v>
      </c>
      <c r="L82" s="22" t="s">
        <v>23</v>
      </c>
      <c r="M82" s="22" t="s">
        <v>24</v>
      </c>
      <c r="N82" s="22">
        <v>29</v>
      </c>
      <c r="O82" s="26">
        <v>6999</v>
      </c>
      <c r="P82" s="22">
        <v>0.1</v>
      </c>
      <c r="Q82" s="30">
        <v>4320</v>
      </c>
      <c r="R82" s="33">
        <f>Table1_1[[#This Row],[Units Sold]]*Table1_1[[#This Row],[Unit Price]]*1-Table1_1[[#This Row],[Discount]]</f>
        <v>202970.9</v>
      </c>
      <c r="S82" s="33">
        <f>Table1_1[[#This Row],[Units Sold]]*Table1_1[[#This Row],[Unit Cost]]</f>
        <v>125280</v>
      </c>
      <c r="T82" s="33">
        <f>Table1_1[[#This Row],[Sales Amount]]-S82</f>
        <v>77690.899999999994</v>
      </c>
      <c r="U82" s="32">
        <f>IFERROR(Table1_1[[#This Row],[Profit/loss]]/Table1_1[[#This Row],[Sales Amount]],0)</f>
        <v>0.38276866289699657</v>
      </c>
    </row>
    <row r="83" spans="1:21" ht="18" x14ac:dyDescent="0.35">
      <c r="A83" s="21" t="s">
        <v>187</v>
      </c>
      <c r="B83" s="36">
        <v>45340</v>
      </c>
      <c r="C83" s="22">
        <f>YEAR(Table1_1[[#This Row],[Order Date]])</f>
        <v>2024</v>
      </c>
      <c r="D83" s="22" t="str">
        <f>TEXT(Table1_1[[#This Row],[Order Date]],"MMMM")</f>
        <v>February</v>
      </c>
      <c r="E83" s="22" t="s">
        <v>16</v>
      </c>
      <c r="F83" s="22" t="s">
        <v>126</v>
      </c>
      <c r="G83" s="22" t="s">
        <v>69</v>
      </c>
      <c r="H83" s="22" t="s">
        <v>19</v>
      </c>
      <c r="I83" s="22" t="s">
        <v>70</v>
      </c>
      <c r="J83" s="22" t="s">
        <v>71</v>
      </c>
      <c r="K83" s="22" t="s">
        <v>88</v>
      </c>
      <c r="L83" s="22" t="s">
        <v>23</v>
      </c>
      <c r="M83" s="22" t="s">
        <v>24</v>
      </c>
      <c r="N83" s="22">
        <v>5</v>
      </c>
      <c r="O83" s="26">
        <v>999</v>
      </c>
      <c r="P83" s="22">
        <v>0.1</v>
      </c>
      <c r="Q83" s="30">
        <v>540</v>
      </c>
      <c r="R83" s="33">
        <f>Table1_1[[#This Row],[Units Sold]]*Table1_1[[#This Row],[Unit Price]]*1-Table1_1[[#This Row],[Discount]]</f>
        <v>4994.8999999999996</v>
      </c>
      <c r="S83" s="33">
        <f>Table1_1[[#This Row],[Units Sold]]*Table1_1[[#This Row],[Unit Cost]]</f>
        <v>2700</v>
      </c>
      <c r="T83" s="33">
        <f>Table1_1[[#This Row],[Sales Amount]]-S83</f>
        <v>2294.8999999999996</v>
      </c>
      <c r="U83" s="32">
        <f>IFERROR(Table1_1[[#This Row],[Profit/loss]]/Table1_1[[#This Row],[Sales Amount]],0)</f>
        <v>0.45944863761036253</v>
      </c>
    </row>
    <row r="84" spans="1:21" ht="18" x14ac:dyDescent="0.35">
      <c r="A84" s="21" t="s">
        <v>188</v>
      </c>
      <c r="B84" s="36">
        <v>45340</v>
      </c>
      <c r="C84" s="22">
        <f>YEAR(Table1_1[[#This Row],[Order Date]])</f>
        <v>2024</v>
      </c>
      <c r="D84" s="22" t="str">
        <f>TEXT(Table1_1[[#This Row],[Order Date]],"MMMM")</f>
        <v>February</v>
      </c>
      <c r="E84" s="22" t="s">
        <v>36</v>
      </c>
      <c r="F84" s="22" t="s">
        <v>37</v>
      </c>
      <c r="G84" s="22" t="s">
        <v>101</v>
      </c>
      <c r="H84" s="22" t="s">
        <v>19</v>
      </c>
      <c r="I84" s="22" t="s">
        <v>20</v>
      </c>
      <c r="J84" s="22" t="s">
        <v>21</v>
      </c>
      <c r="K84" s="22" t="s">
        <v>22</v>
      </c>
      <c r="L84" s="22" t="s">
        <v>33</v>
      </c>
      <c r="M84" s="22" t="s">
        <v>24</v>
      </c>
      <c r="N84" s="22">
        <v>8</v>
      </c>
      <c r="O84" s="26">
        <v>4499</v>
      </c>
      <c r="P84" s="22">
        <v>0.15</v>
      </c>
      <c r="Q84" s="30">
        <v>2910</v>
      </c>
      <c r="R84" s="33">
        <f>Table1_1[[#This Row],[Units Sold]]*Table1_1[[#This Row],[Unit Price]]*1-Table1_1[[#This Row],[Discount]]</f>
        <v>35991.85</v>
      </c>
      <c r="S84" s="33">
        <f>Table1_1[[#This Row],[Units Sold]]*Table1_1[[#This Row],[Unit Cost]]</f>
        <v>23280</v>
      </c>
      <c r="T84" s="33">
        <f>Table1_1[[#This Row],[Sales Amount]]-S84</f>
        <v>12711.849999999999</v>
      </c>
      <c r="U84" s="32">
        <f>IFERROR(Table1_1[[#This Row],[Profit/loss]]/Table1_1[[#This Row],[Sales Amount]],0)</f>
        <v>0.35318690203476616</v>
      </c>
    </row>
    <row r="85" spans="1:21" ht="18" x14ac:dyDescent="0.35">
      <c r="A85" s="21" t="s">
        <v>189</v>
      </c>
      <c r="B85" s="36">
        <v>45340</v>
      </c>
      <c r="C85" s="22">
        <f>YEAR(Table1_1[[#This Row],[Order Date]])</f>
        <v>2024</v>
      </c>
      <c r="D85" s="22" t="str">
        <f>TEXT(Table1_1[[#This Row],[Order Date]],"MMMM")</f>
        <v>February</v>
      </c>
      <c r="E85" s="22" t="s">
        <v>36</v>
      </c>
      <c r="F85" s="22" t="s">
        <v>121</v>
      </c>
      <c r="G85" s="22" t="s">
        <v>50</v>
      </c>
      <c r="H85" s="22" t="s">
        <v>29</v>
      </c>
      <c r="I85" s="22" t="s">
        <v>70</v>
      </c>
      <c r="J85" s="22" t="s">
        <v>71</v>
      </c>
      <c r="K85" s="22" t="s">
        <v>72</v>
      </c>
      <c r="L85" s="22" t="s">
        <v>33</v>
      </c>
      <c r="M85" s="22" t="s">
        <v>24</v>
      </c>
      <c r="N85" s="22">
        <v>32</v>
      </c>
      <c r="O85" s="26">
        <v>3499</v>
      </c>
      <c r="P85" s="22">
        <v>0.18</v>
      </c>
      <c r="Q85" s="30">
        <v>2190</v>
      </c>
      <c r="R85" s="33">
        <f>Table1_1[[#This Row],[Units Sold]]*Table1_1[[#This Row],[Unit Price]]*1-Table1_1[[#This Row],[Discount]]</f>
        <v>111967.82</v>
      </c>
      <c r="S85" s="33">
        <f>Table1_1[[#This Row],[Units Sold]]*Table1_1[[#This Row],[Unit Cost]]</f>
        <v>70080</v>
      </c>
      <c r="T85" s="33">
        <f>Table1_1[[#This Row],[Sales Amount]]-S85</f>
        <v>41887.820000000007</v>
      </c>
      <c r="U85" s="32">
        <f>IFERROR(Table1_1[[#This Row],[Profit/loss]]/Table1_1[[#This Row],[Sales Amount]],0)</f>
        <v>0.37410588149345059</v>
      </c>
    </row>
    <row r="86" spans="1:21" ht="18" x14ac:dyDescent="0.35">
      <c r="A86" s="21" t="s">
        <v>190</v>
      </c>
      <c r="B86" s="36">
        <v>45341</v>
      </c>
      <c r="C86" s="22">
        <f>YEAR(Table1_1[[#This Row],[Order Date]])</f>
        <v>2024</v>
      </c>
      <c r="D86" s="22" t="str">
        <f>TEXT(Table1_1[[#This Row],[Order Date]],"MMMM")</f>
        <v>February</v>
      </c>
      <c r="E86" s="22" t="s">
        <v>26</v>
      </c>
      <c r="F86" s="22" t="s">
        <v>53</v>
      </c>
      <c r="G86" s="22" t="s">
        <v>38</v>
      </c>
      <c r="H86" s="22" t="s">
        <v>29</v>
      </c>
      <c r="I86" s="22" t="s">
        <v>70</v>
      </c>
      <c r="J86" s="22" t="s">
        <v>71</v>
      </c>
      <c r="K86" s="22" t="s">
        <v>80</v>
      </c>
      <c r="L86" s="22" t="s">
        <v>57</v>
      </c>
      <c r="M86" s="22" t="s">
        <v>34</v>
      </c>
      <c r="N86" s="22">
        <v>13</v>
      </c>
      <c r="O86" s="26">
        <v>1299</v>
      </c>
      <c r="P86" s="22">
        <v>0.05</v>
      </c>
      <c r="Q86" s="30">
        <v>720</v>
      </c>
      <c r="R86" s="33">
        <f>Table1_1[[#This Row],[Units Sold]]*Table1_1[[#This Row],[Unit Price]]*1-Table1_1[[#This Row],[Discount]]</f>
        <v>16886.95</v>
      </c>
      <c r="S86" s="33">
        <f>Table1_1[[#This Row],[Units Sold]]*Table1_1[[#This Row],[Unit Cost]]</f>
        <v>9360</v>
      </c>
      <c r="T86" s="33">
        <f>Table1_1[[#This Row],[Sales Amount]]-S86</f>
        <v>7526.9500000000007</v>
      </c>
      <c r="U86" s="32">
        <f>IFERROR(Table1_1[[#This Row],[Profit/loss]]/Table1_1[[#This Row],[Sales Amount]],0)</f>
        <v>0.44572584155220452</v>
      </c>
    </row>
    <row r="87" spans="1:21" ht="18" x14ac:dyDescent="0.35">
      <c r="A87" s="21" t="s">
        <v>191</v>
      </c>
      <c r="B87" s="36">
        <v>45341</v>
      </c>
      <c r="C87" s="22">
        <f>YEAR(Table1_1[[#This Row],[Order Date]])</f>
        <v>2024</v>
      </c>
      <c r="D87" s="22" t="str">
        <f>TEXT(Table1_1[[#This Row],[Order Date]],"MMMM")</f>
        <v>February</v>
      </c>
      <c r="E87" s="22" t="s">
        <v>16</v>
      </c>
      <c r="F87" s="22" t="s">
        <v>17</v>
      </c>
      <c r="G87" s="22" t="s">
        <v>50</v>
      </c>
      <c r="H87" s="22" t="s">
        <v>19</v>
      </c>
      <c r="I87" s="22" t="s">
        <v>54</v>
      </c>
      <c r="J87" s="22" t="s">
        <v>129</v>
      </c>
      <c r="K87" s="22" t="s">
        <v>1630</v>
      </c>
      <c r="L87" s="22" t="s">
        <v>23</v>
      </c>
      <c r="M87" s="22" t="s">
        <v>24</v>
      </c>
      <c r="N87" s="22">
        <v>9</v>
      </c>
      <c r="O87" s="26">
        <v>29010</v>
      </c>
      <c r="P87" s="22">
        <v>0.18</v>
      </c>
      <c r="Q87" s="30">
        <v>19100</v>
      </c>
      <c r="R87" s="33">
        <f>Table1_1[[#This Row],[Units Sold]]*Table1_1[[#This Row],[Unit Price]]*1-Table1_1[[#This Row],[Discount]]</f>
        <v>261089.82</v>
      </c>
      <c r="S87" s="33">
        <f>Table1_1[[#This Row],[Units Sold]]*Table1_1[[#This Row],[Unit Cost]]</f>
        <v>171900</v>
      </c>
      <c r="T87" s="33">
        <f>Table1_1[[#This Row],[Sales Amount]]-S87</f>
        <v>89189.82</v>
      </c>
      <c r="U87" s="32">
        <f>IFERROR(Table1_1[[#This Row],[Profit/loss]]/Table1_1[[#This Row],[Sales Amount]],0)</f>
        <v>0.34160588873208464</v>
      </c>
    </row>
    <row r="88" spans="1:21" ht="18" x14ac:dyDescent="0.35">
      <c r="A88" s="21" t="s">
        <v>193</v>
      </c>
      <c r="B88" s="36">
        <v>45342</v>
      </c>
      <c r="C88" s="22">
        <f>YEAR(Table1_1[[#This Row],[Order Date]])</f>
        <v>2024</v>
      </c>
      <c r="D88" s="22" t="str">
        <f>TEXT(Table1_1[[#This Row],[Order Date]],"MMMM")</f>
        <v>February</v>
      </c>
      <c r="E88" s="22" t="s">
        <v>26</v>
      </c>
      <c r="F88" s="22" t="s">
        <v>27</v>
      </c>
      <c r="G88" s="22" t="s">
        <v>50</v>
      </c>
      <c r="H88" s="22" t="s">
        <v>29</v>
      </c>
      <c r="I88" s="22" t="s">
        <v>54</v>
      </c>
      <c r="J88" s="22" t="s">
        <v>129</v>
      </c>
      <c r="K88" s="22" t="s">
        <v>130</v>
      </c>
      <c r="L88" s="22" t="s">
        <v>57</v>
      </c>
      <c r="M88" s="22" t="s">
        <v>24</v>
      </c>
      <c r="N88" s="22">
        <v>6</v>
      </c>
      <c r="O88" s="26">
        <v>27890</v>
      </c>
      <c r="P88" s="22">
        <v>0.12</v>
      </c>
      <c r="Q88" s="30">
        <v>18800</v>
      </c>
      <c r="R88" s="33">
        <f>Table1_1[[#This Row],[Units Sold]]*Table1_1[[#This Row],[Unit Price]]*1-Table1_1[[#This Row],[Discount]]</f>
        <v>167339.88</v>
      </c>
      <c r="S88" s="33">
        <f>Table1_1[[#This Row],[Units Sold]]*Table1_1[[#This Row],[Unit Cost]]</f>
        <v>112800</v>
      </c>
      <c r="T88" s="33">
        <f>Table1_1[[#This Row],[Sales Amount]]-S88</f>
        <v>54539.880000000005</v>
      </c>
      <c r="U88" s="32">
        <f>IFERROR(Table1_1[[#This Row],[Profit/loss]]/Table1_1[[#This Row],[Sales Amount]],0)</f>
        <v>0.32592278660651602</v>
      </c>
    </row>
    <row r="89" spans="1:21" ht="18" x14ac:dyDescent="0.35">
      <c r="A89" s="21" t="s">
        <v>194</v>
      </c>
      <c r="B89" s="36">
        <v>45342</v>
      </c>
      <c r="C89" s="22">
        <f>YEAR(Table1_1[[#This Row],[Order Date]])</f>
        <v>2024</v>
      </c>
      <c r="D89" s="22" t="str">
        <f>TEXT(Table1_1[[#This Row],[Order Date]],"MMMM")</f>
        <v>February</v>
      </c>
      <c r="E89" s="22" t="s">
        <v>36</v>
      </c>
      <c r="F89" s="22" t="s">
        <v>59</v>
      </c>
      <c r="G89" s="22" t="s">
        <v>69</v>
      </c>
      <c r="H89" s="22" t="s">
        <v>39</v>
      </c>
      <c r="I89" s="22" t="s">
        <v>54</v>
      </c>
      <c r="J89" s="22" t="s">
        <v>129</v>
      </c>
      <c r="K89" s="22" t="s">
        <v>130</v>
      </c>
      <c r="L89" s="22" t="s">
        <v>33</v>
      </c>
      <c r="M89" s="22" t="s">
        <v>78</v>
      </c>
      <c r="N89" s="22">
        <v>23</v>
      </c>
      <c r="O89" s="26">
        <v>27890</v>
      </c>
      <c r="P89" s="22">
        <v>0.05</v>
      </c>
      <c r="Q89" s="30">
        <v>18800</v>
      </c>
      <c r="R89" s="33">
        <f>Table1_1[[#This Row],[Units Sold]]*Table1_1[[#This Row],[Unit Price]]*1-Table1_1[[#This Row],[Discount]]</f>
        <v>641469.94999999995</v>
      </c>
      <c r="S89" s="33">
        <f>Table1_1[[#This Row],[Units Sold]]*Table1_1[[#This Row],[Unit Cost]]</f>
        <v>432400</v>
      </c>
      <c r="T89" s="33">
        <f>Table1_1[[#This Row],[Sales Amount]]-S89</f>
        <v>209069.94999999995</v>
      </c>
      <c r="U89" s="32">
        <f>IFERROR(Table1_1[[#This Row],[Profit/loss]]/Table1_1[[#This Row],[Sales Amount]],0)</f>
        <v>0.32592321744767616</v>
      </c>
    </row>
    <row r="90" spans="1:21" ht="18" x14ac:dyDescent="0.35">
      <c r="A90" s="21" t="s">
        <v>195</v>
      </c>
      <c r="B90" s="36">
        <v>45343</v>
      </c>
      <c r="C90" s="22">
        <f>YEAR(Table1_1[[#This Row],[Order Date]])</f>
        <v>2024</v>
      </c>
      <c r="D90" s="22" t="str">
        <f>TEXT(Table1_1[[#This Row],[Order Date]],"MMMM")</f>
        <v>February</v>
      </c>
      <c r="E90" s="22" t="s">
        <v>82</v>
      </c>
      <c r="F90" s="22" t="s">
        <v>100</v>
      </c>
      <c r="G90" s="22" t="s">
        <v>18</v>
      </c>
      <c r="H90" s="22" t="s">
        <v>39</v>
      </c>
      <c r="I90" s="22" t="s">
        <v>20</v>
      </c>
      <c r="J90" s="22" t="s">
        <v>45</v>
      </c>
      <c r="K90" s="22" t="s">
        <v>196</v>
      </c>
      <c r="L90" s="22" t="s">
        <v>23</v>
      </c>
      <c r="M90" s="22" t="s">
        <v>78</v>
      </c>
      <c r="N90" s="22">
        <v>39</v>
      </c>
      <c r="O90" s="26">
        <v>2499</v>
      </c>
      <c r="P90" s="22">
        <v>0.1</v>
      </c>
      <c r="Q90" s="30">
        <v>1510</v>
      </c>
      <c r="R90" s="33">
        <f>Table1_1[[#This Row],[Units Sold]]*Table1_1[[#This Row],[Unit Price]]*1-Table1_1[[#This Row],[Discount]]</f>
        <v>97460.9</v>
      </c>
      <c r="S90" s="33">
        <f>Table1_1[[#This Row],[Units Sold]]*Table1_1[[#This Row],[Unit Cost]]</f>
        <v>58890</v>
      </c>
      <c r="T90" s="33">
        <f>Table1_1[[#This Row],[Sales Amount]]-S90</f>
        <v>38570.899999999994</v>
      </c>
      <c r="U90" s="32">
        <f>IFERROR(Table1_1[[#This Row],[Profit/loss]]/Table1_1[[#This Row],[Sales Amount]],0)</f>
        <v>0.39575768333762562</v>
      </c>
    </row>
    <row r="91" spans="1:21" ht="18" x14ac:dyDescent="0.35">
      <c r="A91" s="21" t="s">
        <v>197</v>
      </c>
      <c r="B91" s="36">
        <v>45346</v>
      </c>
      <c r="C91" s="22">
        <f>YEAR(Table1_1[[#This Row],[Order Date]])</f>
        <v>2024</v>
      </c>
      <c r="D91" s="22" t="str">
        <f>TEXT(Table1_1[[#This Row],[Order Date]],"MMMM")</f>
        <v>February</v>
      </c>
      <c r="E91" s="22" t="s">
        <v>82</v>
      </c>
      <c r="F91" s="22" t="s">
        <v>100</v>
      </c>
      <c r="G91" s="22" t="s">
        <v>101</v>
      </c>
      <c r="H91" s="22" t="s">
        <v>29</v>
      </c>
      <c r="I91" s="22" t="s">
        <v>54</v>
      </c>
      <c r="J91" s="22" t="s">
        <v>55</v>
      </c>
      <c r="K91" s="22" t="s">
        <v>148</v>
      </c>
      <c r="L91" s="22" t="s">
        <v>23</v>
      </c>
      <c r="M91" s="22" t="s">
        <v>24</v>
      </c>
      <c r="N91" s="22">
        <v>10</v>
      </c>
      <c r="O91" s="26">
        <v>4680</v>
      </c>
      <c r="P91" s="22">
        <v>0.2</v>
      </c>
      <c r="Q91" s="30">
        <v>3250</v>
      </c>
      <c r="R91" s="33">
        <f>Table1_1[[#This Row],[Units Sold]]*Table1_1[[#This Row],[Unit Price]]*1-Table1_1[[#This Row],[Discount]]</f>
        <v>46799.8</v>
      </c>
      <c r="S91" s="33">
        <f>Table1_1[[#This Row],[Units Sold]]*Table1_1[[#This Row],[Unit Cost]]</f>
        <v>32500</v>
      </c>
      <c r="T91" s="33">
        <f>Table1_1[[#This Row],[Sales Amount]]-S91</f>
        <v>14299.800000000003</v>
      </c>
      <c r="U91" s="32">
        <f>IFERROR(Table1_1[[#This Row],[Profit/loss]]/Table1_1[[#This Row],[Sales Amount]],0)</f>
        <v>0.30555258783157196</v>
      </c>
    </row>
    <row r="92" spans="1:21" ht="18" x14ac:dyDescent="0.35">
      <c r="A92" s="21" t="s">
        <v>198</v>
      </c>
      <c r="B92" s="36">
        <v>45348</v>
      </c>
      <c r="C92" s="22">
        <f>YEAR(Table1_1[[#This Row],[Order Date]])</f>
        <v>2024</v>
      </c>
      <c r="D92" s="22" t="str">
        <f>TEXT(Table1_1[[#This Row],[Order Date]],"MMMM")</f>
        <v>February</v>
      </c>
      <c r="E92" s="22" t="s">
        <v>26</v>
      </c>
      <c r="F92" s="22" t="s">
        <v>74</v>
      </c>
      <c r="G92" s="22" t="s">
        <v>50</v>
      </c>
      <c r="H92" s="22" t="s">
        <v>19</v>
      </c>
      <c r="I92" s="22" t="s">
        <v>20</v>
      </c>
      <c r="J92" s="22" t="s">
        <v>45</v>
      </c>
      <c r="K92" s="22" t="s">
        <v>1618</v>
      </c>
      <c r="L92" s="22" t="s">
        <v>23</v>
      </c>
      <c r="M92" s="22" t="s">
        <v>24</v>
      </c>
      <c r="N92" s="22">
        <v>23</v>
      </c>
      <c r="O92" s="26">
        <v>1899</v>
      </c>
      <c r="P92" s="22">
        <v>0.12</v>
      </c>
      <c r="Q92" s="30">
        <v>1080</v>
      </c>
      <c r="R92" s="33">
        <f>Table1_1[[#This Row],[Units Sold]]*Table1_1[[#This Row],[Unit Price]]*1-Table1_1[[#This Row],[Discount]]</f>
        <v>43676.88</v>
      </c>
      <c r="S92" s="33">
        <f>Table1_1[[#This Row],[Units Sold]]*Table1_1[[#This Row],[Unit Cost]]</f>
        <v>24840</v>
      </c>
      <c r="T92" s="33">
        <f>Table1_1[[#This Row],[Sales Amount]]-S92</f>
        <v>18836.879999999997</v>
      </c>
      <c r="U92" s="32">
        <f>IFERROR(Table1_1[[#This Row],[Profit/loss]]/Table1_1[[#This Row],[Sales Amount]],0)</f>
        <v>0.43127805832284721</v>
      </c>
    </row>
    <row r="93" spans="1:21" ht="18" x14ac:dyDescent="0.35">
      <c r="A93" s="21" t="s">
        <v>199</v>
      </c>
      <c r="B93" s="36">
        <v>45350</v>
      </c>
      <c r="C93" s="22">
        <f>YEAR(Table1_1[[#This Row],[Order Date]])</f>
        <v>2024</v>
      </c>
      <c r="D93" s="22" t="str">
        <f>TEXT(Table1_1[[#This Row],[Order Date]],"MMMM")</f>
        <v>February</v>
      </c>
      <c r="E93" s="22" t="s">
        <v>26</v>
      </c>
      <c r="F93" s="22" t="s">
        <v>27</v>
      </c>
      <c r="G93" s="22" t="s">
        <v>69</v>
      </c>
      <c r="H93" s="22" t="s">
        <v>19</v>
      </c>
      <c r="I93" s="22" t="s">
        <v>70</v>
      </c>
      <c r="J93" s="22" t="s">
        <v>71</v>
      </c>
      <c r="K93" s="22" t="s">
        <v>88</v>
      </c>
      <c r="L93" s="22" t="s">
        <v>57</v>
      </c>
      <c r="M93" s="22" t="s">
        <v>78</v>
      </c>
      <c r="N93" s="22">
        <v>1</v>
      </c>
      <c r="O93" s="26">
        <v>999</v>
      </c>
      <c r="P93" s="22">
        <v>0.18</v>
      </c>
      <c r="Q93" s="30">
        <v>540</v>
      </c>
      <c r="R93" s="33">
        <f>Table1_1[[#This Row],[Units Sold]]*Table1_1[[#This Row],[Unit Price]]*1-Table1_1[[#This Row],[Discount]]</f>
        <v>998.82</v>
      </c>
      <c r="S93" s="33">
        <f>Table1_1[[#This Row],[Units Sold]]*Table1_1[[#This Row],[Unit Cost]]</f>
        <v>540</v>
      </c>
      <c r="T93" s="33">
        <f>Table1_1[[#This Row],[Sales Amount]]-S93</f>
        <v>458.82000000000005</v>
      </c>
      <c r="U93" s="32">
        <f>IFERROR(Table1_1[[#This Row],[Profit/loss]]/Table1_1[[#This Row],[Sales Amount]],0)</f>
        <v>0.45936204721571455</v>
      </c>
    </row>
    <row r="94" spans="1:21" ht="18" x14ac:dyDescent="0.35">
      <c r="A94" s="21" t="s">
        <v>200</v>
      </c>
      <c r="B94" s="36">
        <v>45350</v>
      </c>
      <c r="C94" s="22">
        <f>YEAR(Table1_1[[#This Row],[Order Date]])</f>
        <v>2024</v>
      </c>
      <c r="D94" s="22" t="str">
        <f>TEXT(Table1_1[[#This Row],[Order Date]],"MMMM")</f>
        <v>February</v>
      </c>
      <c r="E94" s="22" t="s">
        <v>26</v>
      </c>
      <c r="F94" s="22" t="s">
        <v>27</v>
      </c>
      <c r="G94" s="22" t="s">
        <v>69</v>
      </c>
      <c r="H94" s="22" t="s">
        <v>19</v>
      </c>
      <c r="I94" s="22" t="s">
        <v>30</v>
      </c>
      <c r="J94" s="22" t="s">
        <v>61</v>
      </c>
      <c r="K94" s="22" t="s">
        <v>186</v>
      </c>
      <c r="L94" s="22" t="s">
        <v>33</v>
      </c>
      <c r="M94" s="22" t="s">
        <v>24</v>
      </c>
      <c r="N94" s="22">
        <v>33</v>
      </c>
      <c r="O94" s="26">
        <v>6999</v>
      </c>
      <c r="P94" s="22">
        <v>0.18</v>
      </c>
      <c r="Q94" s="30">
        <v>4320</v>
      </c>
      <c r="R94" s="33">
        <f>Table1_1[[#This Row],[Units Sold]]*Table1_1[[#This Row],[Unit Price]]*1-Table1_1[[#This Row],[Discount]]</f>
        <v>230966.82</v>
      </c>
      <c r="S94" s="33">
        <f>Table1_1[[#This Row],[Units Sold]]*Table1_1[[#This Row],[Unit Cost]]</f>
        <v>142560</v>
      </c>
      <c r="T94" s="33">
        <f>Table1_1[[#This Row],[Sales Amount]]-S94</f>
        <v>88406.82</v>
      </c>
      <c r="U94" s="32">
        <f>IFERROR(Table1_1[[#This Row],[Profit/loss]]/Table1_1[[#This Row],[Sales Amount]],0)</f>
        <v>0.3827684859669454</v>
      </c>
    </row>
    <row r="95" spans="1:21" ht="18" x14ac:dyDescent="0.35">
      <c r="A95" s="21" t="s">
        <v>201</v>
      </c>
      <c r="B95" s="36">
        <v>45350</v>
      </c>
      <c r="C95" s="22">
        <f>YEAR(Table1_1[[#This Row],[Order Date]])</f>
        <v>2024</v>
      </c>
      <c r="D95" s="22" t="str">
        <f>TEXT(Table1_1[[#This Row],[Order Date]],"MMMM")</f>
        <v>February</v>
      </c>
      <c r="E95" s="22" t="s">
        <v>82</v>
      </c>
      <c r="F95" s="22" t="s">
        <v>87</v>
      </c>
      <c r="G95" s="22" t="s">
        <v>105</v>
      </c>
      <c r="H95" s="22" t="s">
        <v>19</v>
      </c>
      <c r="I95" s="22" t="s">
        <v>20</v>
      </c>
      <c r="J95" s="22" t="s">
        <v>21</v>
      </c>
      <c r="K95" s="22" t="s">
        <v>51</v>
      </c>
      <c r="L95" s="22" t="s">
        <v>57</v>
      </c>
      <c r="M95" s="22" t="s">
        <v>24</v>
      </c>
      <c r="N95" s="22">
        <v>26</v>
      </c>
      <c r="O95" s="26">
        <v>5999</v>
      </c>
      <c r="P95" s="22">
        <v>0.1</v>
      </c>
      <c r="Q95" s="30">
        <v>3890</v>
      </c>
      <c r="R95" s="33">
        <f>Table1_1[[#This Row],[Units Sold]]*Table1_1[[#This Row],[Unit Price]]*1-Table1_1[[#This Row],[Discount]]</f>
        <v>155973.9</v>
      </c>
      <c r="S95" s="33">
        <f>Table1_1[[#This Row],[Units Sold]]*Table1_1[[#This Row],[Unit Cost]]</f>
        <v>101140</v>
      </c>
      <c r="T95" s="33">
        <f>Table1_1[[#This Row],[Sales Amount]]-S95</f>
        <v>54833.899999999994</v>
      </c>
      <c r="U95" s="32">
        <f>IFERROR(Table1_1[[#This Row],[Profit/loss]]/Table1_1[[#This Row],[Sales Amount]],0)</f>
        <v>0.35155817736172523</v>
      </c>
    </row>
    <row r="96" spans="1:21" ht="18" x14ac:dyDescent="0.35">
      <c r="A96" s="21" t="s">
        <v>202</v>
      </c>
      <c r="B96" s="36">
        <v>45350</v>
      </c>
      <c r="C96" s="22">
        <f>YEAR(Table1_1[[#This Row],[Order Date]])</f>
        <v>2024</v>
      </c>
      <c r="D96" s="22" t="str">
        <f>TEXT(Table1_1[[#This Row],[Order Date]],"MMMM")</f>
        <v>February</v>
      </c>
      <c r="E96" s="22" t="s">
        <v>26</v>
      </c>
      <c r="F96" s="22" t="s">
        <v>27</v>
      </c>
      <c r="G96" s="22" t="s">
        <v>101</v>
      </c>
      <c r="H96" s="22" t="s">
        <v>39</v>
      </c>
      <c r="I96" s="22" t="s">
        <v>20</v>
      </c>
      <c r="J96" s="22" t="s">
        <v>45</v>
      </c>
      <c r="K96" s="22" t="s">
        <v>196</v>
      </c>
      <c r="L96" s="22" t="s">
        <v>57</v>
      </c>
      <c r="M96" s="22" t="s">
        <v>78</v>
      </c>
      <c r="N96" s="22">
        <v>26</v>
      </c>
      <c r="O96" s="26">
        <v>2499</v>
      </c>
      <c r="P96" s="22">
        <v>0.15</v>
      </c>
      <c r="Q96" s="30">
        <v>1510</v>
      </c>
      <c r="R96" s="33">
        <f>Table1_1[[#This Row],[Units Sold]]*Table1_1[[#This Row],[Unit Price]]*1-Table1_1[[#This Row],[Discount]]</f>
        <v>64973.85</v>
      </c>
      <c r="S96" s="33">
        <f>Table1_1[[#This Row],[Units Sold]]*Table1_1[[#This Row],[Unit Cost]]</f>
        <v>39260</v>
      </c>
      <c r="T96" s="33">
        <f>Table1_1[[#This Row],[Sales Amount]]-S96</f>
        <v>25713.85</v>
      </c>
      <c r="U96" s="32">
        <f>IFERROR(Table1_1[[#This Row],[Profit/loss]]/Table1_1[[#This Row],[Sales Amount]],0)</f>
        <v>0.39575690835620791</v>
      </c>
    </row>
    <row r="97" spans="1:21" ht="18" x14ac:dyDescent="0.35">
      <c r="A97" s="21" t="s">
        <v>203</v>
      </c>
      <c r="B97" s="36">
        <v>45350</v>
      </c>
      <c r="C97" s="22">
        <f>YEAR(Table1_1[[#This Row],[Order Date]])</f>
        <v>2024</v>
      </c>
      <c r="D97" s="22" t="str">
        <f>TEXT(Table1_1[[#This Row],[Order Date]],"MMMM")</f>
        <v>February</v>
      </c>
      <c r="E97" s="22" t="s">
        <v>82</v>
      </c>
      <c r="F97" s="22" t="s">
        <v>83</v>
      </c>
      <c r="G97" s="22" t="s">
        <v>105</v>
      </c>
      <c r="H97" s="22" t="s">
        <v>19</v>
      </c>
      <c r="I97" s="22" t="s">
        <v>70</v>
      </c>
      <c r="J97" s="22" t="s">
        <v>71</v>
      </c>
      <c r="K97" s="22" t="s">
        <v>88</v>
      </c>
      <c r="L97" s="22" t="s">
        <v>33</v>
      </c>
      <c r="M97" s="22" t="s">
        <v>24</v>
      </c>
      <c r="N97" s="22">
        <v>22</v>
      </c>
      <c r="O97" s="26">
        <v>999</v>
      </c>
      <c r="P97" s="22">
        <v>0.08</v>
      </c>
      <c r="Q97" s="30">
        <v>540</v>
      </c>
      <c r="R97" s="33">
        <f>Table1_1[[#This Row],[Units Sold]]*Table1_1[[#This Row],[Unit Price]]*1-Table1_1[[#This Row],[Discount]]</f>
        <v>21977.919999999998</v>
      </c>
      <c r="S97" s="33">
        <f>Table1_1[[#This Row],[Units Sold]]*Table1_1[[#This Row],[Unit Cost]]</f>
        <v>11880</v>
      </c>
      <c r="T97" s="33">
        <f>Table1_1[[#This Row],[Sales Amount]]-S97</f>
        <v>10097.919999999998</v>
      </c>
      <c r="U97" s="32">
        <f>IFERROR(Table1_1[[#This Row],[Profit/loss]]/Table1_1[[#This Row],[Sales Amount]],0)</f>
        <v>0.4594574918827623</v>
      </c>
    </row>
    <row r="98" spans="1:21" ht="18" x14ac:dyDescent="0.35">
      <c r="A98" s="21" t="s">
        <v>204</v>
      </c>
      <c r="B98" s="36">
        <v>45352</v>
      </c>
      <c r="C98" s="22">
        <f>YEAR(Table1_1[[#This Row],[Order Date]])</f>
        <v>2024</v>
      </c>
      <c r="D98" s="22" t="str">
        <f>TEXT(Table1_1[[#This Row],[Order Date]],"MMMM")</f>
        <v>March</v>
      </c>
      <c r="E98" s="22" t="s">
        <v>82</v>
      </c>
      <c r="F98" s="22" t="s">
        <v>100</v>
      </c>
      <c r="G98" s="22" t="s">
        <v>101</v>
      </c>
      <c r="H98" s="22" t="s">
        <v>39</v>
      </c>
      <c r="I98" s="22" t="s">
        <v>40</v>
      </c>
      <c r="J98" s="22" t="s">
        <v>64</v>
      </c>
      <c r="K98" s="22" t="s">
        <v>1629</v>
      </c>
      <c r="L98" s="22" t="s">
        <v>33</v>
      </c>
      <c r="M98" s="22" t="s">
        <v>24</v>
      </c>
      <c r="N98" s="22">
        <v>8</v>
      </c>
      <c r="O98" s="26">
        <v>3299</v>
      </c>
      <c r="P98" s="22">
        <v>0.12</v>
      </c>
      <c r="Q98" s="30">
        <v>2050</v>
      </c>
      <c r="R98" s="33">
        <f>Table1_1[[#This Row],[Units Sold]]*Table1_1[[#This Row],[Unit Price]]*1-Table1_1[[#This Row],[Discount]]</f>
        <v>26391.88</v>
      </c>
      <c r="S98" s="33">
        <f>Table1_1[[#This Row],[Units Sold]]*Table1_1[[#This Row],[Unit Cost]]</f>
        <v>16400</v>
      </c>
      <c r="T98" s="33">
        <f>Table1_1[[#This Row],[Sales Amount]]-S98</f>
        <v>9991.880000000001</v>
      </c>
      <c r="U98" s="32">
        <f>IFERROR(Table1_1[[#This Row],[Profit/loss]]/Table1_1[[#This Row],[Sales Amount]],0)</f>
        <v>0.37859675021256539</v>
      </c>
    </row>
    <row r="99" spans="1:21" ht="18" x14ac:dyDescent="0.35">
      <c r="A99" s="21" t="s">
        <v>205</v>
      </c>
      <c r="B99" s="36">
        <v>45352</v>
      </c>
      <c r="C99" s="22">
        <f>YEAR(Table1_1[[#This Row],[Order Date]])</f>
        <v>2024</v>
      </c>
      <c r="D99" s="22" t="str">
        <f>TEXT(Table1_1[[#This Row],[Order Date]],"MMMM")</f>
        <v>March</v>
      </c>
      <c r="E99" s="22" t="s">
        <v>16</v>
      </c>
      <c r="F99" s="22" t="s">
        <v>111</v>
      </c>
      <c r="G99" s="22" t="s">
        <v>18</v>
      </c>
      <c r="H99" s="22" t="s">
        <v>29</v>
      </c>
      <c r="I99" s="22" t="s">
        <v>40</v>
      </c>
      <c r="J99" s="22" t="s">
        <v>64</v>
      </c>
      <c r="K99" s="22" t="s">
        <v>1619</v>
      </c>
      <c r="L99" s="22" t="s">
        <v>57</v>
      </c>
      <c r="M99" s="22" t="s">
        <v>78</v>
      </c>
      <c r="N99" s="22">
        <v>25</v>
      </c>
      <c r="O99" s="26">
        <v>1930</v>
      </c>
      <c r="P99" s="22">
        <v>0.15</v>
      </c>
      <c r="Q99" s="30">
        <v>1120</v>
      </c>
      <c r="R99" s="33">
        <f>Table1_1[[#This Row],[Units Sold]]*Table1_1[[#This Row],[Unit Price]]*1-Table1_1[[#This Row],[Discount]]</f>
        <v>48249.85</v>
      </c>
      <c r="S99" s="33">
        <f>Table1_1[[#This Row],[Units Sold]]*Table1_1[[#This Row],[Unit Cost]]</f>
        <v>28000</v>
      </c>
      <c r="T99" s="33">
        <f>Table1_1[[#This Row],[Sales Amount]]-S99</f>
        <v>20249.849999999999</v>
      </c>
      <c r="U99" s="32">
        <f>IFERROR(Table1_1[[#This Row],[Profit/loss]]/Table1_1[[#This Row],[Sales Amount]],0)</f>
        <v>0.41968731509009871</v>
      </c>
    </row>
    <row r="100" spans="1:21" ht="18" x14ac:dyDescent="0.35">
      <c r="A100" s="21" t="s">
        <v>206</v>
      </c>
      <c r="B100" s="36">
        <v>45352</v>
      </c>
      <c r="C100" s="22">
        <f>YEAR(Table1_1[[#This Row],[Order Date]])</f>
        <v>2024</v>
      </c>
      <c r="D100" s="22" t="str">
        <f>TEXT(Table1_1[[#This Row],[Order Date]],"MMMM")</f>
        <v>March</v>
      </c>
      <c r="E100" s="22" t="s">
        <v>16</v>
      </c>
      <c r="F100" s="22" t="s">
        <v>17</v>
      </c>
      <c r="G100" s="22" t="s">
        <v>28</v>
      </c>
      <c r="H100" s="22" t="s">
        <v>39</v>
      </c>
      <c r="I100" s="22" t="s">
        <v>70</v>
      </c>
      <c r="J100" s="22" t="s">
        <v>71</v>
      </c>
      <c r="K100" s="22" t="s">
        <v>80</v>
      </c>
      <c r="L100" s="22" t="s">
        <v>23</v>
      </c>
      <c r="M100" s="22" t="s">
        <v>24</v>
      </c>
      <c r="N100" s="22">
        <v>2</v>
      </c>
      <c r="O100" s="26">
        <v>1299</v>
      </c>
      <c r="P100" s="22">
        <v>0.18</v>
      </c>
      <c r="Q100" s="30">
        <v>720</v>
      </c>
      <c r="R100" s="33">
        <f>Table1_1[[#This Row],[Units Sold]]*Table1_1[[#This Row],[Unit Price]]*1-Table1_1[[#This Row],[Discount]]</f>
        <v>2597.8200000000002</v>
      </c>
      <c r="S100" s="33">
        <f>Table1_1[[#This Row],[Units Sold]]*Table1_1[[#This Row],[Unit Cost]]</f>
        <v>1440</v>
      </c>
      <c r="T100" s="33">
        <f>Table1_1[[#This Row],[Sales Amount]]-S100</f>
        <v>1157.8200000000002</v>
      </c>
      <c r="U100" s="32">
        <f>IFERROR(Table1_1[[#This Row],[Profit/loss]]/Table1_1[[#This Row],[Sales Amount]],0)</f>
        <v>0.44568907776520317</v>
      </c>
    </row>
    <row r="101" spans="1:21" ht="18" x14ac:dyDescent="0.35">
      <c r="A101" s="21" t="s">
        <v>207</v>
      </c>
      <c r="B101" s="36">
        <v>45353</v>
      </c>
      <c r="C101" s="22">
        <f>YEAR(Table1_1[[#This Row],[Order Date]])</f>
        <v>2024</v>
      </c>
      <c r="D101" s="22" t="str">
        <f>TEXT(Table1_1[[#This Row],[Order Date]],"MMMM")</f>
        <v>March</v>
      </c>
      <c r="E101" s="22" t="s">
        <v>48</v>
      </c>
      <c r="F101" s="22" t="s">
        <v>49</v>
      </c>
      <c r="G101" s="22" t="s">
        <v>50</v>
      </c>
      <c r="H101" s="22" t="s">
        <v>29</v>
      </c>
      <c r="I101" s="22" t="s">
        <v>40</v>
      </c>
      <c r="J101" s="22" t="s">
        <v>64</v>
      </c>
      <c r="K101" s="22" t="s">
        <v>1627</v>
      </c>
      <c r="L101" s="22" t="s">
        <v>33</v>
      </c>
      <c r="M101" s="22" t="s">
        <v>78</v>
      </c>
      <c r="N101" s="22">
        <v>8</v>
      </c>
      <c r="O101" s="26">
        <v>4490</v>
      </c>
      <c r="P101" s="22">
        <v>0.18</v>
      </c>
      <c r="Q101" s="30">
        <v>2950</v>
      </c>
      <c r="R101" s="33">
        <f>Table1_1[[#This Row],[Units Sold]]*Table1_1[[#This Row],[Unit Price]]*1-Table1_1[[#This Row],[Discount]]</f>
        <v>35919.82</v>
      </c>
      <c r="S101" s="33">
        <f>Table1_1[[#This Row],[Units Sold]]*Table1_1[[#This Row],[Unit Cost]]</f>
        <v>23600</v>
      </c>
      <c r="T101" s="33">
        <f>Table1_1[[#This Row],[Sales Amount]]-S101</f>
        <v>12319.82</v>
      </c>
      <c r="U101" s="32">
        <f>IFERROR(Table1_1[[#This Row],[Profit/loss]]/Table1_1[[#This Row],[Sales Amount]],0)</f>
        <v>0.34298111738867287</v>
      </c>
    </row>
    <row r="102" spans="1:21" ht="18" x14ac:dyDescent="0.35">
      <c r="A102" s="21" t="s">
        <v>208</v>
      </c>
      <c r="B102" s="36">
        <v>45353</v>
      </c>
      <c r="C102" s="22">
        <f>YEAR(Table1_1[[#This Row],[Order Date]])</f>
        <v>2024</v>
      </c>
      <c r="D102" s="22" t="str">
        <f>TEXT(Table1_1[[#This Row],[Order Date]],"MMMM")</f>
        <v>March</v>
      </c>
      <c r="E102" s="22" t="s">
        <v>26</v>
      </c>
      <c r="F102" s="22" t="s">
        <v>27</v>
      </c>
      <c r="G102" s="22" t="s">
        <v>50</v>
      </c>
      <c r="H102" s="22" t="s">
        <v>39</v>
      </c>
      <c r="I102" s="22" t="s">
        <v>30</v>
      </c>
      <c r="J102" s="22" t="s">
        <v>31</v>
      </c>
      <c r="K102" s="22" t="s">
        <v>106</v>
      </c>
      <c r="L102" s="22" t="s">
        <v>57</v>
      </c>
      <c r="M102" s="22" t="s">
        <v>24</v>
      </c>
      <c r="N102" s="22">
        <v>31</v>
      </c>
      <c r="O102" s="26">
        <v>52990</v>
      </c>
      <c r="P102" s="22">
        <v>0.18</v>
      </c>
      <c r="Q102" s="30">
        <v>35100</v>
      </c>
      <c r="R102" s="33">
        <f>Table1_1[[#This Row],[Units Sold]]*Table1_1[[#This Row],[Unit Price]]*1-Table1_1[[#This Row],[Discount]]</f>
        <v>1642689.82</v>
      </c>
      <c r="S102" s="33">
        <f>Table1_1[[#This Row],[Units Sold]]*Table1_1[[#This Row],[Unit Cost]]</f>
        <v>1088100</v>
      </c>
      <c r="T102" s="33">
        <f>Table1_1[[#This Row],[Sales Amount]]-S102</f>
        <v>554589.82000000007</v>
      </c>
      <c r="U102" s="32">
        <f>IFERROR(Table1_1[[#This Row],[Profit/loss]]/Table1_1[[#This Row],[Sales Amount]],0)</f>
        <v>0.33761079739326566</v>
      </c>
    </row>
    <row r="103" spans="1:21" ht="18" x14ac:dyDescent="0.35">
      <c r="A103" s="21" t="s">
        <v>209</v>
      </c>
      <c r="B103" s="36">
        <v>45355</v>
      </c>
      <c r="C103" s="22">
        <f>YEAR(Table1_1[[#This Row],[Order Date]])</f>
        <v>2024</v>
      </c>
      <c r="D103" s="22" t="str">
        <f>TEXT(Table1_1[[#This Row],[Order Date]],"MMMM")</f>
        <v>March</v>
      </c>
      <c r="E103" s="22" t="s">
        <v>16</v>
      </c>
      <c r="F103" s="22" t="s">
        <v>17</v>
      </c>
      <c r="G103" s="22" t="s">
        <v>84</v>
      </c>
      <c r="H103" s="22" t="s">
        <v>29</v>
      </c>
      <c r="I103" s="22" t="s">
        <v>54</v>
      </c>
      <c r="J103" s="22" t="s">
        <v>90</v>
      </c>
      <c r="K103" s="22" t="s">
        <v>1621</v>
      </c>
      <c r="L103" s="22" t="s">
        <v>23</v>
      </c>
      <c r="M103" s="22" t="s">
        <v>78</v>
      </c>
      <c r="N103" s="22">
        <v>19</v>
      </c>
      <c r="O103" s="26">
        <v>31990</v>
      </c>
      <c r="P103" s="22">
        <v>0.12</v>
      </c>
      <c r="Q103" s="30">
        <v>21800</v>
      </c>
      <c r="R103" s="33">
        <f>Table1_1[[#This Row],[Units Sold]]*Table1_1[[#This Row],[Unit Price]]*1-Table1_1[[#This Row],[Discount]]</f>
        <v>607809.88</v>
      </c>
      <c r="S103" s="33">
        <f>Table1_1[[#This Row],[Units Sold]]*Table1_1[[#This Row],[Unit Cost]]</f>
        <v>414200</v>
      </c>
      <c r="T103" s="33">
        <f>Table1_1[[#This Row],[Sales Amount]]-S103</f>
        <v>193609.88</v>
      </c>
      <c r="U103" s="32">
        <f>IFERROR(Table1_1[[#This Row],[Profit/loss]]/Table1_1[[#This Row],[Sales Amount]],0)</f>
        <v>0.31853690828454451</v>
      </c>
    </row>
    <row r="104" spans="1:21" ht="18" x14ac:dyDescent="0.35">
      <c r="A104" s="21" t="s">
        <v>210</v>
      </c>
      <c r="B104" s="36">
        <v>45355</v>
      </c>
      <c r="C104" s="22">
        <f>YEAR(Table1_1[[#This Row],[Order Date]])</f>
        <v>2024</v>
      </c>
      <c r="D104" s="22" t="str">
        <f>TEXT(Table1_1[[#This Row],[Order Date]],"MMMM")</f>
        <v>March</v>
      </c>
      <c r="E104" s="22" t="s">
        <v>36</v>
      </c>
      <c r="F104" s="22" t="s">
        <v>59</v>
      </c>
      <c r="G104" s="22" t="s">
        <v>60</v>
      </c>
      <c r="H104" s="22" t="s">
        <v>39</v>
      </c>
      <c r="I104" s="22" t="s">
        <v>70</v>
      </c>
      <c r="J104" s="22" t="s">
        <v>71</v>
      </c>
      <c r="K104" s="22" t="s">
        <v>80</v>
      </c>
      <c r="L104" s="22" t="s">
        <v>57</v>
      </c>
      <c r="M104" s="22" t="s">
        <v>78</v>
      </c>
      <c r="N104" s="22">
        <v>4</v>
      </c>
      <c r="O104" s="26">
        <v>1299</v>
      </c>
      <c r="P104" s="22">
        <v>0.2</v>
      </c>
      <c r="Q104" s="30">
        <v>720</v>
      </c>
      <c r="R104" s="33">
        <f>Table1_1[[#This Row],[Units Sold]]*Table1_1[[#This Row],[Unit Price]]*1-Table1_1[[#This Row],[Discount]]</f>
        <v>5195.8</v>
      </c>
      <c r="S104" s="33">
        <f>Table1_1[[#This Row],[Units Sold]]*Table1_1[[#This Row],[Unit Cost]]</f>
        <v>2880</v>
      </c>
      <c r="T104" s="33">
        <f>Table1_1[[#This Row],[Sales Amount]]-S104</f>
        <v>2315.8000000000002</v>
      </c>
      <c r="U104" s="32">
        <f>IFERROR(Table1_1[[#This Row],[Profit/loss]]/Table1_1[[#This Row],[Sales Amount]],0)</f>
        <v>0.44570614727279728</v>
      </c>
    </row>
    <row r="105" spans="1:21" ht="18" x14ac:dyDescent="0.35">
      <c r="A105" s="21" t="s">
        <v>211</v>
      </c>
      <c r="B105" s="36">
        <v>45355</v>
      </c>
      <c r="C105" s="22">
        <f>YEAR(Table1_1[[#This Row],[Order Date]])</f>
        <v>2024</v>
      </c>
      <c r="D105" s="22" t="str">
        <f>TEXT(Table1_1[[#This Row],[Order Date]],"MMMM")</f>
        <v>March</v>
      </c>
      <c r="E105" s="22" t="s">
        <v>48</v>
      </c>
      <c r="F105" s="22" t="s">
        <v>136</v>
      </c>
      <c r="G105" s="22" t="s">
        <v>18</v>
      </c>
      <c r="H105" s="22" t="s">
        <v>39</v>
      </c>
      <c r="I105" s="22" t="s">
        <v>54</v>
      </c>
      <c r="J105" s="22" t="s">
        <v>55</v>
      </c>
      <c r="K105" s="22" t="s">
        <v>1623</v>
      </c>
      <c r="L105" s="22" t="s">
        <v>33</v>
      </c>
      <c r="M105" s="22" t="s">
        <v>78</v>
      </c>
      <c r="N105" s="22">
        <v>33</v>
      </c>
      <c r="O105" s="26">
        <v>5890</v>
      </c>
      <c r="P105" s="22">
        <v>0.08</v>
      </c>
      <c r="Q105" s="30">
        <v>3980</v>
      </c>
      <c r="R105" s="33">
        <f>Table1_1[[#This Row],[Units Sold]]*Table1_1[[#This Row],[Unit Price]]*1-Table1_1[[#This Row],[Discount]]</f>
        <v>194369.92000000001</v>
      </c>
      <c r="S105" s="33">
        <f>Table1_1[[#This Row],[Units Sold]]*Table1_1[[#This Row],[Unit Cost]]</f>
        <v>131340</v>
      </c>
      <c r="T105" s="33">
        <f>Table1_1[[#This Row],[Sales Amount]]-S105</f>
        <v>63029.920000000013</v>
      </c>
      <c r="U105" s="32">
        <f>IFERROR(Table1_1[[#This Row],[Profit/loss]]/Table1_1[[#This Row],[Sales Amount]],0)</f>
        <v>0.32427815991280962</v>
      </c>
    </row>
    <row r="106" spans="1:21" ht="18" x14ac:dyDescent="0.35">
      <c r="A106" s="21" t="s">
        <v>212</v>
      </c>
      <c r="B106" s="36">
        <v>45356</v>
      </c>
      <c r="C106" s="22">
        <f>YEAR(Table1_1[[#This Row],[Order Date]])</f>
        <v>2024</v>
      </c>
      <c r="D106" s="22" t="str">
        <f>TEXT(Table1_1[[#This Row],[Order Date]],"MMMM")</f>
        <v>March</v>
      </c>
      <c r="E106" s="22" t="s">
        <v>48</v>
      </c>
      <c r="F106" s="22" t="s">
        <v>68</v>
      </c>
      <c r="G106" s="22" t="s">
        <v>28</v>
      </c>
      <c r="H106" s="22" t="s">
        <v>39</v>
      </c>
      <c r="I106" s="22" t="s">
        <v>20</v>
      </c>
      <c r="J106" s="22" t="s">
        <v>45</v>
      </c>
      <c r="K106" s="22" t="s">
        <v>196</v>
      </c>
      <c r="L106" s="22" t="s">
        <v>23</v>
      </c>
      <c r="M106" s="22" t="s">
        <v>24</v>
      </c>
      <c r="N106" s="22">
        <v>32</v>
      </c>
      <c r="O106" s="26">
        <v>2499</v>
      </c>
      <c r="P106" s="22">
        <v>0.05</v>
      </c>
      <c r="Q106" s="30">
        <v>1510</v>
      </c>
      <c r="R106" s="33">
        <f>Table1_1[[#This Row],[Units Sold]]*Table1_1[[#This Row],[Unit Price]]*1-Table1_1[[#This Row],[Discount]]</f>
        <v>79967.95</v>
      </c>
      <c r="S106" s="33">
        <f>Table1_1[[#This Row],[Units Sold]]*Table1_1[[#This Row],[Unit Cost]]</f>
        <v>48320</v>
      </c>
      <c r="T106" s="33">
        <f>Table1_1[[#This Row],[Sales Amount]]-S106</f>
        <v>31647.949999999997</v>
      </c>
      <c r="U106" s="32">
        <f>IFERROR(Table1_1[[#This Row],[Profit/loss]]/Table1_1[[#This Row],[Sales Amount]],0)</f>
        <v>0.39575792551891098</v>
      </c>
    </row>
    <row r="107" spans="1:21" ht="18" x14ac:dyDescent="0.35">
      <c r="A107" s="21" t="s">
        <v>213</v>
      </c>
      <c r="B107" s="36">
        <v>45357</v>
      </c>
      <c r="C107" s="22">
        <f>YEAR(Table1_1[[#This Row],[Order Date]])</f>
        <v>2024</v>
      </c>
      <c r="D107" s="22" t="str">
        <f>TEXT(Table1_1[[#This Row],[Order Date]],"MMMM")</f>
        <v>March</v>
      </c>
      <c r="E107" s="22" t="s">
        <v>26</v>
      </c>
      <c r="F107" s="22" t="s">
        <v>53</v>
      </c>
      <c r="G107" s="22" t="s">
        <v>50</v>
      </c>
      <c r="H107" s="22" t="s">
        <v>39</v>
      </c>
      <c r="I107" s="22" t="s">
        <v>40</v>
      </c>
      <c r="J107" s="22" t="s">
        <v>76</v>
      </c>
      <c r="K107" s="22" t="s">
        <v>1620</v>
      </c>
      <c r="L107" s="22" t="s">
        <v>57</v>
      </c>
      <c r="M107" s="22" t="s">
        <v>66</v>
      </c>
      <c r="N107" s="22">
        <v>22</v>
      </c>
      <c r="O107" s="26">
        <v>52990</v>
      </c>
      <c r="P107" s="22">
        <v>0.2</v>
      </c>
      <c r="Q107" s="30">
        <v>39500</v>
      </c>
      <c r="R107" s="33">
        <f>Table1_1[[#This Row],[Units Sold]]*Table1_1[[#This Row],[Unit Price]]*1-Table1_1[[#This Row],[Discount]]</f>
        <v>1165779.8</v>
      </c>
      <c r="S107" s="33">
        <f>Table1_1[[#This Row],[Units Sold]]*Table1_1[[#This Row],[Unit Cost]]</f>
        <v>869000</v>
      </c>
      <c r="T107" s="33">
        <f>Table1_1[[#This Row],[Sales Amount]]-S107</f>
        <v>296779.80000000005</v>
      </c>
      <c r="U107" s="32">
        <f>IFERROR(Table1_1[[#This Row],[Profit/loss]]/Table1_1[[#This Row],[Sales Amount]],0)</f>
        <v>0.2545762072734491</v>
      </c>
    </row>
    <row r="108" spans="1:21" ht="18" x14ac:dyDescent="0.35">
      <c r="A108" s="21" t="s">
        <v>214</v>
      </c>
      <c r="B108" s="36">
        <v>45357</v>
      </c>
      <c r="C108" s="22">
        <f>YEAR(Table1_1[[#This Row],[Order Date]])</f>
        <v>2024</v>
      </c>
      <c r="D108" s="22" t="str">
        <f>TEXT(Table1_1[[#This Row],[Order Date]],"MMMM")</f>
        <v>March</v>
      </c>
      <c r="E108" s="22" t="s">
        <v>16</v>
      </c>
      <c r="F108" s="22" t="s">
        <v>98</v>
      </c>
      <c r="G108" s="22" t="s">
        <v>50</v>
      </c>
      <c r="H108" s="22" t="s">
        <v>39</v>
      </c>
      <c r="I108" s="22" t="s">
        <v>30</v>
      </c>
      <c r="J108" s="22" t="s">
        <v>61</v>
      </c>
      <c r="K108" s="22" t="s">
        <v>96</v>
      </c>
      <c r="L108" s="22" t="s">
        <v>33</v>
      </c>
      <c r="M108" s="22" t="s">
        <v>24</v>
      </c>
      <c r="N108" s="22">
        <v>29</v>
      </c>
      <c r="O108" s="26">
        <v>25110</v>
      </c>
      <c r="P108" s="22">
        <v>0.2</v>
      </c>
      <c r="Q108" s="30">
        <v>16730</v>
      </c>
      <c r="R108" s="33">
        <f>Table1_1[[#This Row],[Units Sold]]*Table1_1[[#This Row],[Unit Price]]*1-Table1_1[[#This Row],[Discount]]</f>
        <v>728189.8</v>
      </c>
      <c r="S108" s="33">
        <f>Table1_1[[#This Row],[Units Sold]]*Table1_1[[#This Row],[Unit Cost]]</f>
        <v>485170</v>
      </c>
      <c r="T108" s="33">
        <f>Table1_1[[#This Row],[Sales Amount]]-S108</f>
        <v>243019.80000000005</v>
      </c>
      <c r="U108" s="32">
        <f>IFERROR(Table1_1[[#This Row],[Profit/loss]]/Table1_1[[#This Row],[Sales Amount]],0)</f>
        <v>0.33373139805034352</v>
      </c>
    </row>
    <row r="109" spans="1:21" ht="18" x14ac:dyDescent="0.35">
      <c r="A109" s="21" t="s">
        <v>215</v>
      </c>
      <c r="B109" s="36">
        <v>45357</v>
      </c>
      <c r="C109" s="22">
        <f>YEAR(Table1_1[[#This Row],[Order Date]])</f>
        <v>2024</v>
      </c>
      <c r="D109" s="22" t="str">
        <f>TEXT(Table1_1[[#This Row],[Order Date]],"MMMM")</f>
        <v>March</v>
      </c>
      <c r="E109" s="22" t="s">
        <v>82</v>
      </c>
      <c r="F109" s="22" t="s">
        <v>87</v>
      </c>
      <c r="G109" s="22" t="s">
        <v>105</v>
      </c>
      <c r="H109" s="22" t="s">
        <v>29</v>
      </c>
      <c r="I109" s="22" t="s">
        <v>20</v>
      </c>
      <c r="J109" s="22" t="s">
        <v>21</v>
      </c>
      <c r="K109" s="22" t="s">
        <v>22</v>
      </c>
      <c r="L109" s="22" t="s">
        <v>57</v>
      </c>
      <c r="M109" s="22" t="s">
        <v>24</v>
      </c>
      <c r="N109" s="22">
        <v>13</v>
      </c>
      <c r="O109" s="26">
        <v>4499</v>
      </c>
      <c r="P109" s="22">
        <v>0.1</v>
      </c>
      <c r="Q109" s="30">
        <v>2910</v>
      </c>
      <c r="R109" s="33">
        <f>Table1_1[[#This Row],[Units Sold]]*Table1_1[[#This Row],[Unit Price]]*1-Table1_1[[#This Row],[Discount]]</f>
        <v>58486.9</v>
      </c>
      <c r="S109" s="33">
        <f>Table1_1[[#This Row],[Units Sold]]*Table1_1[[#This Row],[Unit Cost]]</f>
        <v>37830</v>
      </c>
      <c r="T109" s="33">
        <f>Table1_1[[#This Row],[Sales Amount]]-S109</f>
        <v>20656.900000000001</v>
      </c>
      <c r="U109" s="32">
        <f>IFERROR(Table1_1[[#This Row],[Profit/loss]]/Table1_1[[#This Row],[Sales Amount]],0)</f>
        <v>0.35318849178192041</v>
      </c>
    </row>
    <row r="110" spans="1:21" ht="18" x14ac:dyDescent="0.35">
      <c r="A110" s="21" t="s">
        <v>216</v>
      </c>
      <c r="B110" s="36">
        <v>45358</v>
      </c>
      <c r="C110" s="22">
        <f>YEAR(Table1_1[[#This Row],[Order Date]])</f>
        <v>2024</v>
      </c>
      <c r="D110" s="22" t="str">
        <f>TEXT(Table1_1[[#This Row],[Order Date]],"MMMM")</f>
        <v>March</v>
      </c>
      <c r="E110" s="22" t="s">
        <v>16</v>
      </c>
      <c r="F110" s="22" t="s">
        <v>126</v>
      </c>
      <c r="G110" s="22" t="s">
        <v>101</v>
      </c>
      <c r="H110" s="22" t="s">
        <v>29</v>
      </c>
      <c r="I110" s="22" t="s">
        <v>40</v>
      </c>
      <c r="J110" s="22" t="s">
        <v>64</v>
      </c>
      <c r="K110" s="22" t="s">
        <v>1629</v>
      </c>
      <c r="L110" s="22" t="s">
        <v>57</v>
      </c>
      <c r="M110" s="22" t="s">
        <v>24</v>
      </c>
      <c r="N110" s="22">
        <v>1</v>
      </c>
      <c r="O110" s="26">
        <v>3299</v>
      </c>
      <c r="P110" s="22">
        <v>0.1</v>
      </c>
      <c r="Q110" s="30">
        <v>2050</v>
      </c>
      <c r="R110" s="33">
        <f>Table1_1[[#This Row],[Units Sold]]*Table1_1[[#This Row],[Unit Price]]*1-Table1_1[[#This Row],[Discount]]</f>
        <v>3298.9</v>
      </c>
      <c r="S110" s="33">
        <f>Table1_1[[#This Row],[Units Sold]]*Table1_1[[#This Row],[Unit Cost]]</f>
        <v>2050</v>
      </c>
      <c r="T110" s="33">
        <f>Table1_1[[#This Row],[Sales Amount]]-S110</f>
        <v>1248.9000000000001</v>
      </c>
      <c r="U110" s="32">
        <f>IFERROR(Table1_1[[#This Row],[Profit/loss]]/Table1_1[[#This Row],[Sales Amount]],0)</f>
        <v>0.37858073903422357</v>
      </c>
    </row>
    <row r="111" spans="1:21" ht="18" x14ac:dyDescent="0.35">
      <c r="A111" s="21" t="s">
        <v>217</v>
      </c>
      <c r="B111" s="36">
        <v>45358</v>
      </c>
      <c r="C111" s="22">
        <f>YEAR(Table1_1[[#This Row],[Order Date]])</f>
        <v>2024</v>
      </c>
      <c r="D111" s="22" t="str">
        <f>TEXT(Table1_1[[#This Row],[Order Date]],"MMMM")</f>
        <v>March</v>
      </c>
      <c r="E111" s="22" t="s">
        <v>16</v>
      </c>
      <c r="F111" s="22" t="s">
        <v>17</v>
      </c>
      <c r="G111" s="22" t="s">
        <v>60</v>
      </c>
      <c r="H111" s="22" t="s">
        <v>19</v>
      </c>
      <c r="I111" s="22" t="s">
        <v>30</v>
      </c>
      <c r="J111" s="22" t="s">
        <v>31</v>
      </c>
      <c r="K111" s="22" t="s">
        <v>85</v>
      </c>
      <c r="L111" s="22" t="s">
        <v>33</v>
      </c>
      <c r="M111" s="22" t="s">
        <v>34</v>
      </c>
      <c r="N111" s="22">
        <v>28</v>
      </c>
      <c r="O111" s="26">
        <v>43500</v>
      </c>
      <c r="P111" s="22">
        <v>0.08</v>
      </c>
      <c r="Q111" s="30">
        <v>29520</v>
      </c>
      <c r="R111" s="33">
        <f>Table1_1[[#This Row],[Units Sold]]*Table1_1[[#This Row],[Unit Price]]*1-Table1_1[[#This Row],[Discount]]</f>
        <v>1217999.92</v>
      </c>
      <c r="S111" s="33">
        <f>Table1_1[[#This Row],[Units Sold]]*Table1_1[[#This Row],[Unit Cost]]</f>
        <v>826560</v>
      </c>
      <c r="T111" s="33">
        <f>Table1_1[[#This Row],[Sales Amount]]-S111</f>
        <v>391439.91999999993</v>
      </c>
      <c r="U111" s="32">
        <f>IFERROR(Table1_1[[#This Row],[Profit/loss]]/Table1_1[[#This Row],[Sales Amount]],0)</f>
        <v>0.32137926577203713</v>
      </c>
    </row>
    <row r="112" spans="1:21" ht="18" x14ac:dyDescent="0.35">
      <c r="A112" s="21" t="s">
        <v>218</v>
      </c>
      <c r="B112" s="36">
        <v>45358</v>
      </c>
      <c r="C112" s="22">
        <f>YEAR(Table1_1[[#This Row],[Order Date]])</f>
        <v>2024</v>
      </c>
      <c r="D112" s="22" t="str">
        <f>TEXT(Table1_1[[#This Row],[Order Date]],"MMMM")</f>
        <v>March</v>
      </c>
      <c r="E112" s="22" t="s">
        <v>26</v>
      </c>
      <c r="F112" s="22" t="s">
        <v>53</v>
      </c>
      <c r="G112" s="22" t="s">
        <v>105</v>
      </c>
      <c r="H112" s="22" t="s">
        <v>39</v>
      </c>
      <c r="I112" s="22" t="s">
        <v>54</v>
      </c>
      <c r="J112" s="22" t="s">
        <v>90</v>
      </c>
      <c r="K112" s="22" t="s">
        <v>1621</v>
      </c>
      <c r="L112" s="22" t="s">
        <v>57</v>
      </c>
      <c r="M112" s="22" t="s">
        <v>66</v>
      </c>
      <c r="N112" s="22">
        <v>23</v>
      </c>
      <c r="O112" s="26">
        <v>31990</v>
      </c>
      <c r="P112" s="22">
        <v>0.12</v>
      </c>
      <c r="Q112" s="30">
        <v>21800</v>
      </c>
      <c r="R112" s="33">
        <f>Table1_1[[#This Row],[Units Sold]]*Table1_1[[#This Row],[Unit Price]]*1-Table1_1[[#This Row],[Discount]]</f>
        <v>735769.88</v>
      </c>
      <c r="S112" s="33">
        <f>Table1_1[[#This Row],[Units Sold]]*Table1_1[[#This Row],[Unit Cost]]</f>
        <v>501400</v>
      </c>
      <c r="T112" s="33">
        <f>Table1_1[[#This Row],[Sales Amount]]-S112</f>
        <v>234369.88</v>
      </c>
      <c r="U112" s="32">
        <f>IFERROR(Table1_1[[#This Row],[Profit/loss]]/Table1_1[[#This Row],[Sales Amount]],0)</f>
        <v>0.31853693168304198</v>
      </c>
    </row>
    <row r="113" spans="1:21" ht="18" x14ac:dyDescent="0.35">
      <c r="A113" s="21" t="s">
        <v>219</v>
      </c>
      <c r="B113" s="36">
        <v>45358</v>
      </c>
      <c r="C113" s="22">
        <f>YEAR(Table1_1[[#This Row],[Order Date]])</f>
        <v>2024</v>
      </c>
      <c r="D113" s="22" t="str">
        <f>TEXT(Table1_1[[#This Row],[Order Date]],"MMMM")</f>
        <v>March</v>
      </c>
      <c r="E113" s="22" t="s">
        <v>26</v>
      </c>
      <c r="F113" s="22" t="s">
        <v>27</v>
      </c>
      <c r="G113" s="22" t="s">
        <v>18</v>
      </c>
      <c r="H113" s="22" t="s">
        <v>39</v>
      </c>
      <c r="I113" s="22" t="s">
        <v>54</v>
      </c>
      <c r="J113" s="22" t="s">
        <v>55</v>
      </c>
      <c r="K113" s="22" t="s">
        <v>56</v>
      </c>
      <c r="L113" s="22" t="s">
        <v>57</v>
      </c>
      <c r="M113" s="22" t="s">
        <v>66</v>
      </c>
      <c r="N113" s="22">
        <v>32</v>
      </c>
      <c r="O113" s="26">
        <v>7299</v>
      </c>
      <c r="P113" s="22">
        <v>0.12</v>
      </c>
      <c r="Q113" s="30">
        <v>5010</v>
      </c>
      <c r="R113" s="33">
        <f>Table1_1[[#This Row],[Units Sold]]*Table1_1[[#This Row],[Unit Price]]*1-Table1_1[[#This Row],[Discount]]</f>
        <v>233567.88</v>
      </c>
      <c r="S113" s="33">
        <f>Table1_1[[#This Row],[Units Sold]]*Table1_1[[#This Row],[Unit Cost]]</f>
        <v>160320</v>
      </c>
      <c r="T113" s="33">
        <f>Table1_1[[#This Row],[Sales Amount]]-S113</f>
        <v>73247.88</v>
      </c>
      <c r="U113" s="32">
        <f>IFERROR(Table1_1[[#This Row],[Profit/loss]]/Table1_1[[#This Row],[Sales Amount]],0)</f>
        <v>0.31360425072146053</v>
      </c>
    </row>
    <row r="114" spans="1:21" ht="18" x14ac:dyDescent="0.35">
      <c r="A114" s="21" t="s">
        <v>220</v>
      </c>
      <c r="B114" s="36">
        <v>45359</v>
      </c>
      <c r="C114" s="22">
        <f>YEAR(Table1_1[[#This Row],[Order Date]])</f>
        <v>2024</v>
      </c>
      <c r="D114" s="22" t="str">
        <f>TEXT(Table1_1[[#This Row],[Order Date]],"MMMM")</f>
        <v>March</v>
      </c>
      <c r="E114" s="22" t="s">
        <v>26</v>
      </c>
      <c r="F114" s="22" t="s">
        <v>74</v>
      </c>
      <c r="G114" s="22" t="s">
        <v>18</v>
      </c>
      <c r="H114" s="22" t="s">
        <v>19</v>
      </c>
      <c r="I114" s="22" t="s">
        <v>30</v>
      </c>
      <c r="J114" s="22" t="s">
        <v>31</v>
      </c>
      <c r="K114" s="22" t="s">
        <v>32</v>
      </c>
      <c r="L114" s="22" t="s">
        <v>57</v>
      </c>
      <c r="M114" s="22" t="s">
        <v>34</v>
      </c>
      <c r="N114" s="22">
        <v>12</v>
      </c>
      <c r="O114" s="26">
        <v>38990</v>
      </c>
      <c r="P114" s="22">
        <v>0.15</v>
      </c>
      <c r="Q114" s="30">
        <v>25400</v>
      </c>
      <c r="R114" s="33">
        <f>Table1_1[[#This Row],[Units Sold]]*Table1_1[[#This Row],[Unit Price]]*1-Table1_1[[#This Row],[Discount]]</f>
        <v>467879.85</v>
      </c>
      <c r="S114" s="33">
        <f>Table1_1[[#This Row],[Units Sold]]*Table1_1[[#This Row],[Unit Cost]]</f>
        <v>304800</v>
      </c>
      <c r="T114" s="33">
        <f>Table1_1[[#This Row],[Sales Amount]]-S114</f>
        <v>163079.84999999998</v>
      </c>
      <c r="U114" s="32">
        <f>IFERROR(Table1_1[[#This Row],[Profit/loss]]/Table1_1[[#This Row],[Sales Amount]],0)</f>
        <v>0.34855070163846547</v>
      </c>
    </row>
    <row r="115" spans="1:21" ht="18" x14ac:dyDescent="0.35">
      <c r="A115" s="21" t="s">
        <v>221</v>
      </c>
      <c r="B115" s="36">
        <v>45360</v>
      </c>
      <c r="C115" s="22">
        <f>YEAR(Table1_1[[#This Row],[Order Date]])</f>
        <v>2024</v>
      </c>
      <c r="D115" s="22" t="str">
        <f>TEXT(Table1_1[[#This Row],[Order Date]],"MMMM")</f>
        <v>March</v>
      </c>
      <c r="E115" s="22" t="s">
        <v>36</v>
      </c>
      <c r="F115" s="22" t="s">
        <v>59</v>
      </c>
      <c r="G115" s="22" t="s">
        <v>38</v>
      </c>
      <c r="H115" s="22" t="s">
        <v>19</v>
      </c>
      <c r="I115" s="22" t="s">
        <v>20</v>
      </c>
      <c r="J115" s="22" t="s">
        <v>21</v>
      </c>
      <c r="K115" s="22" t="s">
        <v>51</v>
      </c>
      <c r="L115" s="22" t="s">
        <v>57</v>
      </c>
      <c r="M115" s="22" t="s">
        <v>24</v>
      </c>
      <c r="N115" s="22">
        <v>19</v>
      </c>
      <c r="O115" s="26">
        <v>5999</v>
      </c>
      <c r="P115" s="22">
        <v>0.12</v>
      </c>
      <c r="Q115" s="30">
        <v>3890</v>
      </c>
      <c r="R115" s="33">
        <f>Table1_1[[#This Row],[Units Sold]]*Table1_1[[#This Row],[Unit Price]]*1-Table1_1[[#This Row],[Discount]]</f>
        <v>113980.88</v>
      </c>
      <c r="S115" s="33">
        <f>Table1_1[[#This Row],[Units Sold]]*Table1_1[[#This Row],[Unit Cost]]</f>
        <v>73910</v>
      </c>
      <c r="T115" s="33">
        <f>Table1_1[[#This Row],[Sales Amount]]-S115</f>
        <v>40070.880000000005</v>
      </c>
      <c r="U115" s="32">
        <f>IFERROR(Table1_1[[#This Row],[Profit/loss]]/Table1_1[[#This Row],[Sales Amount]],0)</f>
        <v>0.3515579104144485</v>
      </c>
    </row>
    <row r="116" spans="1:21" ht="18" x14ac:dyDescent="0.35">
      <c r="A116" s="21" t="s">
        <v>222</v>
      </c>
      <c r="B116" s="36">
        <v>45360</v>
      </c>
      <c r="C116" s="22">
        <f>YEAR(Table1_1[[#This Row],[Order Date]])</f>
        <v>2024</v>
      </c>
      <c r="D116" s="22" t="str">
        <f>TEXT(Table1_1[[#This Row],[Order Date]],"MMMM")</f>
        <v>March</v>
      </c>
      <c r="E116" s="22" t="s">
        <v>36</v>
      </c>
      <c r="F116" s="22" t="s">
        <v>59</v>
      </c>
      <c r="G116" s="22" t="s">
        <v>60</v>
      </c>
      <c r="H116" s="22" t="s">
        <v>19</v>
      </c>
      <c r="I116" s="22" t="s">
        <v>40</v>
      </c>
      <c r="J116" s="22" t="s">
        <v>41</v>
      </c>
      <c r="K116" s="22" t="s">
        <v>42</v>
      </c>
      <c r="L116" s="22" t="s">
        <v>57</v>
      </c>
      <c r="M116" s="22" t="s">
        <v>34</v>
      </c>
      <c r="N116" s="22">
        <v>15</v>
      </c>
      <c r="O116" s="26">
        <v>55230</v>
      </c>
      <c r="P116" s="22">
        <v>0.18</v>
      </c>
      <c r="Q116" s="30">
        <v>33800</v>
      </c>
      <c r="R116" s="33">
        <f>Table1_1[[#This Row],[Units Sold]]*Table1_1[[#This Row],[Unit Price]]*1-Table1_1[[#This Row],[Discount]]</f>
        <v>828449.82</v>
      </c>
      <c r="S116" s="33">
        <f>Table1_1[[#This Row],[Units Sold]]*Table1_1[[#This Row],[Unit Cost]]</f>
        <v>507000</v>
      </c>
      <c r="T116" s="33">
        <f>Table1_1[[#This Row],[Sales Amount]]-S116</f>
        <v>321449.81999999995</v>
      </c>
      <c r="U116" s="32">
        <f>IFERROR(Table1_1[[#This Row],[Profit/loss]]/Table1_1[[#This Row],[Sales Amount]],0)</f>
        <v>0.38801362766908437</v>
      </c>
    </row>
    <row r="117" spans="1:21" ht="18" x14ac:dyDescent="0.35">
      <c r="A117" s="21" t="s">
        <v>223</v>
      </c>
      <c r="B117" s="36">
        <v>45361</v>
      </c>
      <c r="C117" s="22">
        <f>YEAR(Table1_1[[#This Row],[Order Date]])</f>
        <v>2024</v>
      </c>
      <c r="D117" s="22" t="str">
        <f>TEXT(Table1_1[[#This Row],[Order Date]],"MMMM")</f>
        <v>March</v>
      </c>
      <c r="E117" s="22" t="s">
        <v>26</v>
      </c>
      <c r="F117" s="22" t="s">
        <v>163</v>
      </c>
      <c r="G117" s="22" t="s">
        <v>60</v>
      </c>
      <c r="H117" s="22" t="s">
        <v>29</v>
      </c>
      <c r="I117" s="22" t="s">
        <v>30</v>
      </c>
      <c r="J117" s="22" t="s">
        <v>31</v>
      </c>
      <c r="K117" s="22" t="s">
        <v>106</v>
      </c>
      <c r="L117" s="22" t="s">
        <v>33</v>
      </c>
      <c r="M117" s="22" t="s">
        <v>24</v>
      </c>
      <c r="N117" s="22">
        <v>1</v>
      </c>
      <c r="O117" s="26">
        <v>52990</v>
      </c>
      <c r="P117" s="22">
        <v>0.12</v>
      </c>
      <c r="Q117" s="30">
        <v>35100</v>
      </c>
      <c r="R117" s="33">
        <f>Table1_1[[#This Row],[Units Sold]]*Table1_1[[#This Row],[Unit Price]]*1-Table1_1[[#This Row],[Discount]]</f>
        <v>52989.88</v>
      </c>
      <c r="S117" s="33">
        <f>Table1_1[[#This Row],[Units Sold]]*Table1_1[[#This Row],[Unit Cost]]</f>
        <v>35100</v>
      </c>
      <c r="T117" s="33">
        <f>Table1_1[[#This Row],[Sales Amount]]-S117</f>
        <v>17889.879999999997</v>
      </c>
      <c r="U117" s="32">
        <f>IFERROR(Table1_1[[#This Row],[Profit/loss]]/Table1_1[[#This Row],[Sales Amount]],0)</f>
        <v>0.33760936994007157</v>
      </c>
    </row>
    <row r="118" spans="1:21" ht="18" x14ac:dyDescent="0.35">
      <c r="A118" s="21" t="s">
        <v>224</v>
      </c>
      <c r="B118" s="36">
        <v>45362</v>
      </c>
      <c r="C118" s="22">
        <f>YEAR(Table1_1[[#This Row],[Order Date]])</f>
        <v>2024</v>
      </c>
      <c r="D118" s="22" t="str">
        <f>TEXT(Table1_1[[#This Row],[Order Date]],"MMMM")</f>
        <v>March</v>
      </c>
      <c r="E118" s="22" t="s">
        <v>16</v>
      </c>
      <c r="F118" s="22" t="s">
        <v>126</v>
      </c>
      <c r="G118" s="22" t="s">
        <v>60</v>
      </c>
      <c r="H118" s="22" t="s">
        <v>19</v>
      </c>
      <c r="I118" s="22" t="s">
        <v>54</v>
      </c>
      <c r="J118" s="22" t="s">
        <v>90</v>
      </c>
      <c r="K118" s="22" t="s">
        <v>1621</v>
      </c>
      <c r="L118" s="22" t="s">
        <v>23</v>
      </c>
      <c r="M118" s="22" t="s">
        <v>34</v>
      </c>
      <c r="N118" s="22">
        <v>4</v>
      </c>
      <c r="O118" s="26">
        <v>31990</v>
      </c>
      <c r="P118" s="22">
        <v>0.18</v>
      </c>
      <c r="Q118" s="30">
        <v>21800</v>
      </c>
      <c r="R118" s="33">
        <f>Table1_1[[#This Row],[Units Sold]]*Table1_1[[#This Row],[Unit Price]]*1-Table1_1[[#This Row],[Discount]]</f>
        <v>127959.82</v>
      </c>
      <c r="S118" s="33">
        <f>Table1_1[[#This Row],[Units Sold]]*Table1_1[[#This Row],[Unit Cost]]</f>
        <v>87200</v>
      </c>
      <c r="T118" s="33">
        <f>Table1_1[[#This Row],[Sales Amount]]-S118</f>
        <v>40759.820000000007</v>
      </c>
      <c r="U118" s="32">
        <f>IFERROR(Table1_1[[#This Row],[Profit/loss]]/Table1_1[[#This Row],[Sales Amount]],0)</f>
        <v>0.31853608421768648</v>
      </c>
    </row>
    <row r="119" spans="1:21" ht="18" x14ac:dyDescent="0.35">
      <c r="A119" s="21" t="s">
        <v>225</v>
      </c>
      <c r="B119" s="36">
        <v>45362</v>
      </c>
      <c r="C119" s="22">
        <f>YEAR(Table1_1[[#This Row],[Order Date]])</f>
        <v>2024</v>
      </c>
      <c r="D119" s="22" t="str">
        <f>TEXT(Table1_1[[#This Row],[Order Date]],"MMMM")</f>
        <v>March</v>
      </c>
      <c r="E119" s="22" t="s">
        <v>48</v>
      </c>
      <c r="F119" s="22" t="s">
        <v>136</v>
      </c>
      <c r="G119" s="22" t="s">
        <v>18</v>
      </c>
      <c r="H119" s="22" t="s">
        <v>29</v>
      </c>
      <c r="I119" s="22" t="s">
        <v>40</v>
      </c>
      <c r="J119" s="22" t="s">
        <v>76</v>
      </c>
      <c r="K119" s="22" t="s">
        <v>113</v>
      </c>
      <c r="L119" s="22" t="s">
        <v>23</v>
      </c>
      <c r="M119" s="22" t="s">
        <v>34</v>
      </c>
      <c r="N119" s="22">
        <v>7</v>
      </c>
      <c r="O119" s="26">
        <v>22999</v>
      </c>
      <c r="P119" s="22">
        <v>0.18</v>
      </c>
      <c r="Q119" s="30">
        <v>15100</v>
      </c>
      <c r="R119" s="33">
        <f>Table1_1[[#This Row],[Units Sold]]*Table1_1[[#This Row],[Unit Price]]*1-Table1_1[[#This Row],[Discount]]</f>
        <v>160992.82</v>
      </c>
      <c r="S119" s="33">
        <f>Table1_1[[#This Row],[Units Sold]]*Table1_1[[#This Row],[Unit Cost]]</f>
        <v>105700</v>
      </c>
      <c r="T119" s="33">
        <f>Table1_1[[#This Row],[Sales Amount]]-S119</f>
        <v>55292.820000000007</v>
      </c>
      <c r="U119" s="32">
        <f>IFERROR(Table1_1[[#This Row],[Profit/loss]]/Table1_1[[#This Row],[Sales Amount]],0)</f>
        <v>0.34344898114089811</v>
      </c>
    </row>
    <row r="120" spans="1:21" ht="18" x14ac:dyDescent="0.35">
      <c r="A120" s="21" t="s">
        <v>226</v>
      </c>
      <c r="B120" s="36">
        <v>45362</v>
      </c>
      <c r="C120" s="22">
        <f>YEAR(Table1_1[[#This Row],[Order Date]])</f>
        <v>2024</v>
      </c>
      <c r="D120" s="22" t="str">
        <f>TEXT(Table1_1[[#This Row],[Order Date]],"MMMM")</f>
        <v>March</v>
      </c>
      <c r="E120" s="22" t="s">
        <v>48</v>
      </c>
      <c r="F120" s="22" t="s">
        <v>68</v>
      </c>
      <c r="G120" s="22" t="s">
        <v>69</v>
      </c>
      <c r="H120" s="22" t="s">
        <v>39</v>
      </c>
      <c r="I120" s="22" t="s">
        <v>40</v>
      </c>
      <c r="J120" s="22" t="s">
        <v>64</v>
      </c>
      <c r="K120" s="22" t="s">
        <v>1627</v>
      </c>
      <c r="L120" s="22" t="s">
        <v>57</v>
      </c>
      <c r="M120" s="22" t="s">
        <v>78</v>
      </c>
      <c r="N120" s="22">
        <v>39</v>
      </c>
      <c r="O120" s="26">
        <v>4490</v>
      </c>
      <c r="P120" s="22">
        <v>0.18</v>
      </c>
      <c r="Q120" s="30">
        <v>2950</v>
      </c>
      <c r="R120" s="33">
        <f>Table1_1[[#This Row],[Units Sold]]*Table1_1[[#This Row],[Unit Price]]*1-Table1_1[[#This Row],[Discount]]</f>
        <v>175109.82</v>
      </c>
      <c r="S120" s="33">
        <f>Table1_1[[#This Row],[Units Sold]]*Table1_1[[#This Row],[Unit Cost]]</f>
        <v>115050</v>
      </c>
      <c r="T120" s="33">
        <f>Table1_1[[#This Row],[Sales Amount]]-S120</f>
        <v>60059.820000000007</v>
      </c>
      <c r="U120" s="32">
        <f>IFERROR(Table1_1[[#This Row],[Profit/loss]]/Table1_1[[#This Row],[Sales Amount]],0)</f>
        <v>0.34298373443591001</v>
      </c>
    </row>
    <row r="121" spans="1:21" ht="18" x14ac:dyDescent="0.35">
      <c r="A121" s="21" t="s">
        <v>227</v>
      </c>
      <c r="B121" s="36">
        <v>45362</v>
      </c>
      <c r="C121" s="22">
        <f>YEAR(Table1_1[[#This Row],[Order Date]])</f>
        <v>2024</v>
      </c>
      <c r="D121" s="22" t="str">
        <f>TEXT(Table1_1[[#This Row],[Order Date]],"MMMM")</f>
        <v>March</v>
      </c>
      <c r="E121" s="22" t="s">
        <v>48</v>
      </c>
      <c r="F121" s="22" t="s">
        <v>68</v>
      </c>
      <c r="G121" s="22" t="s">
        <v>105</v>
      </c>
      <c r="H121" s="22" t="s">
        <v>39</v>
      </c>
      <c r="I121" s="22" t="s">
        <v>30</v>
      </c>
      <c r="J121" s="22" t="s">
        <v>31</v>
      </c>
      <c r="K121" s="22" t="s">
        <v>106</v>
      </c>
      <c r="L121" s="22" t="s">
        <v>33</v>
      </c>
      <c r="M121" s="22" t="s">
        <v>24</v>
      </c>
      <c r="N121" s="22">
        <v>3</v>
      </c>
      <c r="O121" s="26">
        <v>52990</v>
      </c>
      <c r="P121" s="22">
        <v>0.05</v>
      </c>
      <c r="Q121" s="30">
        <v>35100</v>
      </c>
      <c r="R121" s="33">
        <f>Table1_1[[#This Row],[Units Sold]]*Table1_1[[#This Row],[Unit Price]]*1-Table1_1[[#This Row],[Discount]]</f>
        <v>158969.95000000001</v>
      </c>
      <c r="S121" s="33">
        <f>Table1_1[[#This Row],[Units Sold]]*Table1_1[[#This Row],[Unit Cost]]</f>
        <v>105300</v>
      </c>
      <c r="T121" s="33">
        <f>Table1_1[[#This Row],[Sales Amount]]-S121</f>
        <v>53669.950000000012</v>
      </c>
      <c r="U121" s="32">
        <f>IFERROR(Table1_1[[#This Row],[Profit/loss]]/Table1_1[[#This Row],[Sales Amount]],0)</f>
        <v>0.33761066163762399</v>
      </c>
    </row>
    <row r="122" spans="1:21" ht="18" x14ac:dyDescent="0.35">
      <c r="A122" s="21" t="s">
        <v>228</v>
      </c>
      <c r="B122" s="36">
        <v>45363</v>
      </c>
      <c r="C122" s="22">
        <f>YEAR(Table1_1[[#This Row],[Order Date]])</f>
        <v>2024</v>
      </c>
      <c r="D122" s="22" t="str">
        <f>TEXT(Table1_1[[#This Row],[Order Date]],"MMMM")</f>
        <v>March</v>
      </c>
      <c r="E122" s="22" t="s">
        <v>82</v>
      </c>
      <c r="F122" s="22" t="s">
        <v>183</v>
      </c>
      <c r="G122" s="22" t="s">
        <v>105</v>
      </c>
      <c r="H122" s="22" t="s">
        <v>29</v>
      </c>
      <c r="I122" s="22" t="s">
        <v>30</v>
      </c>
      <c r="J122" s="22" t="s">
        <v>61</v>
      </c>
      <c r="K122" s="22" t="s">
        <v>96</v>
      </c>
      <c r="L122" s="22" t="s">
        <v>33</v>
      </c>
      <c r="M122" s="22" t="s">
        <v>24</v>
      </c>
      <c r="N122" s="22">
        <v>31</v>
      </c>
      <c r="O122" s="26">
        <v>25110</v>
      </c>
      <c r="P122" s="22">
        <v>0.18</v>
      </c>
      <c r="Q122" s="30">
        <v>16730</v>
      </c>
      <c r="R122" s="33">
        <f>Table1_1[[#This Row],[Units Sold]]*Table1_1[[#This Row],[Unit Price]]*1-Table1_1[[#This Row],[Discount]]</f>
        <v>778409.82</v>
      </c>
      <c r="S122" s="33">
        <f>Table1_1[[#This Row],[Units Sold]]*Table1_1[[#This Row],[Unit Cost]]</f>
        <v>518630</v>
      </c>
      <c r="T122" s="33">
        <f>Table1_1[[#This Row],[Sales Amount]]-S122</f>
        <v>259779.81999999995</v>
      </c>
      <c r="U122" s="32">
        <f>IFERROR(Table1_1[[#This Row],[Profit/loss]]/Table1_1[[#This Row],[Sales Amount]],0)</f>
        <v>0.33373142697506047</v>
      </c>
    </row>
    <row r="123" spans="1:21" ht="18" x14ac:dyDescent="0.35">
      <c r="A123" s="21" t="s">
        <v>229</v>
      </c>
      <c r="B123" s="36">
        <v>45363</v>
      </c>
      <c r="C123" s="22">
        <f>YEAR(Table1_1[[#This Row],[Order Date]])</f>
        <v>2024</v>
      </c>
      <c r="D123" s="22" t="str">
        <f>TEXT(Table1_1[[#This Row],[Order Date]],"MMMM")</f>
        <v>March</v>
      </c>
      <c r="E123" s="22" t="s">
        <v>16</v>
      </c>
      <c r="F123" s="22" t="s">
        <v>17</v>
      </c>
      <c r="G123" s="22" t="s">
        <v>60</v>
      </c>
      <c r="H123" s="22" t="s">
        <v>39</v>
      </c>
      <c r="I123" s="22" t="s">
        <v>54</v>
      </c>
      <c r="J123" s="22" t="s">
        <v>55</v>
      </c>
      <c r="K123" s="22" t="s">
        <v>1623</v>
      </c>
      <c r="L123" s="22" t="s">
        <v>57</v>
      </c>
      <c r="M123" s="22" t="s">
        <v>66</v>
      </c>
      <c r="N123" s="22">
        <v>21</v>
      </c>
      <c r="O123" s="26">
        <v>5890</v>
      </c>
      <c r="P123" s="22">
        <v>0.18</v>
      </c>
      <c r="Q123" s="30">
        <v>3980</v>
      </c>
      <c r="R123" s="33">
        <f>Table1_1[[#This Row],[Units Sold]]*Table1_1[[#This Row],[Unit Price]]*1-Table1_1[[#This Row],[Discount]]</f>
        <v>123689.82</v>
      </c>
      <c r="S123" s="33">
        <f>Table1_1[[#This Row],[Units Sold]]*Table1_1[[#This Row],[Unit Cost]]</f>
        <v>83580</v>
      </c>
      <c r="T123" s="33">
        <f>Table1_1[[#This Row],[Sales Amount]]-S123</f>
        <v>40109.820000000007</v>
      </c>
      <c r="U123" s="32">
        <f>IFERROR(Table1_1[[#This Row],[Profit/loss]]/Table1_1[[#This Row],[Sales Amount]],0)</f>
        <v>0.32427745468462971</v>
      </c>
    </row>
    <row r="124" spans="1:21" ht="18" x14ac:dyDescent="0.35">
      <c r="A124" s="21" t="s">
        <v>230</v>
      </c>
      <c r="B124" s="36">
        <v>45365</v>
      </c>
      <c r="C124" s="22">
        <f>YEAR(Table1_1[[#This Row],[Order Date]])</f>
        <v>2024</v>
      </c>
      <c r="D124" s="22" t="str">
        <f>TEXT(Table1_1[[#This Row],[Order Date]],"MMMM")</f>
        <v>March</v>
      </c>
      <c r="E124" s="22" t="s">
        <v>26</v>
      </c>
      <c r="F124" s="22" t="s">
        <v>27</v>
      </c>
      <c r="G124" s="22" t="s">
        <v>84</v>
      </c>
      <c r="H124" s="22" t="s">
        <v>19</v>
      </c>
      <c r="I124" s="22" t="s">
        <v>70</v>
      </c>
      <c r="J124" s="22" t="s">
        <v>71</v>
      </c>
      <c r="K124" s="22" t="s">
        <v>88</v>
      </c>
      <c r="L124" s="22" t="s">
        <v>23</v>
      </c>
      <c r="M124" s="22" t="s">
        <v>78</v>
      </c>
      <c r="N124" s="22">
        <v>16</v>
      </c>
      <c r="O124" s="26">
        <v>999</v>
      </c>
      <c r="P124" s="22">
        <v>0.18</v>
      </c>
      <c r="Q124" s="30">
        <v>540</v>
      </c>
      <c r="R124" s="33">
        <f>Table1_1[[#This Row],[Units Sold]]*Table1_1[[#This Row],[Unit Price]]*1-Table1_1[[#This Row],[Discount]]</f>
        <v>15983.82</v>
      </c>
      <c r="S124" s="33">
        <f>Table1_1[[#This Row],[Units Sold]]*Table1_1[[#This Row],[Unit Cost]]</f>
        <v>8640</v>
      </c>
      <c r="T124" s="33">
        <f>Table1_1[[#This Row],[Sales Amount]]-S124</f>
        <v>7343.82</v>
      </c>
      <c r="U124" s="32">
        <f>IFERROR(Table1_1[[#This Row],[Profit/loss]]/Table1_1[[#This Row],[Sales Amount]],0)</f>
        <v>0.45945337222266014</v>
      </c>
    </row>
    <row r="125" spans="1:21" ht="18" x14ac:dyDescent="0.35">
      <c r="A125" s="21" t="s">
        <v>231</v>
      </c>
      <c r="B125" s="36">
        <v>45365</v>
      </c>
      <c r="C125" s="22">
        <f>YEAR(Table1_1[[#This Row],[Order Date]])</f>
        <v>2024</v>
      </c>
      <c r="D125" s="22" t="str">
        <f>TEXT(Table1_1[[#This Row],[Order Date]],"MMMM")</f>
        <v>March</v>
      </c>
      <c r="E125" s="22" t="s">
        <v>16</v>
      </c>
      <c r="F125" s="22" t="s">
        <v>98</v>
      </c>
      <c r="G125" s="22" t="s">
        <v>84</v>
      </c>
      <c r="H125" s="22" t="s">
        <v>39</v>
      </c>
      <c r="I125" s="22" t="s">
        <v>20</v>
      </c>
      <c r="J125" s="22" t="s">
        <v>45</v>
      </c>
      <c r="K125" s="22" t="s">
        <v>196</v>
      </c>
      <c r="L125" s="22" t="s">
        <v>23</v>
      </c>
      <c r="M125" s="22" t="s">
        <v>66</v>
      </c>
      <c r="N125" s="22">
        <v>11</v>
      </c>
      <c r="O125" s="26">
        <v>2499</v>
      </c>
      <c r="P125" s="22">
        <v>0.05</v>
      </c>
      <c r="Q125" s="30">
        <v>1510</v>
      </c>
      <c r="R125" s="33">
        <f>Table1_1[[#This Row],[Units Sold]]*Table1_1[[#This Row],[Unit Price]]*1-Table1_1[[#This Row],[Discount]]</f>
        <v>27488.95</v>
      </c>
      <c r="S125" s="33">
        <f>Table1_1[[#This Row],[Units Sold]]*Table1_1[[#This Row],[Unit Cost]]</f>
        <v>16610</v>
      </c>
      <c r="T125" s="33">
        <f>Table1_1[[#This Row],[Sales Amount]]-S125</f>
        <v>10878.95</v>
      </c>
      <c r="U125" s="32">
        <f>IFERROR(Table1_1[[#This Row],[Profit/loss]]/Table1_1[[#This Row],[Sales Amount]],0)</f>
        <v>0.39575720425843841</v>
      </c>
    </row>
    <row r="126" spans="1:21" ht="18" x14ac:dyDescent="0.35">
      <c r="A126" s="21" t="s">
        <v>232</v>
      </c>
      <c r="B126" s="36">
        <v>45366</v>
      </c>
      <c r="C126" s="22">
        <f>YEAR(Table1_1[[#This Row],[Order Date]])</f>
        <v>2024</v>
      </c>
      <c r="D126" s="22" t="str">
        <f>TEXT(Table1_1[[#This Row],[Order Date]],"MMMM")</f>
        <v>March</v>
      </c>
      <c r="E126" s="22" t="s">
        <v>82</v>
      </c>
      <c r="F126" s="22" t="s">
        <v>87</v>
      </c>
      <c r="G126" s="22" t="s">
        <v>101</v>
      </c>
      <c r="H126" s="22" t="s">
        <v>39</v>
      </c>
      <c r="I126" s="22" t="s">
        <v>30</v>
      </c>
      <c r="J126" s="22" t="s">
        <v>31</v>
      </c>
      <c r="K126" s="22" t="s">
        <v>32</v>
      </c>
      <c r="L126" s="22" t="s">
        <v>57</v>
      </c>
      <c r="M126" s="22" t="s">
        <v>24</v>
      </c>
      <c r="N126" s="22">
        <v>30</v>
      </c>
      <c r="O126" s="26">
        <v>38990</v>
      </c>
      <c r="P126" s="22">
        <v>0.15</v>
      </c>
      <c r="Q126" s="30">
        <v>25400</v>
      </c>
      <c r="R126" s="33">
        <f>Table1_1[[#This Row],[Units Sold]]*Table1_1[[#This Row],[Unit Price]]*1-Table1_1[[#This Row],[Discount]]</f>
        <v>1169699.8500000001</v>
      </c>
      <c r="S126" s="33">
        <f>Table1_1[[#This Row],[Units Sold]]*Table1_1[[#This Row],[Unit Cost]]</f>
        <v>762000</v>
      </c>
      <c r="T126" s="33">
        <f>Table1_1[[#This Row],[Sales Amount]]-S126</f>
        <v>407699.85000000009</v>
      </c>
      <c r="U126" s="32">
        <f>IFERROR(Table1_1[[#This Row],[Profit/loss]]/Table1_1[[#This Row],[Sales Amount]],0)</f>
        <v>0.34855082694932382</v>
      </c>
    </row>
    <row r="127" spans="1:21" ht="18" x14ac:dyDescent="0.35">
      <c r="A127" s="21" t="s">
        <v>233</v>
      </c>
      <c r="B127" s="36">
        <v>45366</v>
      </c>
      <c r="C127" s="22">
        <f>YEAR(Table1_1[[#This Row],[Order Date]])</f>
        <v>2024</v>
      </c>
      <c r="D127" s="22" t="str">
        <f>TEXT(Table1_1[[#This Row],[Order Date]],"MMMM")</f>
        <v>March</v>
      </c>
      <c r="E127" s="22" t="s">
        <v>16</v>
      </c>
      <c r="F127" s="22" t="s">
        <v>111</v>
      </c>
      <c r="G127" s="22" t="s">
        <v>38</v>
      </c>
      <c r="H127" s="22" t="s">
        <v>19</v>
      </c>
      <c r="I127" s="22" t="s">
        <v>20</v>
      </c>
      <c r="J127" s="22" t="s">
        <v>21</v>
      </c>
      <c r="K127" s="22" t="s">
        <v>51</v>
      </c>
      <c r="L127" s="22" t="s">
        <v>23</v>
      </c>
      <c r="M127" s="22" t="s">
        <v>24</v>
      </c>
      <c r="N127" s="22">
        <v>30</v>
      </c>
      <c r="O127" s="26">
        <v>5999</v>
      </c>
      <c r="P127" s="22">
        <v>0.18</v>
      </c>
      <c r="Q127" s="30">
        <v>3890</v>
      </c>
      <c r="R127" s="33">
        <f>Table1_1[[#This Row],[Units Sold]]*Table1_1[[#This Row],[Unit Price]]*1-Table1_1[[#This Row],[Discount]]</f>
        <v>179969.82</v>
      </c>
      <c r="S127" s="33">
        <f>Table1_1[[#This Row],[Units Sold]]*Table1_1[[#This Row],[Unit Cost]]</f>
        <v>116700</v>
      </c>
      <c r="T127" s="33">
        <f>Table1_1[[#This Row],[Sales Amount]]-S127</f>
        <v>63269.820000000007</v>
      </c>
      <c r="U127" s="32">
        <f>IFERROR(Table1_1[[#This Row],[Profit/loss]]/Table1_1[[#This Row],[Sales Amount]],0)</f>
        <v>0.35155794454870271</v>
      </c>
    </row>
    <row r="128" spans="1:21" ht="18" x14ac:dyDescent="0.35">
      <c r="A128" s="21" t="s">
        <v>234</v>
      </c>
      <c r="B128" s="36">
        <v>45366</v>
      </c>
      <c r="C128" s="22">
        <f>YEAR(Table1_1[[#This Row],[Order Date]])</f>
        <v>2024</v>
      </c>
      <c r="D128" s="22" t="str">
        <f>TEXT(Table1_1[[#This Row],[Order Date]],"MMMM")</f>
        <v>March</v>
      </c>
      <c r="E128" s="22" t="s">
        <v>36</v>
      </c>
      <c r="F128" s="22" t="s">
        <v>121</v>
      </c>
      <c r="G128" s="22" t="s">
        <v>69</v>
      </c>
      <c r="H128" s="22" t="s">
        <v>39</v>
      </c>
      <c r="I128" s="22" t="s">
        <v>20</v>
      </c>
      <c r="J128" s="22" t="s">
        <v>21</v>
      </c>
      <c r="K128" s="22" t="s">
        <v>115</v>
      </c>
      <c r="L128" s="22" t="s">
        <v>57</v>
      </c>
      <c r="M128" s="22" t="s">
        <v>78</v>
      </c>
      <c r="N128" s="22">
        <v>10</v>
      </c>
      <c r="O128" s="26">
        <v>6499</v>
      </c>
      <c r="P128" s="22">
        <v>0.08</v>
      </c>
      <c r="Q128" s="30">
        <v>4210</v>
      </c>
      <c r="R128" s="33">
        <f>Table1_1[[#This Row],[Units Sold]]*Table1_1[[#This Row],[Unit Price]]*1-Table1_1[[#This Row],[Discount]]</f>
        <v>64989.919999999998</v>
      </c>
      <c r="S128" s="33">
        <f>Table1_1[[#This Row],[Units Sold]]*Table1_1[[#This Row],[Unit Cost]]</f>
        <v>42100</v>
      </c>
      <c r="T128" s="33">
        <f>Table1_1[[#This Row],[Sales Amount]]-S128</f>
        <v>22889.919999999998</v>
      </c>
      <c r="U128" s="32">
        <f>IFERROR(Table1_1[[#This Row],[Profit/loss]]/Table1_1[[#This Row],[Sales Amount]],0)</f>
        <v>0.3522072345988424</v>
      </c>
    </row>
    <row r="129" spans="1:21" ht="18" x14ac:dyDescent="0.35">
      <c r="A129" s="21" t="s">
        <v>235</v>
      </c>
      <c r="B129" s="36">
        <v>45366</v>
      </c>
      <c r="C129" s="22">
        <f>YEAR(Table1_1[[#This Row],[Order Date]])</f>
        <v>2024</v>
      </c>
      <c r="D129" s="22" t="str">
        <f>TEXT(Table1_1[[#This Row],[Order Date]],"MMMM")</f>
        <v>March</v>
      </c>
      <c r="E129" s="22" t="s">
        <v>16</v>
      </c>
      <c r="F129" s="22" t="s">
        <v>17</v>
      </c>
      <c r="G129" s="22" t="s">
        <v>101</v>
      </c>
      <c r="H129" s="22" t="s">
        <v>39</v>
      </c>
      <c r="I129" s="22" t="s">
        <v>54</v>
      </c>
      <c r="J129" s="22" t="s">
        <v>90</v>
      </c>
      <c r="K129" s="22" t="s">
        <v>1625</v>
      </c>
      <c r="L129" s="22" t="s">
        <v>23</v>
      </c>
      <c r="M129" s="22" t="s">
        <v>24</v>
      </c>
      <c r="N129" s="22">
        <v>22</v>
      </c>
      <c r="O129" s="26">
        <v>32800</v>
      </c>
      <c r="P129" s="22">
        <v>0.05</v>
      </c>
      <c r="Q129" s="30">
        <v>23100</v>
      </c>
      <c r="R129" s="33">
        <f>Table1_1[[#This Row],[Units Sold]]*Table1_1[[#This Row],[Unit Price]]*1-Table1_1[[#This Row],[Discount]]</f>
        <v>721599.95</v>
      </c>
      <c r="S129" s="33">
        <f>Table1_1[[#This Row],[Units Sold]]*Table1_1[[#This Row],[Unit Cost]]</f>
        <v>508200</v>
      </c>
      <c r="T129" s="33">
        <f>Table1_1[[#This Row],[Sales Amount]]-S129</f>
        <v>213399.94999999995</v>
      </c>
      <c r="U129" s="32">
        <f>IFERROR(Table1_1[[#This Row],[Profit/loss]]/Table1_1[[#This Row],[Sales Amount]],0)</f>
        <v>0.29573165851799182</v>
      </c>
    </row>
    <row r="130" spans="1:21" ht="18" x14ac:dyDescent="0.35">
      <c r="A130" s="21" t="s">
        <v>236</v>
      </c>
      <c r="B130" s="36">
        <v>45366</v>
      </c>
      <c r="C130" s="22">
        <f>YEAR(Table1_1[[#This Row],[Order Date]])</f>
        <v>2024</v>
      </c>
      <c r="D130" s="22" t="str">
        <f>TEXT(Table1_1[[#This Row],[Order Date]],"MMMM")</f>
        <v>March</v>
      </c>
      <c r="E130" s="22" t="s">
        <v>48</v>
      </c>
      <c r="F130" s="22" t="s">
        <v>93</v>
      </c>
      <c r="G130" s="22" t="s">
        <v>38</v>
      </c>
      <c r="H130" s="22" t="s">
        <v>19</v>
      </c>
      <c r="I130" s="22" t="s">
        <v>40</v>
      </c>
      <c r="J130" s="22" t="s">
        <v>76</v>
      </c>
      <c r="K130" s="22" t="s">
        <v>1620</v>
      </c>
      <c r="L130" s="22" t="s">
        <v>57</v>
      </c>
      <c r="M130" s="22" t="s">
        <v>34</v>
      </c>
      <c r="N130" s="22">
        <v>16</v>
      </c>
      <c r="O130" s="26">
        <v>52990</v>
      </c>
      <c r="P130" s="22">
        <v>0.1</v>
      </c>
      <c r="Q130" s="30">
        <v>39500</v>
      </c>
      <c r="R130" s="33">
        <f>Table1_1[[#This Row],[Units Sold]]*Table1_1[[#This Row],[Unit Price]]*1-Table1_1[[#This Row],[Discount]]</f>
        <v>847839.9</v>
      </c>
      <c r="S130" s="33">
        <f>Table1_1[[#This Row],[Units Sold]]*Table1_1[[#This Row],[Unit Cost]]</f>
        <v>632000</v>
      </c>
      <c r="T130" s="33">
        <f>Table1_1[[#This Row],[Sales Amount]]-S130</f>
        <v>215839.90000000002</v>
      </c>
      <c r="U130" s="32">
        <f>IFERROR(Table1_1[[#This Row],[Profit/loss]]/Table1_1[[#This Row],[Sales Amount]],0)</f>
        <v>0.25457624723724376</v>
      </c>
    </row>
    <row r="131" spans="1:21" ht="18" x14ac:dyDescent="0.35">
      <c r="A131" s="21" t="s">
        <v>237</v>
      </c>
      <c r="B131" s="36">
        <v>45367</v>
      </c>
      <c r="C131" s="22">
        <f>YEAR(Table1_1[[#This Row],[Order Date]])</f>
        <v>2024</v>
      </c>
      <c r="D131" s="22" t="str">
        <f>TEXT(Table1_1[[#This Row],[Order Date]],"MMMM")</f>
        <v>March</v>
      </c>
      <c r="E131" s="22" t="s">
        <v>48</v>
      </c>
      <c r="F131" s="22" t="s">
        <v>49</v>
      </c>
      <c r="G131" s="22" t="s">
        <v>69</v>
      </c>
      <c r="H131" s="22" t="s">
        <v>29</v>
      </c>
      <c r="I131" s="22" t="s">
        <v>30</v>
      </c>
      <c r="J131" s="22" t="s">
        <v>61</v>
      </c>
      <c r="K131" s="22" t="s">
        <v>96</v>
      </c>
      <c r="L131" s="22" t="s">
        <v>33</v>
      </c>
      <c r="M131" s="22" t="s">
        <v>24</v>
      </c>
      <c r="N131" s="22">
        <v>8</v>
      </c>
      <c r="O131" s="26">
        <v>25110</v>
      </c>
      <c r="P131" s="22">
        <v>0.18</v>
      </c>
      <c r="Q131" s="30">
        <v>16730</v>
      </c>
      <c r="R131" s="33">
        <f>Table1_1[[#This Row],[Units Sold]]*Table1_1[[#This Row],[Unit Price]]*1-Table1_1[[#This Row],[Discount]]</f>
        <v>200879.82</v>
      </c>
      <c r="S131" s="33">
        <f>Table1_1[[#This Row],[Units Sold]]*Table1_1[[#This Row],[Unit Cost]]</f>
        <v>133840</v>
      </c>
      <c r="T131" s="33">
        <f>Table1_1[[#This Row],[Sales Amount]]-S131</f>
        <v>67039.820000000007</v>
      </c>
      <c r="U131" s="32">
        <f>IFERROR(Table1_1[[#This Row],[Profit/loss]]/Table1_1[[#This Row],[Sales Amount]],0)</f>
        <v>0.33373098402816176</v>
      </c>
    </row>
    <row r="132" spans="1:21" ht="18" x14ac:dyDescent="0.35">
      <c r="A132" s="21" t="s">
        <v>238</v>
      </c>
      <c r="B132" s="36">
        <v>45368</v>
      </c>
      <c r="C132" s="22">
        <f>YEAR(Table1_1[[#This Row],[Order Date]])</f>
        <v>2024</v>
      </c>
      <c r="D132" s="22" t="str">
        <f>TEXT(Table1_1[[#This Row],[Order Date]],"MMMM")</f>
        <v>March</v>
      </c>
      <c r="E132" s="22" t="s">
        <v>26</v>
      </c>
      <c r="F132" s="22" t="s">
        <v>27</v>
      </c>
      <c r="G132" s="22" t="s">
        <v>18</v>
      </c>
      <c r="H132" s="22" t="s">
        <v>19</v>
      </c>
      <c r="I132" s="22" t="s">
        <v>70</v>
      </c>
      <c r="J132" s="22" t="s">
        <v>71</v>
      </c>
      <c r="K132" s="22" t="s">
        <v>72</v>
      </c>
      <c r="L132" s="22" t="s">
        <v>33</v>
      </c>
      <c r="M132" s="22" t="s">
        <v>78</v>
      </c>
      <c r="N132" s="22">
        <v>15</v>
      </c>
      <c r="O132" s="26">
        <v>3499</v>
      </c>
      <c r="P132" s="22">
        <v>0.18</v>
      </c>
      <c r="Q132" s="30">
        <v>2190</v>
      </c>
      <c r="R132" s="33">
        <f>Table1_1[[#This Row],[Units Sold]]*Table1_1[[#This Row],[Unit Price]]*1-Table1_1[[#This Row],[Discount]]</f>
        <v>52484.82</v>
      </c>
      <c r="S132" s="33">
        <f>Table1_1[[#This Row],[Units Sold]]*Table1_1[[#This Row],[Unit Cost]]</f>
        <v>32850</v>
      </c>
      <c r="T132" s="33">
        <f>Table1_1[[#This Row],[Sales Amount]]-S132</f>
        <v>19634.82</v>
      </c>
      <c r="U132" s="32">
        <f>IFERROR(Table1_1[[#This Row],[Profit/loss]]/Table1_1[[#This Row],[Sales Amount]],0)</f>
        <v>0.37410474114229597</v>
      </c>
    </row>
    <row r="133" spans="1:21" ht="18" x14ac:dyDescent="0.35">
      <c r="A133" s="21" t="s">
        <v>239</v>
      </c>
      <c r="B133" s="36">
        <v>45368</v>
      </c>
      <c r="C133" s="22">
        <f>YEAR(Table1_1[[#This Row],[Order Date]])</f>
        <v>2024</v>
      </c>
      <c r="D133" s="22" t="str">
        <f>TEXT(Table1_1[[#This Row],[Order Date]],"MMMM")</f>
        <v>March</v>
      </c>
      <c r="E133" s="22" t="s">
        <v>36</v>
      </c>
      <c r="F133" s="22" t="s">
        <v>121</v>
      </c>
      <c r="G133" s="22" t="s">
        <v>84</v>
      </c>
      <c r="H133" s="22" t="s">
        <v>39</v>
      </c>
      <c r="I133" s="22" t="s">
        <v>30</v>
      </c>
      <c r="J133" s="22" t="s">
        <v>61</v>
      </c>
      <c r="K133" s="22" t="s">
        <v>62</v>
      </c>
      <c r="L133" s="22" t="s">
        <v>57</v>
      </c>
      <c r="M133" s="22" t="s">
        <v>34</v>
      </c>
      <c r="N133" s="22">
        <v>13</v>
      </c>
      <c r="O133" s="26">
        <v>12490</v>
      </c>
      <c r="P133" s="22">
        <v>0.08</v>
      </c>
      <c r="Q133" s="30">
        <v>7900</v>
      </c>
      <c r="R133" s="33">
        <f>Table1_1[[#This Row],[Units Sold]]*Table1_1[[#This Row],[Unit Price]]*1-Table1_1[[#This Row],[Discount]]</f>
        <v>162369.92000000001</v>
      </c>
      <c r="S133" s="33">
        <f>Table1_1[[#This Row],[Units Sold]]*Table1_1[[#This Row],[Unit Cost]]</f>
        <v>102700</v>
      </c>
      <c r="T133" s="33">
        <f>Table1_1[[#This Row],[Sales Amount]]-S133</f>
        <v>59669.920000000013</v>
      </c>
      <c r="U133" s="32">
        <f>IFERROR(Table1_1[[#This Row],[Profit/loss]]/Table1_1[[#This Row],[Sales Amount]],0)</f>
        <v>0.36749368355912232</v>
      </c>
    </row>
    <row r="134" spans="1:21" ht="18" x14ac:dyDescent="0.35">
      <c r="A134" s="21" t="s">
        <v>240</v>
      </c>
      <c r="B134" s="36">
        <v>45369</v>
      </c>
      <c r="C134" s="22">
        <f>YEAR(Table1_1[[#This Row],[Order Date]])</f>
        <v>2024</v>
      </c>
      <c r="D134" s="22" t="str">
        <f>TEXT(Table1_1[[#This Row],[Order Date]],"MMMM")</f>
        <v>March</v>
      </c>
      <c r="E134" s="22" t="s">
        <v>36</v>
      </c>
      <c r="F134" s="22" t="s">
        <v>44</v>
      </c>
      <c r="G134" s="22" t="s">
        <v>50</v>
      </c>
      <c r="H134" s="22" t="s">
        <v>39</v>
      </c>
      <c r="I134" s="22" t="s">
        <v>40</v>
      </c>
      <c r="J134" s="22" t="s">
        <v>64</v>
      </c>
      <c r="K134" s="22" t="s">
        <v>1619</v>
      </c>
      <c r="L134" s="22" t="s">
        <v>57</v>
      </c>
      <c r="M134" s="22" t="s">
        <v>34</v>
      </c>
      <c r="N134" s="22">
        <v>10</v>
      </c>
      <c r="O134" s="26">
        <v>1930</v>
      </c>
      <c r="P134" s="22">
        <v>0.08</v>
      </c>
      <c r="Q134" s="30">
        <v>1120</v>
      </c>
      <c r="R134" s="33">
        <f>Table1_1[[#This Row],[Units Sold]]*Table1_1[[#This Row],[Unit Price]]*1-Table1_1[[#This Row],[Discount]]</f>
        <v>19299.919999999998</v>
      </c>
      <c r="S134" s="33">
        <f>Table1_1[[#This Row],[Units Sold]]*Table1_1[[#This Row],[Unit Cost]]</f>
        <v>11200</v>
      </c>
      <c r="T134" s="33">
        <f>Table1_1[[#This Row],[Sales Amount]]-S134</f>
        <v>8099.9199999999983</v>
      </c>
      <c r="U134" s="32">
        <f>IFERROR(Table1_1[[#This Row],[Profit/loss]]/Table1_1[[#This Row],[Sales Amount]],0)</f>
        <v>0.41968671372731076</v>
      </c>
    </row>
    <row r="135" spans="1:21" ht="18" x14ac:dyDescent="0.35">
      <c r="A135" s="21" t="s">
        <v>241</v>
      </c>
      <c r="B135" s="36">
        <v>45369</v>
      </c>
      <c r="C135" s="22">
        <f>YEAR(Table1_1[[#This Row],[Order Date]])</f>
        <v>2024</v>
      </c>
      <c r="D135" s="22" t="str">
        <f>TEXT(Table1_1[[#This Row],[Order Date]],"MMMM")</f>
        <v>March</v>
      </c>
      <c r="E135" s="22" t="s">
        <v>26</v>
      </c>
      <c r="F135" s="22" t="s">
        <v>163</v>
      </c>
      <c r="G135" s="22" t="s">
        <v>101</v>
      </c>
      <c r="H135" s="22" t="s">
        <v>39</v>
      </c>
      <c r="I135" s="22" t="s">
        <v>30</v>
      </c>
      <c r="J135" s="22" t="s">
        <v>31</v>
      </c>
      <c r="K135" s="22" t="s">
        <v>32</v>
      </c>
      <c r="L135" s="22" t="s">
        <v>33</v>
      </c>
      <c r="M135" s="22" t="s">
        <v>24</v>
      </c>
      <c r="N135" s="22">
        <v>32</v>
      </c>
      <c r="O135" s="26">
        <v>38990</v>
      </c>
      <c r="P135" s="22">
        <v>0.2</v>
      </c>
      <c r="Q135" s="30">
        <v>25400</v>
      </c>
      <c r="R135" s="33">
        <f>Table1_1[[#This Row],[Units Sold]]*Table1_1[[#This Row],[Unit Price]]*1-Table1_1[[#This Row],[Discount]]</f>
        <v>1247679.8</v>
      </c>
      <c r="S135" s="33">
        <f>Table1_1[[#This Row],[Units Sold]]*Table1_1[[#This Row],[Unit Cost]]</f>
        <v>812800</v>
      </c>
      <c r="T135" s="33">
        <f>Table1_1[[#This Row],[Sales Amount]]-S135</f>
        <v>434879.80000000005</v>
      </c>
      <c r="U135" s="32">
        <f>IFERROR(Table1_1[[#This Row],[Profit/loss]]/Table1_1[[#This Row],[Sales Amount]],0)</f>
        <v>0.34855080606418409</v>
      </c>
    </row>
    <row r="136" spans="1:21" ht="18" x14ac:dyDescent="0.35">
      <c r="A136" s="21" t="s">
        <v>242</v>
      </c>
      <c r="B136" s="36">
        <v>45370</v>
      </c>
      <c r="C136" s="22">
        <f>YEAR(Table1_1[[#This Row],[Order Date]])</f>
        <v>2024</v>
      </c>
      <c r="D136" s="22" t="str">
        <f>TEXT(Table1_1[[#This Row],[Order Date]],"MMMM")</f>
        <v>March</v>
      </c>
      <c r="E136" s="22" t="s">
        <v>36</v>
      </c>
      <c r="F136" s="22" t="s">
        <v>59</v>
      </c>
      <c r="G136" s="22" t="s">
        <v>84</v>
      </c>
      <c r="H136" s="22" t="s">
        <v>39</v>
      </c>
      <c r="I136" s="22" t="s">
        <v>30</v>
      </c>
      <c r="J136" s="22" t="s">
        <v>31</v>
      </c>
      <c r="K136" s="22" t="s">
        <v>106</v>
      </c>
      <c r="L136" s="22" t="s">
        <v>33</v>
      </c>
      <c r="M136" s="22" t="s">
        <v>24</v>
      </c>
      <c r="N136" s="22">
        <v>9</v>
      </c>
      <c r="O136" s="26">
        <v>52990</v>
      </c>
      <c r="P136" s="22">
        <v>0.12</v>
      </c>
      <c r="Q136" s="30">
        <v>35100</v>
      </c>
      <c r="R136" s="33">
        <f>Table1_1[[#This Row],[Units Sold]]*Table1_1[[#This Row],[Unit Price]]*1-Table1_1[[#This Row],[Discount]]</f>
        <v>476909.88</v>
      </c>
      <c r="S136" s="33">
        <f>Table1_1[[#This Row],[Units Sold]]*Table1_1[[#This Row],[Unit Cost]]</f>
        <v>315900</v>
      </c>
      <c r="T136" s="33">
        <f>Table1_1[[#This Row],[Sales Amount]]-S136</f>
        <v>161009.88</v>
      </c>
      <c r="U136" s="32">
        <f>IFERROR(Table1_1[[#This Row],[Profit/loss]]/Table1_1[[#This Row],[Sales Amount]],0)</f>
        <v>0.3376107033052031</v>
      </c>
    </row>
    <row r="137" spans="1:21" ht="18" x14ac:dyDescent="0.35">
      <c r="A137" s="21" t="s">
        <v>243</v>
      </c>
      <c r="B137" s="36">
        <v>45370</v>
      </c>
      <c r="C137" s="22">
        <f>YEAR(Table1_1[[#This Row],[Order Date]])</f>
        <v>2024</v>
      </c>
      <c r="D137" s="22" t="str">
        <f>TEXT(Table1_1[[#This Row],[Order Date]],"MMMM")</f>
        <v>March</v>
      </c>
      <c r="E137" s="22" t="s">
        <v>26</v>
      </c>
      <c r="F137" s="22" t="s">
        <v>163</v>
      </c>
      <c r="G137" s="22" t="s">
        <v>84</v>
      </c>
      <c r="H137" s="22" t="s">
        <v>19</v>
      </c>
      <c r="I137" s="22" t="s">
        <v>20</v>
      </c>
      <c r="J137" s="22" t="s">
        <v>21</v>
      </c>
      <c r="K137" s="22" t="s">
        <v>22</v>
      </c>
      <c r="L137" s="22" t="s">
        <v>57</v>
      </c>
      <c r="M137" s="22" t="s">
        <v>24</v>
      </c>
      <c r="N137" s="22">
        <v>17</v>
      </c>
      <c r="O137" s="26">
        <v>4499</v>
      </c>
      <c r="P137" s="22">
        <v>0.18</v>
      </c>
      <c r="Q137" s="30">
        <v>2910</v>
      </c>
      <c r="R137" s="33">
        <f>Table1_1[[#This Row],[Units Sold]]*Table1_1[[#This Row],[Unit Price]]*1-Table1_1[[#This Row],[Discount]]</f>
        <v>76482.820000000007</v>
      </c>
      <c r="S137" s="33">
        <f>Table1_1[[#This Row],[Units Sold]]*Table1_1[[#This Row],[Unit Cost]]</f>
        <v>49470</v>
      </c>
      <c r="T137" s="33">
        <f>Table1_1[[#This Row],[Sales Amount]]-S137</f>
        <v>27012.820000000007</v>
      </c>
      <c r="U137" s="32">
        <f>IFERROR(Table1_1[[#This Row],[Profit/loss]]/Table1_1[[#This Row],[Sales Amount]],0)</f>
        <v>0.35318807543968705</v>
      </c>
    </row>
    <row r="138" spans="1:21" ht="18" x14ac:dyDescent="0.35">
      <c r="A138" s="21" t="s">
        <v>244</v>
      </c>
      <c r="B138" s="36">
        <v>45372</v>
      </c>
      <c r="C138" s="22">
        <f>YEAR(Table1_1[[#This Row],[Order Date]])</f>
        <v>2024</v>
      </c>
      <c r="D138" s="22" t="str">
        <f>TEXT(Table1_1[[#This Row],[Order Date]],"MMMM")</f>
        <v>March</v>
      </c>
      <c r="E138" s="22" t="s">
        <v>82</v>
      </c>
      <c r="F138" s="22" t="s">
        <v>87</v>
      </c>
      <c r="G138" s="22" t="s">
        <v>105</v>
      </c>
      <c r="H138" s="22" t="s">
        <v>39</v>
      </c>
      <c r="I138" s="22" t="s">
        <v>40</v>
      </c>
      <c r="J138" s="22" t="s">
        <v>41</v>
      </c>
      <c r="K138" s="22" t="s">
        <v>1628</v>
      </c>
      <c r="L138" s="22" t="s">
        <v>23</v>
      </c>
      <c r="M138" s="22" t="s">
        <v>34</v>
      </c>
      <c r="N138" s="22">
        <v>2</v>
      </c>
      <c r="O138" s="26">
        <v>48500</v>
      </c>
      <c r="P138" s="22">
        <v>0.05</v>
      </c>
      <c r="Q138" s="30">
        <v>30200</v>
      </c>
      <c r="R138" s="33">
        <f>Table1_1[[#This Row],[Units Sold]]*Table1_1[[#This Row],[Unit Price]]*1-Table1_1[[#This Row],[Discount]]</f>
        <v>96999.95</v>
      </c>
      <c r="S138" s="33">
        <f>Table1_1[[#This Row],[Units Sold]]*Table1_1[[#This Row],[Unit Cost]]</f>
        <v>60400</v>
      </c>
      <c r="T138" s="33">
        <f>Table1_1[[#This Row],[Sales Amount]]-S138</f>
        <v>36599.949999999997</v>
      </c>
      <c r="U138" s="32">
        <f>IFERROR(Table1_1[[#This Row],[Profit/loss]]/Table1_1[[#This Row],[Sales Amount]],0)</f>
        <v>0.37731926665941579</v>
      </c>
    </row>
    <row r="139" spans="1:21" ht="18" x14ac:dyDescent="0.35">
      <c r="A139" s="21" t="s">
        <v>245</v>
      </c>
      <c r="B139" s="36">
        <v>45372</v>
      </c>
      <c r="C139" s="22">
        <f>YEAR(Table1_1[[#This Row],[Order Date]])</f>
        <v>2024</v>
      </c>
      <c r="D139" s="22" t="str">
        <f>TEXT(Table1_1[[#This Row],[Order Date]],"MMMM")</f>
        <v>March</v>
      </c>
      <c r="E139" s="22" t="s">
        <v>26</v>
      </c>
      <c r="F139" s="22" t="s">
        <v>163</v>
      </c>
      <c r="G139" s="22" t="s">
        <v>105</v>
      </c>
      <c r="H139" s="22" t="s">
        <v>39</v>
      </c>
      <c r="I139" s="22" t="s">
        <v>20</v>
      </c>
      <c r="J139" s="22" t="s">
        <v>21</v>
      </c>
      <c r="K139" s="22" t="s">
        <v>115</v>
      </c>
      <c r="L139" s="22" t="s">
        <v>23</v>
      </c>
      <c r="M139" s="22" t="s">
        <v>24</v>
      </c>
      <c r="N139" s="22">
        <v>35</v>
      </c>
      <c r="O139" s="26">
        <v>6499</v>
      </c>
      <c r="P139" s="22">
        <v>0.08</v>
      </c>
      <c r="Q139" s="30">
        <v>4210</v>
      </c>
      <c r="R139" s="33">
        <f>Table1_1[[#This Row],[Units Sold]]*Table1_1[[#This Row],[Unit Price]]*1-Table1_1[[#This Row],[Discount]]</f>
        <v>227464.92</v>
      </c>
      <c r="S139" s="33">
        <f>Table1_1[[#This Row],[Units Sold]]*Table1_1[[#This Row],[Unit Cost]]</f>
        <v>147350</v>
      </c>
      <c r="T139" s="33">
        <f>Table1_1[[#This Row],[Sales Amount]]-S139</f>
        <v>80114.920000000013</v>
      </c>
      <c r="U139" s="32">
        <f>IFERROR(Table1_1[[#This Row],[Profit/loss]]/Table1_1[[#This Row],[Sales Amount]],0)</f>
        <v>0.35220780417481523</v>
      </c>
    </row>
    <row r="140" spans="1:21" ht="18" x14ac:dyDescent="0.35">
      <c r="A140" s="21" t="s">
        <v>246</v>
      </c>
      <c r="B140" s="36">
        <v>45373</v>
      </c>
      <c r="C140" s="22">
        <f>YEAR(Table1_1[[#This Row],[Order Date]])</f>
        <v>2024</v>
      </c>
      <c r="D140" s="22" t="str">
        <f>TEXT(Table1_1[[#This Row],[Order Date]],"MMMM")</f>
        <v>March</v>
      </c>
      <c r="E140" s="22" t="s">
        <v>26</v>
      </c>
      <c r="F140" s="22" t="s">
        <v>163</v>
      </c>
      <c r="G140" s="22" t="s">
        <v>18</v>
      </c>
      <c r="H140" s="22" t="s">
        <v>29</v>
      </c>
      <c r="I140" s="22" t="s">
        <v>70</v>
      </c>
      <c r="J140" s="22" t="s">
        <v>71</v>
      </c>
      <c r="K140" s="22" t="s">
        <v>80</v>
      </c>
      <c r="L140" s="22" t="s">
        <v>33</v>
      </c>
      <c r="M140" s="22" t="s">
        <v>24</v>
      </c>
      <c r="N140" s="22">
        <v>10</v>
      </c>
      <c r="O140" s="26">
        <v>1299</v>
      </c>
      <c r="P140" s="22">
        <v>0.18</v>
      </c>
      <c r="Q140" s="30">
        <v>720</v>
      </c>
      <c r="R140" s="33">
        <f>Table1_1[[#This Row],[Units Sold]]*Table1_1[[#This Row],[Unit Price]]*1-Table1_1[[#This Row],[Discount]]</f>
        <v>12989.82</v>
      </c>
      <c r="S140" s="33">
        <f>Table1_1[[#This Row],[Units Sold]]*Table1_1[[#This Row],[Unit Cost]]</f>
        <v>7200</v>
      </c>
      <c r="T140" s="33">
        <f>Table1_1[[#This Row],[Sales Amount]]-S140</f>
        <v>5789.82</v>
      </c>
      <c r="U140" s="32">
        <f>IFERROR(Table1_1[[#This Row],[Profit/loss]]/Table1_1[[#This Row],[Sales Amount]],0)</f>
        <v>0.44571980212196932</v>
      </c>
    </row>
    <row r="141" spans="1:21" ht="18" x14ac:dyDescent="0.35">
      <c r="A141" s="21" t="s">
        <v>247</v>
      </c>
      <c r="B141" s="36">
        <v>45373</v>
      </c>
      <c r="C141" s="22">
        <f>YEAR(Table1_1[[#This Row],[Order Date]])</f>
        <v>2024</v>
      </c>
      <c r="D141" s="22" t="str">
        <f>TEXT(Table1_1[[#This Row],[Order Date]],"MMMM")</f>
        <v>March</v>
      </c>
      <c r="E141" s="22" t="s">
        <v>16</v>
      </c>
      <c r="F141" s="22" t="s">
        <v>126</v>
      </c>
      <c r="G141" s="22" t="s">
        <v>50</v>
      </c>
      <c r="H141" s="22" t="s">
        <v>19</v>
      </c>
      <c r="I141" s="22" t="s">
        <v>54</v>
      </c>
      <c r="J141" s="22" t="s">
        <v>55</v>
      </c>
      <c r="K141" s="22" t="s">
        <v>56</v>
      </c>
      <c r="L141" s="22" t="s">
        <v>23</v>
      </c>
      <c r="M141" s="22" t="s">
        <v>66</v>
      </c>
      <c r="N141" s="22">
        <v>21</v>
      </c>
      <c r="O141" s="26">
        <v>7299</v>
      </c>
      <c r="P141" s="22">
        <v>0.08</v>
      </c>
      <c r="Q141" s="30">
        <v>5010</v>
      </c>
      <c r="R141" s="33">
        <f>Table1_1[[#This Row],[Units Sold]]*Table1_1[[#This Row],[Unit Price]]*1-Table1_1[[#This Row],[Discount]]</f>
        <v>153278.92000000001</v>
      </c>
      <c r="S141" s="33">
        <f>Table1_1[[#This Row],[Units Sold]]*Table1_1[[#This Row],[Unit Cost]]</f>
        <v>105210</v>
      </c>
      <c r="T141" s="33">
        <f>Table1_1[[#This Row],[Sales Amount]]-S141</f>
        <v>48068.920000000013</v>
      </c>
      <c r="U141" s="32">
        <f>IFERROR(Table1_1[[#This Row],[Profit/loss]]/Table1_1[[#This Row],[Sales Amount]],0)</f>
        <v>0.3136042451238566</v>
      </c>
    </row>
    <row r="142" spans="1:21" ht="18" x14ac:dyDescent="0.35">
      <c r="A142" s="21" t="s">
        <v>248</v>
      </c>
      <c r="B142" s="36">
        <v>45374</v>
      </c>
      <c r="C142" s="22">
        <f>YEAR(Table1_1[[#This Row],[Order Date]])</f>
        <v>2024</v>
      </c>
      <c r="D142" s="22" t="str">
        <f>TEXT(Table1_1[[#This Row],[Order Date]],"MMMM")</f>
        <v>March</v>
      </c>
      <c r="E142" s="22" t="s">
        <v>48</v>
      </c>
      <c r="F142" s="22" t="s">
        <v>49</v>
      </c>
      <c r="G142" s="22" t="s">
        <v>75</v>
      </c>
      <c r="H142" s="22" t="s">
        <v>19</v>
      </c>
      <c r="I142" s="22" t="s">
        <v>54</v>
      </c>
      <c r="J142" s="22" t="s">
        <v>55</v>
      </c>
      <c r="K142" s="22" t="s">
        <v>1623</v>
      </c>
      <c r="L142" s="22" t="s">
        <v>33</v>
      </c>
      <c r="M142" s="22" t="s">
        <v>24</v>
      </c>
      <c r="N142" s="22">
        <v>18</v>
      </c>
      <c r="O142" s="26">
        <v>5890</v>
      </c>
      <c r="P142" s="22">
        <v>0.2</v>
      </c>
      <c r="Q142" s="30">
        <v>3980</v>
      </c>
      <c r="R142" s="33">
        <f>Table1_1[[#This Row],[Units Sold]]*Table1_1[[#This Row],[Unit Price]]*1-Table1_1[[#This Row],[Discount]]</f>
        <v>106019.8</v>
      </c>
      <c r="S142" s="33">
        <f>Table1_1[[#This Row],[Units Sold]]*Table1_1[[#This Row],[Unit Cost]]</f>
        <v>71640</v>
      </c>
      <c r="T142" s="33">
        <f>Table1_1[[#This Row],[Sales Amount]]-S142</f>
        <v>34379.800000000003</v>
      </c>
      <c r="U142" s="32">
        <f>IFERROR(Table1_1[[#This Row],[Profit/loss]]/Table1_1[[#This Row],[Sales Amount]],0)</f>
        <v>0.32427716332232281</v>
      </c>
    </row>
    <row r="143" spans="1:21" ht="18" x14ac:dyDescent="0.35">
      <c r="A143" s="21" t="s">
        <v>249</v>
      </c>
      <c r="B143" s="36">
        <v>45374</v>
      </c>
      <c r="C143" s="22">
        <f>YEAR(Table1_1[[#This Row],[Order Date]])</f>
        <v>2024</v>
      </c>
      <c r="D143" s="22" t="str">
        <f>TEXT(Table1_1[[#This Row],[Order Date]],"MMMM")</f>
        <v>March</v>
      </c>
      <c r="E143" s="22" t="s">
        <v>16</v>
      </c>
      <c r="F143" s="22" t="s">
        <v>126</v>
      </c>
      <c r="G143" s="22" t="s">
        <v>69</v>
      </c>
      <c r="H143" s="22" t="s">
        <v>19</v>
      </c>
      <c r="I143" s="22" t="s">
        <v>40</v>
      </c>
      <c r="J143" s="22" t="s">
        <v>64</v>
      </c>
      <c r="K143" s="22" t="s">
        <v>1619</v>
      </c>
      <c r="L143" s="22" t="s">
        <v>57</v>
      </c>
      <c r="M143" s="22" t="s">
        <v>24</v>
      </c>
      <c r="N143" s="22">
        <v>19</v>
      </c>
      <c r="O143" s="26">
        <v>1930</v>
      </c>
      <c r="P143" s="22">
        <v>0.18</v>
      </c>
      <c r="Q143" s="30">
        <v>1120</v>
      </c>
      <c r="R143" s="33">
        <f>Table1_1[[#This Row],[Units Sold]]*Table1_1[[#This Row],[Unit Price]]*1-Table1_1[[#This Row],[Discount]]</f>
        <v>36669.82</v>
      </c>
      <c r="S143" s="33">
        <f>Table1_1[[#This Row],[Units Sold]]*Table1_1[[#This Row],[Unit Cost]]</f>
        <v>21280</v>
      </c>
      <c r="T143" s="33">
        <f>Table1_1[[#This Row],[Sales Amount]]-S143</f>
        <v>15389.82</v>
      </c>
      <c r="U143" s="32">
        <f>IFERROR(Table1_1[[#This Row],[Profit/loss]]/Table1_1[[#This Row],[Sales Amount]],0)</f>
        <v>0.41968627061709057</v>
      </c>
    </row>
    <row r="144" spans="1:21" ht="18" x14ac:dyDescent="0.35">
      <c r="A144" s="21" t="s">
        <v>250</v>
      </c>
      <c r="B144" s="36">
        <v>45375</v>
      </c>
      <c r="C144" s="22">
        <f>YEAR(Table1_1[[#This Row],[Order Date]])</f>
        <v>2024</v>
      </c>
      <c r="D144" s="22" t="str">
        <f>TEXT(Table1_1[[#This Row],[Order Date]],"MMMM")</f>
        <v>March</v>
      </c>
      <c r="E144" s="22" t="s">
        <v>48</v>
      </c>
      <c r="F144" s="22" t="s">
        <v>136</v>
      </c>
      <c r="G144" s="22" t="s">
        <v>28</v>
      </c>
      <c r="H144" s="22" t="s">
        <v>39</v>
      </c>
      <c r="I144" s="22" t="s">
        <v>30</v>
      </c>
      <c r="J144" s="22" t="s">
        <v>31</v>
      </c>
      <c r="K144" s="22" t="s">
        <v>85</v>
      </c>
      <c r="L144" s="22" t="s">
        <v>23</v>
      </c>
      <c r="M144" s="22" t="s">
        <v>78</v>
      </c>
      <c r="N144" s="22">
        <v>8</v>
      </c>
      <c r="O144" s="26">
        <v>43500</v>
      </c>
      <c r="P144" s="22">
        <v>0.2</v>
      </c>
      <c r="Q144" s="30">
        <v>29520</v>
      </c>
      <c r="R144" s="33">
        <f>Table1_1[[#This Row],[Units Sold]]*Table1_1[[#This Row],[Unit Price]]*1-Table1_1[[#This Row],[Discount]]</f>
        <v>347999.8</v>
      </c>
      <c r="S144" s="33">
        <f>Table1_1[[#This Row],[Units Sold]]*Table1_1[[#This Row],[Unit Cost]]</f>
        <v>236160</v>
      </c>
      <c r="T144" s="33">
        <f>Table1_1[[#This Row],[Sales Amount]]-S144</f>
        <v>111839.79999999999</v>
      </c>
      <c r="U144" s="32">
        <f>IFERROR(Table1_1[[#This Row],[Profit/loss]]/Table1_1[[#This Row],[Sales Amount]],0)</f>
        <v>0.32137892033271281</v>
      </c>
    </row>
    <row r="145" spans="1:21" ht="18" x14ac:dyDescent="0.35">
      <c r="A145" s="21" t="s">
        <v>251</v>
      </c>
      <c r="B145" s="36">
        <v>45375</v>
      </c>
      <c r="C145" s="22">
        <f>YEAR(Table1_1[[#This Row],[Order Date]])</f>
        <v>2024</v>
      </c>
      <c r="D145" s="22" t="str">
        <f>TEXT(Table1_1[[#This Row],[Order Date]],"MMMM")</f>
        <v>March</v>
      </c>
      <c r="E145" s="22" t="s">
        <v>26</v>
      </c>
      <c r="F145" s="22" t="s">
        <v>53</v>
      </c>
      <c r="G145" s="22" t="s">
        <v>38</v>
      </c>
      <c r="H145" s="22" t="s">
        <v>39</v>
      </c>
      <c r="I145" s="22" t="s">
        <v>20</v>
      </c>
      <c r="J145" s="22" t="s">
        <v>45</v>
      </c>
      <c r="K145" s="22" t="s">
        <v>1618</v>
      </c>
      <c r="L145" s="22" t="s">
        <v>57</v>
      </c>
      <c r="M145" s="22" t="s">
        <v>34</v>
      </c>
      <c r="N145" s="22">
        <v>31</v>
      </c>
      <c r="O145" s="26">
        <v>1899</v>
      </c>
      <c r="P145" s="22">
        <v>0.08</v>
      </c>
      <c r="Q145" s="30">
        <v>1080</v>
      </c>
      <c r="R145" s="33">
        <f>Table1_1[[#This Row],[Units Sold]]*Table1_1[[#This Row],[Unit Price]]*1-Table1_1[[#This Row],[Discount]]</f>
        <v>58868.92</v>
      </c>
      <c r="S145" s="33">
        <f>Table1_1[[#This Row],[Units Sold]]*Table1_1[[#This Row],[Unit Cost]]</f>
        <v>33480</v>
      </c>
      <c r="T145" s="33">
        <f>Table1_1[[#This Row],[Sales Amount]]-S145</f>
        <v>25388.92</v>
      </c>
      <c r="U145" s="32">
        <f>IFERROR(Table1_1[[#This Row],[Profit/loss]]/Table1_1[[#This Row],[Sales Amount]],0)</f>
        <v>0.4312788479897372</v>
      </c>
    </row>
    <row r="146" spans="1:21" ht="18" x14ac:dyDescent="0.35">
      <c r="A146" s="21" t="s">
        <v>252</v>
      </c>
      <c r="B146" s="36">
        <v>45375</v>
      </c>
      <c r="C146" s="22">
        <f>YEAR(Table1_1[[#This Row],[Order Date]])</f>
        <v>2024</v>
      </c>
      <c r="D146" s="22" t="str">
        <f>TEXT(Table1_1[[#This Row],[Order Date]],"MMMM")</f>
        <v>March</v>
      </c>
      <c r="E146" s="22" t="s">
        <v>16</v>
      </c>
      <c r="F146" s="22" t="s">
        <v>126</v>
      </c>
      <c r="G146" s="22" t="s">
        <v>38</v>
      </c>
      <c r="H146" s="22" t="s">
        <v>29</v>
      </c>
      <c r="I146" s="22" t="s">
        <v>54</v>
      </c>
      <c r="J146" s="22" t="s">
        <v>129</v>
      </c>
      <c r="K146" s="22" t="s">
        <v>145</v>
      </c>
      <c r="L146" s="22" t="s">
        <v>23</v>
      </c>
      <c r="M146" s="22" t="s">
        <v>34</v>
      </c>
      <c r="N146" s="22">
        <v>29</v>
      </c>
      <c r="O146" s="26">
        <v>31490</v>
      </c>
      <c r="P146" s="22">
        <v>0.1</v>
      </c>
      <c r="Q146" s="30">
        <v>21300</v>
      </c>
      <c r="R146" s="33">
        <f>Table1_1[[#This Row],[Units Sold]]*Table1_1[[#This Row],[Unit Price]]*1-Table1_1[[#This Row],[Discount]]</f>
        <v>913209.9</v>
      </c>
      <c r="S146" s="33">
        <f>Table1_1[[#This Row],[Units Sold]]*Table1_1[[#This Row],[Unit Cost]]</f>
        <v>617700</v>
      </c>
      <c r="T146" s="33">
        <f>Table1_1[[#This Row],[Sales Amount]]-S146</f>
        <v>295509.90000000002</v>
      </c>
      <c r="U146" s="32">
        <f>IFERROR(Table1_1[[#This Row],[Profit/loss]]/Table1_1[[#This Row],[Sales Amount]],0)</f>
        <v>0.32359471792848504</v>
      </c>
    </row>
    <row r="147" spans="1:21" ht="18" x14ac:dyDescent="0.35">
      <c r="A147" s="21" t="s">
        <v>253</v>
      </c>
      <c r="B147" s="36">
        <v>45375</v>
      </c>
      <c r="C147" s="22">
        <f>YEAR(Table1_1[[#This Row],[Order Date]])</f>
        <v>2024</v>
      </c>
      <c r="D147" s="22" t="str">
        <f>TEXT(Table1_1[[#This Row],[Order Date]],"MMMM")</f>
        <v>March</v>
      </c>
      <c r="E147" s="22" t="s">
        <v>16</v>
      </c>
      <c r="F147" s="22" t="s">
        <v>98</v>
      </c>
      <c r="G147" s="22" t="s">
        <v>101</v>
      </c>
      <c r="H147" s="22" t="s">
        <v>29</v>
      </c>
      <c r="I147" s="22" t="s">
        <v>70</v>
      </c>
      <c r="J147" s="22" t="s">
        <v>71</v>
      </c>
      <c r="K147" s="22" t="s">
        <v>80</v>
      </c>
      <c r="L147" s="22" t="s">
        <v>57</v>
      </c>
      <c r="M147" s="22" t="s">
        <v>34</v>
      </c>
      <c r="N147" s="22">
        <v>9</v>
      </c>
      <c r="O147" s="26">
        <v>1299</v>
      </c>
      <c r="P147" s="22">
        <v>0.1</v>
      </c>
      <c r="Q147" s="30">
        <v>720</v>
      </c>
      <c r="R147" s="33">
        <f>Table1_1[[#This Row],[Units Sold]]*Table1_1[[#This Row],[Unit Price]]*1-Table1_1[[#This Row],[Discount]]</f>
        <v>11690.9</v>
      </c>
      <c r="S147" s="33">
        <f>Table1_1[[#This Row],[Units Sold]]*Table1_1[[#This Row],[Unit Cost]]</f>
        <v>6480</v>
      </c>
      <c r="T147" s="33">
        <f>Table1_1[[#This Row],[Sales Amount]]-S147</f>
        <v>5210.8999999999996</v>
      </c>
      <c r="U147" s="32">
        <f>IFERROR(Table1_1[[#This Row],[Profit/loss]]/Table1_1[[#This Row],[Sales Amount]],0)</f>
        <v>0.44572274161955022</v>
      </c>
    </row>
    <row r="148" spans="1:21" ht="18" x14ac:dyDescent="0.35">
      <c r="A148" s="21" t="s">
        <v>254</v>
      </c>
      <c r="B148" s="36">
        <v>45375</v>
      </c>
      <c r="C148" s="22">
        <f>YEAR(Table1_1[[#This Row],[Order Date]])</f>
        <v>2024</v>
      </c>
      <c r="D148" s="22" t="str">
        <f>TEXT(Table1_1[[#This Row],[Order Date]],"MMMM")</f>
        <v>March</v>
      </c>
      <c r="E148" s="22" t="s">
        <v>36</v>
      </c>
      <c r="F148" s="22" t="s">
        <v>44</v>
      </c>
      <c r="G148" s="22" t="s">
        <v>75</v>
      </c>
      <c r="H148" s="22" t="s">
        <v>29</v>
      </c>
      <c r="I148" s="22" t="s">
        <v>54</v>
      </c>
      <c r="J148" s="22" t="s">
        <v>55</v>
      </c>
      <c r="K148" s="22" t="s">
        <v>148</v>
      </c>
      <c r="L148" s="22" t="s">
        <v>33</v>
      </c>
      <c r="M148" s="22" t="s">
        <v>24</v>
      </c>
      <c r="N148" s="22">
        <v>31</v>
      </c>
      <c r="O148" s="26">
        <v>4680</v>
      </c>
      <c r="P148" s="22">
        <v>0.1</v>
      </c>
      <c r="Q148" s="30">
        <v>3250</v>
      </c>
      <c r="R148" s="33">
        <f>Table1_1[[#This Row],[Units Sold]]*Table1_1[[#This Row],[Unit Price]]*1-Table1_1[[#This Row],[Discount]]</f>
        <v>145079.9</v>
      </c>
      <c r="S148" s="33">
        <f>Table1_1[[#This Row],[Units Sold]]*Table1_1[[#This Row],[Unit Cost]]</f>
        <v>100750</v>
      </c>
      <c r="T148" s="33">
        <f>Table1_1[[#This Row],[Sales Amount]]-S148</f>
        <v>44329.899999999994</v>
      </c>
      <c r="U148" s="32">
        <f>IFERROR(Table1_1[[#This Row],[Profit/loss]]/Table1_1[[#This Row],[Sales Amount]],0)</f>
        <v>0.30555507689211253</v>
      </c>
    </row>
    <row r="149" spans="1:21" ht="18" x14ac:dyDescent="0.35">
      <c r="A149" s="21" t="s">
        <v>255</v>
      </c>
      <c r="B149" s="36">
        <v>45376</v>
      </c>
      <c r="C149" s="22">
        <f>YEAR(Table1_1[[#This Row],[Order Date]])</f>
        <v>2024</v>
      </c>
      <c r="D149" s="22" t="str">
        <f>TEXT(Table1_1[[#This Row],[Order Date]],"MMMM")</f>
        <v>March</v>
      </c>
      <c r="E149" s="22" t="s">
        <v>82</v>
      </c>
      <c r="F149" s="22" t="s">
        <v>87</v>
      </c>
      <c r="G149" s="22" t="s">
        <v>18</v>
      </c>
      <c r="H149" s="22" t="s">
        <v>19</v>
      </c>
      <c r="I149" s="22" t="s">
        <v>20</v>
      </c>
      <c r="J149" s="22" t="s">
        <v>45</v>
      </c>
      <c r="K149" s="22" t="s">
        <v>1618</v>
      </c>
      <c r="L149" s="22" t="s">
        <v>57</v>
      </c>
      <c r="M149" s="22" t="s">
        <v>24</v>
      </c>
      <c r="N149" s="22">
        <v>26</v>
      </c>
      <c r="O149" s="26">
        <v>1899</v>
      </c>
      <c r="P149" s="22">
        <v>0.18</v>
      </c>
      <c r="Q149" s="30">
        <v>1080</v>
      </c>
      <c r="R149" s="33">
        <f>Table1_1[[#This Row],[Units Sold]]*Table1_1[[#This Row],[Unit Price]]*1-Table1_1[[#This Row],[Discount]]</f>
        <v>49373.82</v>
      </c>
      <c r="S149" s="33">
        <f>Table1_1[[#This Row],[Units Sold]]*Table1_1[[#This Row],[Unit Cost]]</f>
        <v>28080</v>
      </c>
      <c r="T149" s="33">
        <f>Table1_1[[#This Row],[Sales Amount]]-S149</f>
        <v>21293.82</v>
      </c>
      <c r="U149" s="32">
        <f>IFERROR(Table1_1[[#This Row],[Profit/loss]]/Table1_1[[#This Row],[Sales Amount]],0)</f>
        <v>0.43127754749379327</v>
      </c>
    </row>
    <row r="150" spans="1:21" ht="18" x14ac:dyDescent="0.35">
      <c r="A150" s="21" t="s">
        <v>256</v>
      </c>
      <c r="B150" s="36">
        <v>45376</v>
      </c>
      <c r="C150" s="22">
        <f>YEAR(Table1_1[[#This Row],[Order Date]])</f>
        <v>2024</v>
      </c>
      <c r="D150" s="22" t="str">
        <f>TEXT(Table1_1[[#This Row],[Order Date]],"MMMM")</f>
        <v>March</v>
      </c>
      <c r="E150" s="22" t="s">
        <v>16</v>
      </c>
      <c r="F150" s="22" t="s">
        <v>126</v>
      </c>
      <c r="G150" s="22" t="s">
        <v>101</v>
      </c>
      <c r="H150" s="22" t="s">
        <v>29</v>
      </c>
      <c r="I150" s="22" t="s">
        <v>40</v>
      </c>
      <c r="J150" s="22" t="s">
        <v>41</v>
      </c>
      <c r="K150" s="22" t="s">
        <v>1628</v>
      </c>
      <c r="L150" s="22" t="s">
        <v>23</v>
      </c>
      <c r="M150" s="22" t="s">
        <v>24</v>
      </c>
      <c r="N150" s="22">
        <v>10</v>
      </c>
      <c r="O150" s="26">
        <v>48500</v>
      </c>
      <c r="P150" s="22">
        <v>0.05</v>
      </c>
      <c r="Q150" s="30">
        <v>30200</v>
      </c>
      <c r="R150" s="33">
        <f>Table1_1[[#This Row],[Units Sold]]*Table1_1[[#This Row],[Unit Price]]*1-Table1_1[[#This Row],[Discount]]</f>
        <v>484999.95</v>
      </c>
      <c r="S150" s="33">
        <f>Table1_1[[#This Row],[Units Sold]]*Table1_1[[#This Row],[Unit Cost]]</f>
        <v>302000</v>
      </c>
      <c r="T150" s="33">
        <f>Table1_1[[#This Row],[Sales Amount]]-S150</f>
        <v>182999.95</v>
      </c>
      <c r="U150" s="32">
        <f>IFERROR(Table1_1[[#This Row],[Profit/loss]]/Table1_1[[#This Row],[Sales Amount]],0)</f>
        <v>0.37731952343500241</v>
      </c>
    </row>
    <row r="151" spans="1:21" ht="18" x14ac:dyDescent="0.35">
      <c r="A151" s="21" t="s">
        <v>257</v>
      </c>
      <c r="B151" s="36">
        <v>45377</v>
      </c>
      <c r="C151" s="22">
        <f>YEAR(Table1_1[[#This Row],[Order Date]])</f>
        <v>2024</v>
      </c>
      <c r="D151" s="22" t="str">
        <f>TEXT(Table1_1[[#This Row],[Order Date]],"MMMM")</f>
        <v>March</v>
      </c>
      <c r="E151" s="22" t="s">
        <v>36</v>
      </c>
      <c r="F151" s="22" t="s">
        <v>121</v>
      </c>
      <c r="G151" s="22" t="s">
        <v>69</v>
      </c>
      <c r="H151" s="22" t="s">
        <v>29</v>
      </c>
      <c r="I151" s="22" t="s">
        <v>54</v>
      </c>
      <c r="J151" s="22" t="s">
        <v>90</v>
      </c>
      <c r="K151" s="22" t="s">
        <v>1631</v>
      </c>
      <c r="L151" s="22" t="s">
        <v>57</v>
      </c>
      <c r="M151" s="22" t="s">
        <v>34</v>
      </c>
      <c r="N151" s="22">
        <v>10</v>
      </c>
      <c r="O151" s="26">
        <v>29010</v>
      </c>
      <c r="P151" s="22">
        <v>0.05</v>
      </c>
      <c r="Q151" s="30">
        <v>19150</v>
      </c>
      <c r="R151" s="33">
        <f>Table1_1[[#This Row],[Units Sold]]*Table1_1[[#This Row],[Unit Price]]*1-Table1_1[[#This Row],[Discount]]</f>
        <v>290099.95</v>
      </c>
      <c r="S151" s="33">
        <f>Table1_1[[#This Row],[Units Sold]]*Table1_1[[#This Row],[Unit Cost]]</f>
        <v>191500</v>
      </c>
      <c r="T151" s="33">
        <f>Table1_1[[#This Row],[Sales Amount]]-S151</f>
        <v>98599.950000000012</v>
      </c>
      <c r="U151" s="32">
        <f>IFERROR(Table1_1[[#This Row],[Profit/loss]]/Table1_1[[#This Row],[Sales Amount]],0)</f>
        <v>0.33988268526071791</v>
      </c>
    </row>
    <row r="152" spans="1:21" ht="18" x14ac:dyDescent="0.35">
      <c r="A152" s="21" t="s">
        <v>259</v>
      </c>
      <c r="B152" s="36">
        <v>45377</v>
      </c>
      <c r="C152" s="22">
        <f>YEAR(Table1_1[[#This Row],[Order Date]])</f>
        <v>2024</v>
      </c>
      <c r="D152" s="22" t="str">
        <f>TEXT(Table1_1[[#This Row],[Order Date]],"MMMM")</f>
        <v>March</v>
      </c>
      <c r="E152" s="22" t="s">
        <v>26</v>
      </c>
      <c r="F152" s="22" t="s">
        <v>53</v>
      </c>
      <c r="G152" s="22" t="s">
        <v>50</v>
      </c>
      <c r="H152" s="22" t="s">
        <v>19</v>
      </c>
      <c r="I152" s="22" t="s">
        <v>20</v>
      </c>
      <c r="J152" s="22" t="s">
        <v>21</v>
      </c>
      <c r="K152" s="22" t="s">
        <v>51</v>
      </c>
      <c r="L152" s="22" t="s">
        <v>23</v>
      </c>
      <c r="M152" s="22" t="s">
        <v>78</v>
      </c>
      <c r="N152" s="22">
        <v>12</v>
      </c>
      <c r="O152" s="26">
        <v>5999</v>
      </c>
      <c r="P152" s="22">
        <v>0.15</v>
      </c>
      <c r="Q152" s="30">
        <v>3890</v>
      </c>
      <c r="R152" s="33">
        <f>Table1_1[[#This Row],[Units Sold]]*Table1_1[[#This Row],[Unit Price]]*1-Table1_1[[#This Row],[Discount]]</f>
        <v>71987.850000000006</v>
      </c>
      <c r="S152" s="33">
        <f>Table1_1[[#This Row],[Units Sold]]*Table1_1[[#This Row],[Unit Cost]]</f>
        <v>46680</v>
      </c>
      <c r="T152" s="33">
        <f>Table1_1[[#This Row],[Sales Amount]]-S152</f>
        <v>25307.850000000006</v>
      </c>
      <c r="U152" s="32">
        <f>IFERROR(Table1_1[[#This Row],[Profit/loss]]/Table1_1[[#This Row],[Sales Amount]],0)</f>
        <v>0.35155724195124599</v>
      </c>
    </row>
    <row r="153" spans="1:21" ht="18" x14ac:dyDescent="0.35">
      <c r="A153" s="21" t="s">
        <v>260</v>
      </c>
      <c r="B153" s="36">
        <v>45377</v>
      </c>
      <c r="C153" s="22">
        <f>YEAR(Table1_1[[#This Row],[Order Date]])</f>
        <v>2024</v>
      </c>
      <c r="D153" s="22" t="str">
        <f>TEXT(Table1_1[[#This Row],[Order Date]],"MMMM")</f>
        <v>March</v>
      </c>
      <c r="E153" s="22" t="s">
        <v>82</v>
      </c>
      <c r="F153" s="22" t="s">
        <v>87</v>
      </c>
      <c r="G153" s="22" t="s">
        <v>38</v>
      </c>
      <c r="H153" s="22" t="s">
        <v>39</v>
      </c>
      <c r="I153" s="22" t="s">
        <v>20</v>
      </c>
      <c r="J153" s="22" t="s">
        <v>45</v>
      </c>
      <c r="K153" s="22" t="s">
        <v>196</v>
      </c>
      <c r="L153" s="22" t="s">
        <v>57</v>
      </c>
      <c r="M153" s="22" t="s">
        <v>34</v>
      </c>
      <c r="N153" s="22">
        <v>29</v>
      </c>
      <c r="O153" s="26">
        <v>2499</v>
      </c>
      <c r="P153" s="22">
        <v>0.12</v>
      </c>
      <c r="Q153" s="30">
        <v>1510</v>
      </c>
      <c r="R153" s="33">
        <f>Table1_1[[#This Row],[Units Sold]]*Table1_1[[#This Row],[Unit Price]]*1-Table1_1[[#This Row],[Discount]]</f>
        <v>72470.880000000005</v>
      </c>
      <c r="S153" s="33">
        <f>Table1_1[[#This Row],[Units Sold]]*Table1_1[[#This Row],[Unit Cost]]</f>
        <v>43790</v>
      </c>
      <c r="T153" s="33">
        <f>Table1_1[[#This Row],[Sales Amount]]-S153</f>
        <v>28680.880000000005</v>
      </c>
      <c r="U153" s="32">
        <f>IFERROR(Table1_1[[#This Row],[Profit/loss]]/Table1_1[[#This Row],[Sales Amount]],0)</f>
        <v>0.39575730279527449</v>
      </c>
    </row>
    <row r="154" spans="1:21" ht="18" x14ac:dyDescent="0.35">
      <c r="A154" s="21" t="s">
        <v>261</v>
      </c>
      <c r="B154" s="36">
        <v>45377</v>
      </c>
      <c r="C154" s="22">
        <f>YEAR(Table1_1[[#This Row],[Order Date]])</f>
        <v>2024</v>
      </c>
      <c r="D154" s="22" t="str">
        <f>TEXT(Table1_1[[#This Row],[Order Date]],"MMMM")</f>
        <v>March</v>
      </c>
      <c r="E154" s="22" t="s">
        <v>26</v>
      </c>
      <c r="F154" s="22" t="s">
        <v>53</v>
      </c>
      <c r="G154" s="22" t="s">
        <v>60</v>
      </c>
      <c r="H154" s="22" t="s">
        <v>29</v>
      </c>
      <c r="I154" s="22" t="s">
        <v>54</v>
      </c>
      <c r="J154" s="22" t="s">
        <v>129</v>
      </c>
      <c r="K154" s="22" t="s">
        <v>1630</v>
      </c>
      <c r="L154" s="22" t="s">
        <v>23</v>
      </c>
      <c r="M154" s="22" t="s">
        <v>24</v>
      </c>
      <c r="N154" s="22">
        <v>6</v>
      </c>
      <c r="O154" s="26">
        <v>29010</v>
      </c>
      <c r="P154" s="22">
        <v>0.08</v>
      </c>
      <c r="Q154" s="30">
        <v>19100</v>
      </c>
      <c r="R154" s="33">
        <f>Table1_1[[#This Row],[Units Sold]]*Table1_1[[#This Row],[Unit Price]]*1-Table1_1[[#This Row],[Discount]]</f>
        <v>174059.92</v>
      </c>
      <c r="S154" s="33">
        <f>Table1_1[[#This Row],[Units Sold]]*Table1_1[[#This Row],[Unit Cost]]</f>
        <v>114600</v>
      </c>
      <c r="T154" s="33">
        <f>Table1_1[[#This Row],[Sales Amount]]-S154</f>
        <v>59459.920000000013</v>
      </c>
      <c r="U154" s="32">
        <f>IFERROR(Table1_1[[#This Row],[Profit/loss]]/Table1_1[[#This Row],[Sales Amount]],0)</f>
        <v>0.34160604003494893</v>
      </c>
    </row>
    <row r="155" spans="1:21" ht="18" x14ac:dyDescent="0.35">
      <c r="A155" s="21" t="s">
        <v>262</v>
      </c>
      <c r="B155" s="36">
        <v>45377</v>
      </c>
      <c r="C155" s="22">
        <f>YEAR(Table1_1[[#This Row],[Order Date]])</f>
        <v>2024</v>
      </c>
      <c r="D155" s="22" t="str">
        <f>TEXT(Table1_1[[#This Row],[Order Date]],"MMMM")</f>
        <v>March</v>
      </c>
      <c r="E155" s="22" t="s">
        <v>82</v>
      </c>
      <c r="F155" s="22" t="s">
        <v>83</v>
      </c>
      <c r="G155" s="22" t="s">
        <v>18</v>
      </c>
      <c r="H155" s="22" t="s">
        <v>19</v>
      </c>
      <c r="I155" s="22" t="s">
        <v>30</v>
      </c>
      <c r="J155" s="22" t="s">
        <v>31</v>
      </c>
      <c r="K155" s="22" t="s">
        <v>85</v>
      </c>
      <c r="L155" s="22" t="s">
        <v>33</v>
      </c>
      <c r="M155" s="22" t="s">
        <v>24</v>
      </c>
      <c r="N155" s="22">
        <v>19</v>
      </c>
      <c r="O155" s="26">
        <v>43500</v>
      </c>
      <c r="P155" s="22">
        <v>0.12</v>
      </c>
      <c r="Q155" s="30">
        <v>29520</v>
      </c>
      <c r="R155" s="33">
        <f>Table1_1[[#This Row],[Units Sold]]*Table1_1[[#This Row],[Unit Price]]*1-Table1_1[[#This Row],[Discount]]</f>
        <v>826499.88</v>
      </c>
      <c r="S155" s="33">
        <f>Table1_1[[#This Row],[Units Sold]]*Table1_1[[#This Row],[Unit Cost]]</f>
        <v>560880</v>
      </c>
      <c r="T155" s="33">
        <f>Table1_1[[#This Row],[Sales Amount]]-S155</f>
        <v>265619.88</v>
      </c>
      <c r="U155" s="32">
        <f>IFERROR(Table1_1[[#This Row],[Profit/loss]]/Table1_1[[#This Row],[Sales Amount]],0)</f>
        <v>0.32137921181549356</v>
      </c>
    </row>
    <row r="156" spans="1:21" ht="18" x14ac:dyDescent="0.35">
      <c r="A156" s="21" t="s">
        <v>263</v>
      </c>
      <c r="B156" s="36">
        <v>45379</v>
      </c>
      <c r="C156" s="22">
        <f>YEAR(Table1_1[[#This Row],[Order Date]])</f>
        <v>2024</v>
      </c>
      <c r="D156" s="22" t="str">
        <f>TEXT(Table1_1[[#This Row],[Order Date]],"MMMM")</f>
        <v>March</v>
      </c>
      <c r="E156" s="22" t="s">
        <v>82</v>
      </c>
      <c r="F156" s="22" t="s">
        <v>83</v>
      </c>
      <c r="G156" s="22" t="s">
        <v>18</v>
      </c>
      <c r="H156" s="22" t="s">
        <v>39</v>
      </c>
      <c r="I156" s="22" t="s">
        <v>70</v>
      </c>
      <c r="J156" s="22" t="s">
        <v>71</v>
      </c>
      <c r="K156" s="22" t="s">
        <v>88</v>
      </c>
      <c r="L156" s="22" t="s">
        <v>57</v>
      </c>
      <c r="M156" s="22" t="s">
        <v>78</v>
      </c>
      <c r="N156" s="22">
        <v>20</v>
      </c>
      <c r="O156" s="26">
        <v>999</v>
      </c>
      <c r="P156" s="22">
        <v>0.2</v>
      </c>
      <c r="Q156" s="30">
        <v>540</v>
      </c>
      <c r="R156" s="33">
        <f>Table1_1[[#This Row],[Units Sold]]*Table1_1[[#This Row],[Unit Price]]*1-Table1_1[[#This Row],[Discount]]</f>
        <v>19979.8</v>
      </c>
      <c r="S156" s="33">
        <f>Table1_1[[#This Row],[Units Sold]]*Table1_1[[#This Row],[Unit Cost]]</f>
        <v>10800</v>
      </c>
      <c r="T156" s="33">
        <f>Table1_1[[#This Row],[Sales Amount]]-S156</f>
        <v>9179.7999999999993</v>
      </c>
      <c r="U156" s="32">
        <f>IFERROR(Table1_1[[#This Row],[Profit/loss]]/Table1_1[[#This Row],[Sales Amount]],0)</f>
        <v>0.45945404858907496</v>
      </c>
    </row>
    <row r="157" spans="1:21" ht="18" x14ac:dyDescent="0.35">
      <c r="A157" s="21" t="s">
        <v>264</v>
      </c>
      <c r="B157" s="36">
        <v>45379</v>
      </c>
      <c r="C157" s="22">
        <f>YEAR(Table1_1[[#This Row],[Order Date]])</f>
        <v>2024</v>
      </c>
      <c r="D157" s="22" t="str">
        <f>TEXT(Table1_1[[#This Row],[Order Date]],"MMMM")</f>
        <v>March</v>
      </c>
      <c r="E157" s="22" t="s">
        <v>48</v>
      </c>
      <c r="F157" s="22" t="s">
        <v>136</v>
      </c>
      <c r="G157" s="22" t="s">
        <v>60</v>
      </c>
      <c r="H157" s="22" t="s">
        <v>29</v>
      </c>
      <c r="I157" s="22" t="s">
        <v>54</v>
      </c>
      <c r="J157" s="22" t="s">
        <v>129</v>
      </c>
      <c r="K157" s="22" t="s">
        <v>1630</v>
      </c>
      <c r="L157" s="22" t="s">
        <v>57</v>
      </c>
      <c r="M157" s="22" t="s">
        <v>24</v>
      </c>
      <c r="N157" s="22">
        <v>30</v>
      </c>
      <c r="O157" s="26">
        <v>29010</v>
      </c>
      <c r="P157" s="22">
        <v>0.15</v>
      </c>
      <c r="Q157" s="30">
        <v>19100</v>
      </c>
      <c r="R157" s="33">
        <f>Table1_1[[#This Row],[Units Sold]]*Table1_1[[#This Row],[Unit Price]]*1-Table1_1[[#This Row],[Discount]]</f>
        <v>870299.85</v>
      </c>
      <c r="S157" s="33">
        <f>Table1_1[[#This Row],[Units Sold]]*Table1_1[[#This Row],[Unit Cost]]</f>
        <v>573000</v>
      </c>
      <c r="T157" s="33">
        <f>Table1_1[[#This Row],[Sales Amount]]-S157</f>
        <v>297299.84999999998</v>
      </c>
      <c r="U157" s="32">
        <f>IFERROR(Table1_1[[#This Row],[Profit/loss]]/Table1_1[[#This Row],[Sales Amount]],0)</f>
        <v>0.34160622916343142</v>
      </c>
    </row>
    <row r="158" spans="1:21" ht="18" x14ac:dyDescent="0.35">
      <c r="A158" s="21" t="s">
        <v>265</v>
      </c>
      <c r="B158" s="36">
        <v>45381</v>
      </c>
      <c r="C158" s="22">
        <f>YEAR(Table1_1[[#This Row],[Order Date]])</f>
        <v>2024</v>
      </c>
      <c r="D158" s="22" t="str">
        <f>TEXT(Table1_1[[#This Row],[Order Date]],"MMMM")</f>
        <v>March</v>
      </c>
      <c r="E158" s="22" t="s">
        <v>16</v>
      </c>
      <c r="F158" s="22" t="s">
        <v>98</v>
      </c>
      <c r="G158" s="22" t="s">
        <v>84</v>
      </c>
      <c r="H158" s="22" t="s">
        <v>29</v>
      </c>
      <c r="I158" s="22" t="s">
        <v>30</v>
      </c>
      <c r="J158" s="22" t="s">
        <v>61</v>
      </c>
      <c r="K158" s="22" t="s">
        <v>62</v>
      </c>
      <c r="L158" s="22" t="s">
        <v>33</v>
      </c>
      <c r="M158" s="22" t="s">
        <v>66</v>
      </c>
      <c r="N158" s="22">
        <v>16</v>
      </c>
      <c r="O158" s="26">
        <v>12490</v>
      </c>
      <c r="P158" s="22">
        <v>0.15</v>
      </c>
      <c r="Q158" s="30">
        <v>7900</v>
      </c>
      <c r="R158" s="33">
        <f>Table1_1[[#This Row],[Units Sold]]*Table1_1[[#This Row],[Unit Price]]*1-Table1_1[[#This Row],[Discount]]</f>
        <v>199839.85</v>
      </c>
      <c r="S158" s="33">
        <f>Table1_1[[#This Row],[Units Sold]]*Table1_1[[#This Row],[Unit Cost]]</f>
        <v>126400</v>
      </c>
      <c r="T158" s="33">
        <f>Table1_1[[#This Row],[Sales Amount]]-S158</f>
        <v>73439.850000000006</v>
      </c>
      <c r="U158" s="32">
        <f>IFERROR(Table1_1[[#This Row],[Profit/loss]]/Table1_1[[#This Row],[Sales Amount]],0)</f>
        <v>0.36749352043648953</v>
      </c>
    </row>
    <row r="159" spans="1:21" ht="18" x14ac:dyDescent="0.35">
      <c r="A159" s="21" t="s">
        <v>266</v>
      </c>
      <c r="B159" s="36">
        <v>45381</v>
      </c>
      <c r="C159" s="22">
        <f>YEAR(Table1_1[[#This Row],[Order Date]])</f>
        <v>2024</v>
      </c>
      <c r="D159" s="22" t="str">
        <f>TEXT(Table1_1[[#This Row],[Order Date]],"MMMM")</f>
        <v>March</v>
      </c>
      <c r="E159" s="22" t="s">
        <v>36</v>
      </c>
      <c r="F159" s="22" t="s">
        <v>37</v>
      </c>
      <c r="G159" s="22" t="s">
        <v>84</v>
      </c>
      <c r="H159" s="22" t="s">
        <v>19</v>
      </c>
      <c r="I159" s="22" t="s">
        <v>54</v>
      </c>
      <c r="J159" s="22" t="s">
        <v>90</v>
      </c>
      <c r="K159" s="22" t="s">
        <v>1631</v>
      </c>
      <c r="L159" s="22" t="s">
        <v>57</v>
      </c>
      <c r="M159" s="22" t="s">
        <v>34</v>
      </c>
      <c r="N159" s="22">
        <v>4</v>
      </c>
      <c r="O159" s="26">
        <v>29010</v>
      </c>
      <c r="P159" s="22">
        <v>0.05</v>
      </c>
      <c r="Q159" s="30">
        <v>19150</v>
      </c>
      <c r="R159" s="33">
        <f>Table1_1[[#This Row],[Units Sold]]*Table1_1[[#This Row],[Unit Price]]*1-Table1_1[[#This Row],[Discount]]</f>
        <v>116039.95</v>
      </c>
      <c r="S159" s="33">
        <f>Table1_1[[#This Row],[Units Sold]]*Table1_1[[#This Row],[Unit Cost]]</f>
        <v>76600</v>
      </c>
      <c r="T159" s="33">
        <f>Table1_1[[#This Row],[Sales Amount]]-S159</f>
        <v>39439.949999999997</v>
      </c>
      <c r="U159" s="32">
        <f>IFERROR(Table1_1[[#This Row],[Profit/loss]]/Table1_1[[#This Row],[Sales Amount]],0)</f>
        <v>0.33988251459949781</v>
      </c>
    </row>
    <row r="160" spans="1:21" ht="18" x14ac:dyDescent="0.35">
      <c r="A160" s="21" t="s">
        <v>267</v>
      </c>
      <c r="B160" s="36">
        <v>45381</v>
      </c>
      <c r="C160" s="22">
        <f>YEAR(Table1_1[[#This Row],[Order Date]])</f>
        <v>2024</v>
      </c>
      <c r="D160" s="22" t="str">
        <f>TEXT(Table1_1[[#This Row],[Order Date]],"MMMM")</f>
        <v>March</v>
      </c>
      <c r="E160" s="22" t="s">
        <v>36</v>
      </c>
      <c r="F160" s="22" t="s">
        <v>59</v>
      </c>
      <c r="G160" s="22" t="s">
        <v>75</v>
      </c>
      <c r="H160" s="22" t="s">
        <v>29</v>
      </c>
      <c r="I160" s="22" t="s">
        <v>30</v>
      </c>
      <c r="J160" s="22" t="s">
        <v>31</v>
      </c>
      <c r="K160" s="22" t="s">
        <v>32</v>
      </c>
      <c r="L160" s="22" t="s">
        <v>23</v>
      </c>
      <c r="M160" s="22" t="s">
        <v>78</v>
      </c>
      <c r="N160" s="22">
        <v>40</v>
      </c>
      <c r="O160" s="26">
        <v>38990</v>
      </c>
      <c r="P160" s="22">
        <v>0.05</v>
      </c>
      <c r="Q160" s="30">
        <v>25400</v>
      </c>
      <c r="R160" s="33">
        <f>Table1_1[[#This Row],[Units Sold]]*Table1_1[[#This Row],[Unit Price]]*1-Table1_1[[#This Row],[Discount]]</f>
        <v>1559599.95</v>
      </c>
      <c r="S160" s="33">
        <f>Table1_1[[#This Row],[Units Sold]]*Table1_1[[#This Row],[Unit Cost]]</f>
        <v>1016000</v>
      </c>
      <c r="T160" s="33">
        <f>Table1_1[[#This Row],[Sales Amount]]-S160</f>
        <v>543599.94999999995</v>
      </c>
      <c r="U160" s="32">
        <f>IFERROR(Table1_1[[#This Row],[Profit/loss]]/Table1_1[[#This Row],[Sales Amount]],0)</f>
        <v>0.34855088960473485</v>
      </c>
    </row>
    <row r="161" spans="1:21" ht="18" x14ac:dyDescent="0.35">
      <c r="A161" s="21" t="s">
        <v>268</v>
      </c>
      <c r="B161" s="36">
        <v>45381</v>
      </c>
      <c r="C161" s="22">
        <f>YEAR(Table1_1[[#This Row],[Order Date]])</f>
        <v>2024</v>
      </c>
      <c r="D161" s="22" t="str">
        <f>TEXT(Table1_1[[#This Row],[Order Date]],"MMMM")</f>
        <v>March</v>
      </c>
      <c r="E161" s="22" t="s">
        <v>16</v>
      </c>
      <c r="F161" s="22" t="s">
        <v>126</v>
      </c>
      <c r="G161" s="22" t="s">
        <v>84</v>
      </c>
      <c r="H161" s="22" t="s">
        <v>19</v>
      </c>
      <c r="I161" s="22" t="s">
        <v>54</v>
      </c>
      <c r="J161" s="22" t="s">
        <v>90</v>
      </c>
      <c r="K161" s="22" t="s">
        <v>1631</v>
      </c>
      <c r="L161" s="22" t="s">
        <v>57</v>
      </c>
      <c r="M161" s="22" t="s">
        <v>24</v>
      </c>
      <c r="N161" s="22">
        <v>34</v>
      </c>
      <c r="O161" s="26">
        <v>29010</v>
      </c>
      <c r="P161" s="22">
        <v>0.1</v>
      </c>
      <c r="Q161" s="30">
        <v>19150</v>
      </c>
      <c r="R161" s="33">
        <f>Table1_1[[#This Row],[Units Sold]]*Table1_1[[#This Row],[Unit Price]]*1-Table1_1[[#This Row],[Discount]]</f>
        <v>986339.9</v>
      </c>
      <c r="S161" s="33">
        <f>Table1_1[[#This Row],[Units Sold]]*Table1_1[[#This Row],[Unit Cost]]</f>
        <v>651100</v>
      </c>
      <c r="T161" s="33">
        <f>Table1_1[[#This Row],[Sales Amount]]-S161</f>
        <v>335239.90000000002</v>
      </c>
      <c r="U161" s="32">
        <f>IFERROR(Table1_1[[#This Row],[Profit/loss]]/Table1_1[[#This Row],[Sales Amount]],0)</f>
        <v>0.33988273210888054</v>
      </c>
    </row>
    <row r="162" spans="1:21" ht="18" x14ac:dyDescent="0.35">
      <c r="A162" s="21" t="s">
        <v>269</v>
      </c>
      <c r="B162" s="36">
        <v>45382</v>
      </c>
      <c r="C162" s="22">
        <f>YEAR(Table1_1[[#This Row],[Order Date]])</f>
        <v>2024</v>
      </c>
      <c r="D162" s="22" t="str">
        <f>TEXT(Table1_1[[#This Row],[Order Date]],"MMMM")</f>
        <v>March</v>
      </c>
      <c r="E162" s="22" t="s">
        <v>26</v>
      </c>
      <c r="F162" s="22" t="s">
        <v>74</v>
      </c>
      <c r="G162" s="22" t="s">
        <v>69</v>
      </c>
      <c r="H162" s="22" t="s">
        <v>29</v>
      </c>
      <c r="I162" s="22" t="s">
        <v>54</v>
      </c>
      <c r="J162" s="22" t="s">
        <v>129</v>
      </c>
      <c r="K162" s="22" t="s">
        <v>130</v>
      </c>
      <c r="L162" s="22" t="s">
        <v>33</v>
      </c>
      <c r="M162" s="22" t="s">
        <v>24</v>
      </c>
      <c r="N162" s="22">
        <v>28</v>
      </c>
      <c r="O162" s="26">
        <v>27890</v>
      </c>
      <c r="P162" s="22">
        <v>0.08</v>
      </c>
      <c r="Q162" s="30">
        <v>18800</v>
      </c>
      <c r="R162" s="33">
        <f>Table1_1[[#This Row],[Units Sold]]*Table1_1[[#This Row],[Unit Price]]*1-Table1_1[[#This Row],[Discount]]</f>
        <v>780919.92</v>
      </c>
      <c r="S162" s="33">
        <f>Table1_1[[#This Row],[Units Sold]]*Table1_1[[#This Row],[Unit Cost]]</f>
        <v>526400</v>
      </c>
      <c r="T162" s="33">
        <f>Table1_1[[#This Row],[Sales Amount]]-S162</f>
        <v>254519.92000000004</v>
      </c>
      <c r="U162" s="32">
        <f>IFERROR(Table1_1[[#This Row],[Profit/loss]]/Table1_1[[#This Row],[Sales Amount]],0)</f>
        <v>0.32592320093461058</v>
      </c>
    </row>
    <row r="163" spans="1:21" ht="18" x14ac:dyDescent="0.35">
      <c r="A163" s="21" t="s">
        <v>270</v>
      </c>
      <c r="B163" s="36">
        <v>45382</v>
      </c>
      <c r="C163" s="22">
        <f>YEAR(Table1_1[[#This Row],[Order Date]])</f>
        <v>2024</v>
      </c>
      <c r="D163" s="22" t="str">
        <f>TEXT(Table1_1[[#This Row],[Order Date]],"MMMM")</f>
        <v>March</v>
      </c>
      <c r="E163" s="22" t="s">
        <v>36</v>
      </c>
      <c r="F163" s="22" t="s">
        <v>121</v>
      </c>
      <c r="G163" s="22" t="s">
        <v>75</v>
      </c>
      <c r="H163" s="22" t="s">
        <v>39</v>
      </c>
      <c r="I163" s="22" t="s">
        <v>20</v>
      </c>
      <c r="J163" s="22" t="s">
        <v>21</v>
      </c>
      <c r="K163" s="22" t="s">
        <v>51</v>
      </c>
      <c r="L163" s="22" t="s">
        <v>23</v>
      </c>
      <c r="M163" s="22" t="s">
        <v>24</v>
      </c>
      <c r="N163" s="22">
        <v>9</v>
      </c>
      <c r="O163" s="26">
        <v>5999</v>
      </c>
      <c r="P163" s="22">
        <v>0.1</v>
      </c>
      <c r="Q163" s="30">
        <v>3890</v>
      </c>
      <c r="R163" s="33">
        <f>Table1_1[[#This Row],[Units Sold]]*Table1_1[[#This Row],[Unit Price]]*1-Table1_1[[#This Row],[Discount]]</f>
        <v>53990.9</v>
      </c>
      <c r="S163" s="33">
        <f>Table1_1[[#This Row],[Units Sold]]*Table1_1[[#This Row],[Unit Cost]]</f>
        <v>35010</v>
      </c>
      <c r="T163" s="33">
        <f>Table1_1[[#This Row],[Sales Amount]]-S163</f>
        <v>18980.900000000001</v>
      </c>
      <c r="U163" s="32">
        <f>IFERROR(Table1_1[[#This Row],[Profit/loss]]/Table1_1[[#This Row],[Sales Amount]],0)</f>
        <v>0.35155739207903558</v>
      </c>
    </row>
    <row r="164" spans="1:21" ht="18" x14ac:dyDescent="0.35">
      <c r="A164" s="21" t="s">
        <v>271</v>
      </c>
      <c r="B164" s="36">
        <v>45382</v>
      </c>
      <c r="C164" s="22">
        <f>YEAR(Table1_1[[#This Row],[Order Date]])</f>
        <v>2024</v>
      </c>
      <c r="D164" s="22" t="str">
        <f>TEXT(Table1_1[[#This Row],[Order Date]],"MMMM")</f>
        <v>March</v>
      </c>
      <c r="E164" s="22" t="s">
        <v>82</v>
      </c>
      <c r="F164" s="22" t="s">
        <v>83</v>
      </c>
      <c r="G164" s="22" t="s">
        <v>18</v>
      </c>
      <c r="H164" s="22" t="s">
        <v>39</v>
      </c>
      <c r="I164" s="22" t="s">
        <v>70</v>
      </c>
      <c r="J164" s="22" t="s">
        <v>71</v>
      </c>
      <c r="K164" s="22" t="s">
        <v>72</v>
      </c>
      <c r="L164" s="22" t="s">
        <v>57</v>
      </c>
      <c r="M164" s="22" t="s">
        <v>66</v>
      </c>
      <c r="N164" s="22">
        <v>19</v>
      </c>
      <c r="O164" s="26">
        <v>3499</v>
      </c>
      <c r="P164" s="22">
        <v>0.08</v>
      </c>
      <c r="Q164" s="30">
        <v>2190</v>
      </c>
      <c r="R164" s="33">
        <f>Table1_1[[#This Row],[Units Sold]]*Table1_1[[#This Row],[Unit Price]]*1-Table1_1[[#This Row],[Discount]]</f>
        <v>66480.92</v>
      </c>
      <c r="S164" s="33">
        <f>Table1_1[[#This Row],[Units Sold]]*Table1_1[[#This Row],[Unit Cost]]</f>
        <v>41610</v>
      </c>
      <c r="T164" s="33">
        <f>Table1_1[[#This Row],[Sales Amount]]-S164</f>
        <v>24870.92</v>
      </c>
      <c r="U164" s="32">
        <f>IFERROR(Table1_1[[#This Row],[Profit/loss]]/Table1_1[[#This Row],[Sales Amount]],0)</f>
        <v>0.37410613451197727</v>
      </c>
    </row>
    <row r="165" spans="1:21" ht="18" x14ac:dyDescent="0.35">
      <c r="A165" s="21" t="s">
        <v>272</v>
      </c>
      <c r="B165" s="36">
        <v>45383</v>
      </c>
      <c r="C165" s="22">
        <f>YEAR(Table1_1[[#This Row],[Order Date]])</f>
        <v>2024</v>
      </c>
      <c r="D165" s="22" t="str">
        <f>TEXT(Table1_1[[#This Row],[Order Date]],"MMMM")</f>
        <v>April</v>
      </c>
      <c r="E165" s="22" t="s">
        <v>36</v>
      </c>
      <c r="F165" s="22" t="s">
        <v>59</v>
      </c>
      <c r="G165" s="22" t="s">
        <v>105</v>
      </c>
      <c r="H165" s="22" t="s">
        <v>29</v>
      </c>
      <c r="I165" s="22" t="s">
        <v>30</v>
      </c>
      <c r="J165" s="22" t="s">
        <v>31</v>
      </c>
      <c r="K165" s="22" t="s">
        <v>85</v>
      </c>
      <c r="L165" s="22" t="s">
        <v>57</v>
      </c>
      <c r="M165" s="22" t="s">
        <v>24</v>
      </c>
      <c r="N165" s="22">
        <v>17</v>
      </c>
      <c r="O165" s="26">
        <v>43500</v>
      </c>
      <c r="P165" s="22">
        <v>0.15</v>
      </c>
      <c r="Q165" s="30">
        <v>29520</v>
      </c>
      <c r="R165" s="33">
        <f>Table1_1[[#This Row],[Units Sold]]*Table1_1[[#This Row],[Unit Price]]*1-Table1_1[[#This Row],[Discount]]</f>
        <v>739499.85</v>
      </c>
      <c r="S165" s="33">
        <f>Table1_1[[#This Row],[Units Sold]]*Table1_1[[#This Row],[Unit Cost]]</f>
        <v>501840</v>
      </c>
      <c r="T165" s="33">
        <f>Table1_1[[#This Row],[Sales Amount]]-S165</f>
        <v>237659.84999999998</v>
      </c>
      <c r="U165" s="32">
        <f>IFERROR(Table1_1[[#This Row],[Profit/loss]]/Table1_1[[#This Row],[Sales Amount]],0)</f>
        <v>0.32137917269354416</v>
      </c>
    </row>
    <row r="166" spans="1:21" ht="18" x14ac:dyDescent="0.35">
      <c r="A166" s="21" t="s">
        <v>273</v>
      </c>
      <c r="B166" s="36">
        <v>45383</v>
      </c>
      <c r="C166" s="22">
        <f>YEAR(Table1_1[[#This Row],[Order Date]])</f>
        <v>2024</v>
      </c>
      <c r="D166" s="22" t="str">
        <f>TEXT(Table1_1[[#This Row],[Order Date]],"MMMM")</f>
        <v>April</v>
      </c>
      <c r="E166" s="22" t="s">
        <v>48</v>
      </c>
      <c r="F166" s="22" t="s">
        <v>68</v>
      </c>
      <c r="G166" s="22" t="s">
        <v>38</v>
      </c>
      <c r="H166" s="22" t="s">
        <v>19</v>
      </c>
      <c r="I166" s="22" t="s">
        <v>70</v>
      </c>
      <c r="J166" s="22" t="s">
        <v>71</v>
      </c>
      <c r="K166" s="22" t="s">
        <v>80</v>
      </c>
      <c r="L166" s="22" t="s">
        <v>33</v>
      </c>
      <c r="M166" s="22" t="s">
        <v>24</v>
      </c>
      <c r="N166" s="22">
        <v>27</v>
      </c>
      <c r="O166" s="26">
        <v>1299</v>
      </c>
      <c r="P166" s="22">
        <v>0.05</v>
      </c>
      <c r="Q166" s="30">
        <v>720</v>
      </c>
      <c r="R166" s="33">
        <f>Table1_1[[#This Row],[Units Sold]]*Table1_1[[#This Row],[Unit Price]]*1-Table1_1[[#This Row],[Discount]]</f>
        <v>35072.949999999997</v>
      </c>
      <c r="S166" s="33">
        <f>Table1_1[[#This Row],[Units Sold]]*Table1_1[[#This Row],[Unit Cost]]</f>
        <v>19440</v>
      </c>
      <c r="T166" s="33">
        <f>Table1_1[[#This Row],[Sales Amount]]-S166</f>
        <v>15632.949999999997</v>
      </c>
      <c r="U166" s="32">
        <f>IFERROR(Table1_1[[#This Row],[Profit/loss]]/Table1_1[[#This Row],[Sales Amount]],0)</f>
        <v>0.44572669250804392</v>
      </c>
    </row>
    <row r="167" spans="1:21" ht="18" x14ac:dyDescent="0.35">
      <c r="A167" s="21" t="s">
        <v>274</v>
      </c>
      <c r="B167" s="36">
        <v>45383</v>
      </c>
      <c r="C167" s="22">
        <f>YEAR(Table1_1[[#This Row],[Order Date]])</f>
        <v>2024</v>
      </c>
      <c r="D167" s="22" t="str">
        <f>TEXT(Table1_1[[#This Row],[Order Date]],"MMMM")</f>
        <v>April</v>
      </c>
      <c r="E167" s="22" t="s">
        <v>82</v>
      </c>
      <c r="F167" s="22" t="s">
        <v>183</v>
      </c>
      <c r="G167" s="22" t="s">
        <v>28</v>
      </c>
      <c r="H167" s="22" t="s">
        <v>39</v>
      </c>
      <c r="I167" s="22" t="s">
        <v>40</v>
      </c>
      <c r="J167" s="22" t="s">
        <v>41</v>
      </c>
      <c r="K167" s="22" t="s">
        <v>42</v>
      </c>
      <c r="L167" s="22" t="s">
        <v>33</v>
      </c>
      <c r="M167" s="22" t="s">
        <v>24</v>
      </c>
      <c r="N167" s="22">
        <v>28</v>
      </c>
      <c r="O167" s="26">
        <v>55230</v>
      </c>
      <c r="P167" s="22">
        <v>0.12</v>
      </c>
      <c r="Q167" s="30">
        <v>33800</v>
      </c>
      <c r="R167" s="33">
        <f>Table1_1[[#This Row],[Units Sold]]*Table1_1[[#This Row],[Unit Price]]*1-Table1_1[[#This Row],[Discount]]</f>
        <v>1546439.88</v>
      </c>
      <c r="S167" s="33">
        <f>Table1_1[[#This Row],[Units Sold]]*Table1_1[[#This Row],[Unit Cost]]</f>
        <v>946400</v>
      </c>
      <c r="T167" s="33">
        <f>Table1_1[[#This Row],[Sales Amount]]-S167</f>
        <v>600039.87999999989</v>
      </c>
      <c r="U167" s="32">
        <f>IFERROR(Table1_1[[#This Row],[Profit/loss]]/Table1_1[[#This Row],[Sales Amount]],0)</f>
        <v>0.38801371314868055</v>
      </c>
    </row>
    <row r="168" spans="1:21" ht="18" x14ac:dyDescent="0.35">
      <c r="A168" s="21" t="s">
        <v>275</v>
      </c>
      <c r="B168" s="36">
        <v>45383</v>
      </c>
      <c r="C168" s="22">
        <f>YEAR(Table1_1[[#This Row],[Order Date]])</f>
        <v>2024</v>
      </c>
      <c r="D168" s="22" t="str">
        <f>TEXT(Table1_1[[#This Row],[Order Date]],"MMMM")</f>
        <v>April</v>
      </c>
      <c r="E168" s="22" t="s">
        <v>16</v>
      </c>
      <c r="F168" s="22" t="s">
        <v>98</v>
      </c>
      <c r="G168" s="22" t="s">
        <v>101</v>
      </c>
      <c r="H168" s="22" t="s">
        <v>19</v>
      </c>
      <c r="I168" s="22" t="s">
        <v>54</v>
      </c>
      <c r="J168" s="22" t="s">
        <v>90</v>
      </c>
      <c r="K168" s="22" t="s">
        <v>1625</v>
      </c>
      <c r="L168" s="22" t="s">
        <v>57</v>
      </c>
      <c r="M168" s="22" t="s">
        <v>24</v>
      </c>
      <c r="N168" s="22">
        <v>40</v>
      </c>
      <c r="O168" s="26">
        <v>32800</v>
      </c>
      <c r="P168" s="22">
        <v>0.12</v>
      </c>
      <c r="Q168" s="30">
        <v>23100</v>
      </c>
      <c r="R168" s="33">
        <f>Table1_1[[#This Row],[Units Sold]]*Table1_1[[#This Row],[Unit Price]]*1-Table1_1[[#This Row],[Discount]]</f>
        <v>1311999.8799999999</v>
      </c>
      <c r="S168" s="33">
        <f>Table1_1[[#This Row],[Units Sold]]*Table1_1[[#This Row],[Unit Cost]]</f>
        <v>924000</v>
      </c>
      <c r="T168" s="33">
        <f>Table1_1[[#This Row],[Sales Amount]]-S168</f>
        <v>387999.87999999989</v>
      </c>
      <c r="U168" s="32">
        <f>IFERROR(Table1_1[[#This Row],[Profit/loss]]/Table1_1[[#This Row],[Sales Amount]],0)</f>
        <v>0.29573164290228438</v>
      </c>
    </row>
    <row r="169" spans="1:21" ht="18" x14ac:dyDescent="0.35">
      <c r="A169" s="21" t="s">
        <v>276</v>
      </c>
      <c r="B169" s="36">
        <v>45384</v>
      </c>
      <c r="C169" s="22">
        <f>YEAR(Table1_1[[#This Row],[Order Date]])</f>
        <v>2024</v>
      </c>
      <c r="D169" s="22" t="str">
        <f>TEXT(Table1_1[[#This Row],[Order Date]],"MMMM")</f>
        <v>April</v>
      </c>
      <c r="E169" s="22" t="s">
        <v>36</v>
      </c>
      <c r="F169" s="22" t="s">
        <v>121</v>
      </c>
      <c r="G169" s="22" t="s">
        <v>60</v>
      </c>
      <c r="H169" s="22" t="s">
        <v>39</v>
      </c>
      <c r="I169" s="22" t="s">
        <v>70</v>
      </c>
      <c r="J169" s="22" t="s">
        <v>71</v>
      </c>
      <c r="K169" s="22" t="s">
        <v>88</v>
      </c>
      <c r="L169" s="22" t="s">
        <v>33</v>
      </c>
      <c r="M169" s="22" t="s">
        <v>24</v>
      </c>
      <c r="N169" s="22">
        <v>11</v>
      </c>
      <c r="O169" s="26">
        <v>999</v>
      </c>
      <c r="P169" s="22">
        <v>0.1</v>
      </c>
      <c r="Q169" s="30">
        <v>540</v>
      </c>
      <c r="R169" s="33">
        <f>Table1_1[[#This Row],[Units Sold]]*Table1_1[[#This Row],[Unit Price]]*1-Table1_1[[#This Row],[Discount]]</f>
        <v>10988.9</v>
      </c>
      <c r="S169" s="33">
        <f>Table1_1[[#This Row],[Units Sold]]*Table1_1[[#This Row],[Unit Cost]]</f>
        <v>5940</v>
      </c>
      <c r="T169" s="33">
        <f>Table1_1[[#This Row],[Sales Amount]]-S169</f>
        <v>5048.8999999999996</v>
      </c>
      <c r="U169" s="32">
        <f>IFERROR(Table1_1[[#This Row],[Profit/loss]]/Table1_1[[#This Row],[Sales Amount]],0)</f>
        <v>0.45945454049085893</v>
      </c>
    </row>
    <row r="170" spans="1:21" ht="18" x14ac:dyDescent="0.35">
      <c r="A170" s="21" t="s">
        <v>277</v>
      </c>
      <c r="B170" s="36">
        <v>45385</v>
      </c>
      <c r="C170" s="22">
        <f>YEAR(Table1_1[[#This Row],[Order Date]])</f>
        <v>2024</v>
      </c>
      <c r="D170" s="22" t="str">
        <f>TEXT(Table1_1[[#This Row],[Order Date]],"MMMM")</f>
        <v>April</v>
      </c>
      <c r="E170" s="22" t="s">
        <v>36</v>
      </c>
      <c r="F170" s="22" t="s">
        <v>121</v>
      </c>
      <c r="G170" s="22" t="s">
        <v>101</v>
      </c>
      <c r="H170" s="22" t="s">
        <v>29</v>
      </c>
      <c r="I170" s="22" t="s">
        <v>20</v>
      </c>
      <c r="J170" s="22" t="s">
        <v>21</v>
      </c>
      <c r="K170" s="22" t="s">
        <v>22</v>
      </c>
      <c r="L170" s="22" t="s">
        <v>57</v>
      </c>
      <c r="M170" s="22" t="s">
        <v>66</v>
      </c>
      <c r="N170" s="22">
        <v>36</v>
      </c>
      <c r="O170" s="26">
        <v>4499</v>
      </c>
      <c r="P170" s="22">
        <v>0.2</v>
      </c>
      <c r="Q170" s="30">
        <v>2910</v>
      </c>
      <c r="R170" s="33">
        <f>Table1_1[[#This Row],[Units Sold]]*Table1_1[[#This Row],[Unit Price]]*1-Table1_1[[#This Row],[Discount]]</f>
        <v>161963.79999999999</v>
      </c>
      <c r="S170" s="33">
        <f>Table1_1[[#This Row],[Units Sold]]*Table1_1[[#This Row],[Unit Cost]]</f>
        <v>104760</v>
      </c>
      <c r="T170" s="33">
        <f>Table1_1[[#This Row],[Sales Amount]]-S170</f>
        <v>57203.799999999988</v>
      </c>
      <c r="U170" s="32">
        <f>IFERROR(Table1_1[[#This Row],[Profit/loss]]/Table1_1[[#This Row],[Sales Amount]],0)</f>
        <v>0.35318879897853711</v>
      </c>
    </row>
    <row r="171" spans="1:21" ht="18" x14ac:dyDescent="0.35">
      <c r="A171" s="21" t="s">
        <v>278</v>
      </c>
      <c r="B171" s="36">
        <v>45385</v>
      </c>
      <c r="C171" s="22">
        <f>YEAR(Table1_1[[#This Row],[Order Date]])</f>
        <v>2024</v>
      </c>
      <c r="D171" s="22" t="str">
        <f>TEXT(Table1_1[[#This Row],[Order Date]],"MMMM")</f>
        <v>April</v>
      </c>
      <c r="E171" s="22" t="s">
        <v>16</v>
      </c>
      <c r="F171" s="22" t="s">
        <v>111</v>
      </c>
      <c r="G171" s="22" t="s">
        <v>50</v>
      </c>
      <c r="H171" s="22" t="s">
        <v>29</v>
      </c>
      <c r="I171" s="22" t="s">
        <v>70</v>
      </c>
      <c r="J171" s="22" t="s">
        <v>71</v>
      </c>
      <c r="K171" s="22" t="s">
        <v>80</v>
      </c>
      <c r="L171" s="22" t="s">
        <v>23</v>
      </c>
      <c r="M171" s="22" t="s">
        <v>66</v>
      </c>
      <c r="N171" s="22">
        <v>30</v>
      </c>
      <c r="O171" s="26">
        <v>1299</v>
      </c>
      <c r="P171" s="22">
        <v>0.08</v>
      </c>
      <c r="Q171" s="30">
        <v>720</v>
      </c>
      <c r="R171" s="33">
        <f>Table1_1[[#This Row],[Units Sold]]*Table1_1[[#This Row],[Unit Price]]*1-Table1_1[[#This Row],[Discount]]</f>
        <v>38969.919999999998</v>
      </c>
      <c r="S171" s="33">
        <f>Table1_1[[#This Row],[Units Sold]]*Table1_1[[#This Row],[Unit Cost]]</f>
        <v>21600</v>
      </c>
      <c r="T171" s="33">
        <f>Table1_1[[#This Row],[Sales Amount]]-S171</f>
        <v>17369.919999999998</v>
      </c>
      <c r="U171" s="32">
        <f>IFERROR(Table1_1[[#This Row],[Profit/loss]]/Table1_1[[#This Row],[Sales Amount]],0)</f>
        <v>0.44572634483211665</v>
      </c>
    </row>
    <row r="172" spans="1:21" ht="18" x14ac:dyDescent="0.35">
      <c r="A172" s="21" t="s">
        <v>279</v>
      </c>
      <c r="B172" s="36">
        <v>45386</v>
      </c>
      <c r="C172" s="22">
        <f>YEAR(Table1_1[[#This Row],[Order Date]])</f>
        <v>2024</v>
      </c>
      <c r="D172" s="22" t="str">
        <f>TEXT(Table1_1[[#This Row],[Order Date]],"MMMM")</f>
        <v>April</v>
      </c>
      <c r="E172" s="22" t="s">
        <v>16</v>
      </c>
      <c r="F172" s="22" t="s">
        <v>111</v>
      </c>
      <c r="G172" s="22" t="s">
        <v>60</v>
      </c>
      <c r="H172" s="22" t="s">
        <v>39</v>
      </c>
      <c r="I172" s="22" t="s">
        <v>30</v>
      </c>
      <c r="J172" s="22" t="s">
        <v>61</v>
      </c>
      <c r="K172" s="22" t="s">
        <v>186</v>
      </c>
      <c r="L172" s="22" t="s">
        <v>57</v>
      </c>
      <c r="M172" s="22" t="s">
        <v>78</v>
      </c>
      <c r="N172" s="22">
        <v>22</v>
      </c>
      <c r="O172" s="26">
        <v>6999</v>
      </c>
      <c r="P172" s="22">
        <v>0.1</v>
      </c>
      <c r="Q172" s="30">
        <v>4320</v>
      </c>
      <c r="R172" s="33">
        <f>Table1_1[[#This Row],[Units Sold]]*Table1_1[[#This Row],[Unit Price]]*1-Table1_1[[#This Row],[Discount]]</f>
        <v>153977.9</v>
      </c>
      <c r="S172" s="33">
        <f>Table1_1[[#This Row],[Units Sold]]*Table1_1[[#This Row],[Unit Cost]]</f>
        <v>95040</v>
      </c>
      <c r="T172" s="33">
        <f>Table1_1[[#This Row],[Sales Amount]]-S172</f>
        <v>58937.899999999994</v>
      </c>
      <c r="U172" s="32">
        <f>IFERROR(Table1_1[[#This Row],[Profit/loss]]/Table1_1[[#This Row],[Sales Amount]],0)</f>
        <v>0.38276856613838739</v>
      </c>
    </row>
    <row r="173" spans="1:21" ht="18" x14ac:dyDescent="0.35">
      <c r="A173" s="21" t="s">
        <v>280</v>
      </c>
      <c r="B173" s="36">
        <v>45387</v>
      </c>
      <c r="C173" s="22">
        <f>YEAR(Table1_1[[#This Row],[Order Date]])</f>
        <v>2024</v>
      </c>
      <c r="D173" s="22" t="str">
        <f>TEXT(Table1_1[[#This Row],[Order Date]],"MMMM")</f>
        <v>April</v>
      </c>
      <c r="E173" s="22" t="s">
        <v>36</v>
      </c>
      <c r="F173" s="22" t="s">
        <v>121</v>
      </c>
      <c r="G173" s="22" t="s">
        <v>28</v>
      </c>
      <c r="H173" s="22" t="s">
        <v>29</v>
      </c>
      <c r="I173" s="22" t="s">
        <v>54</v>
      </c>
      <c r="J173" s="22" t="s">
        <v>55</v>
      </c>
      <c r="K173" s="22" t="s">
        <v>1623</v>
      </c>
      <c r="L173" s="22" t="s">
        <v>23</v>
      </c>
      <c r="M173" s="22" t="s">
        <v>24</v>
      </c>
      <c r="N173" s="22">
        <v>14</v>
      </c>
      <c r="O173" s="26">
        <v>5890</v>
      </c>
      <c r="P173" s="22">
        <v>0.08</v>
      </c>
      <c r="Q173" s="30">
        <v>3980</v>
      </c>
      <c r="R173" s="33">
        <f>Table1_1[[#This Row],[Units Sold]]*Table1_1[[#This Row],[Unit Price]]*1-Table1_1[[#This Row],[Discount]]</f>
        <v>82459.92</v>
      </c>
      <c r="S173" s="33">
        <f>Table1_1[[#This Row],[Units Sold]]*Table1_1[[#This Row],[Unit Cost]]</f>
        <v>55720</v>
      </c>
      <c r="T173" s="33">
        <f>Table1_1[[#This Row],[Sales Amount]]-S173</f>
        <v>26739.919999999998</v>
      </c>
      <c r="U173" s="32">
        <f>IFERROR(Table1_1[[#This Row],[Profit/loss]]/Table1_1[[#This Row],[Sales Amount]],0)</f>
        <v>0.32427778246692451</v>
      </c>
    </row>
    <row r="174" spans="1:21" ht="18" x14ac:dyDescent="0.35">
      <c r="A174" s="21" t="s">
        <v>281</v>
      </c>
      <c r="B174" s="36">
        <v>45388</v>
      </c>
      <c r="C174" s="22">
        <f>YEAR(Table1_1[[#This Row],[Order Date]])</f>
        <v>2024</v>
      </c>
      <c r="D174" s="22" t="str">
        <f>TEXT(Table1_1[[#This Row],[Order Date]],"MMMM")</f>
        <v>April</v>
      </c>
      <c r="E174" s="22" t="s">
        <v>26</v>
      </c>
      <c r="F174" s="22" t="s">
        <v>74</v>
      </c>
      <c r="G174" s="22" t="s">
        <v>101</v>
      </c>
      <c r="H174" s="22" t="s">
        <v>29</v>
      </c>
      <c r="I174" s="22" t="s">
        <v>20</v>
      </c>
      <c r="J174" s="22" t="s">
        <v>45</v>
      </c>
      <c r="K174" s="22" t="s">
        <v>196</v>
      </c>
      <c r="L174" s="22" t="s">
        <v>33</v>
      </c>
      <c r="M174" s="22" t="s">
        <v>24</v>
      </c>
      <c r="N174" s="22">
        <v>36</v>
      </c>
      <c r="O174" s="26">
        <v>2499</v>
      </c>
      <c r="P174" s="22">
        <v>0.1</v>
      </c>
      <c r="Q174" s="30">
        <v>1510</v>
      </c>
      <c r="R174" s="33">
        <f>Table1_1[[#This Row],[Units Sold]]*Table1_1[[#This Row],[Unit Price]]*1-Table1_1[[#This Row],[Discount]]</f>
        <v>89963.9</v>
      </c>
      <c r="S174" s="33">
        <f>Table1_1[[#This Row],[Units Sold]]*Table1_1[[#This Row],[Unit Cost]]</f>
        <v>54360</v>
      </c>
      <c r="T174" s="33">
        <f>Table1_1[[#This Row],[Sales Amount]]-S174</f>
        <v>35603.899999999994</v>
      </c>
      <c r="U174" s="32">
        <f>IFERROR(Table1_1[[#This Row],[Profit/loss]]/Table1_1[[#This Row],[Sales Amount]],0)</f>
        <v>0.39575763167225964</v>
      </c>
    </row>
    <row r="175" spans="1:21" ht="18" x14ac:dyDescent="0.35">
      <c r="A175" s="21" t="s">
        <v>282</v>
      </c>
      <c r="B175" s="36">
        <v>45389</v>
      </c>
      <c r="C175" s="22">
        <f>YEAR(Table1_1[[#This Row],[Order Date]])</f>
        <v>2024</v>
      </c>
      <c r="D175" s="22" t="str">
        <f>TEXT(Table1_1[[#This Row],[Order Date]],"MMMM")</f>
        <v>April</v>
      </c>
      <c r="E175" s="22" t="s">
        <v>48</v>
      </c>
      <c r="F175" s="22" t="s">
        <v>68</v>
      </c>
      <c r="G175" s="22" t="s">
        <v>75</v>
      </c>
      <c r="H175" s="22" t="s">
        <v>29</v>
      </c>
      <c r="I175" s="22" t="s">
        <v>40</v>
      </c>
      <c r="J175" s="22" t="s">
        <v>76</v>
      </c>
      <c r="K175" s="22" t="s">
        <v>1620</v>
      </c>
      <c r="L175" s="22" t="s">
        <v>33</v>
      </c>
      <c r="M175" s="22" t="s">
        <v>34</v>
      </c>
      <c r="N175" s="22">
        <v>33</v>
      </c>
      <c r="O175" s="26">
        <v>52990</v>
      </c>
      <c r="P175" s="22">
        <v>0.08</v>
      </c>
      <c r="Q175" s="30">
        <v>39500</v>
      </c>
      <c r="R175" s="33">
        <f>Table1_1[[#This Row],[Units Sold]]*Table1_1[[#This Row],[Unit Price]]*1-Table1_1[[#This Row],[Discount]]</f>
        <v>1748669.92</v>
      </c>
      <c r="S175" s="33">
        <f>Table1_1[[#This Row],[Units Sold]]*Table1_1[[#This Row],[Unit Cost]]</f>
        <v>1303500</v>
      </c>
      <c r="T175" s="33">
        <f>Table1_1[[#This Row],[Sales Amount]]-S175</f>
        <v>445169.91999999993</v>
      </c>
      <c r="U175" s="32">
        <f>IFERROR(Table1_1[[#This Row],[Profit/loss]]/Table1_1[[#This Row],[Sales Amount]],0)</f>
        <v>0.25457630105514706</v>
      </c>
    </row>
    <row r="176" spans="1:21" ht="18" x14ac:dyDescent="0.35">
      <c r="A176" s="21" t="s">
        <v>283</v>
      </c>
      <c r="B176" s="36">
        <v>45390</v>
      </c>
      <c r="C176" s="22">
        <f>YEAR(Table1_1[[#This Row],[Order Date]])</f>
        <v>2024</v>
      </c>
      <c r="D176" s="22" t="str">
        <f>TEXT(Table1_1[[#This Row],[Order Date]],"MMMM")</f>
        <v>April</v>
      </c>
      <c r="E176" s="22" t="s">
        <v>36</v>
      </c>
      <c r="F176" s="22" t="s">
        <v>59</v>
      </c>
      <c r="G176" s="22" t="s">
        <v>75</v>
      </c>
      <c r="H176" s="22" t="s">
        <v>39</v>
      </c>
      <c r="I176" s="22" t="s">
        <v>20</v>
      </c>
      <c r="J176" s="22" t="s">
        <v>21</v>
      </c>
      <c r="K176" s="22" t="s">
        <v>115</v>
      </c>
      <c r="L176" s="22" t="s">
        <v>33</v>
      </c>
      <c r="M176" s="22" t="s">
        <v>78</v>
      </c>
      <c r="N176" s="22">
        <v>10</v>
      </c>
      <c r="O176" s="26">
        <v>6499</v>
      </c>
      <c r="P176" s="22">
        <v>0.08</v>
      </c>
      <c r="Q176" s="30">
        <v>4210</v>
      </c>
      <c r="R176" s="33">
        <f>Table1_1[[#This Row],[Units Sold]]*Table1_1[[#This Row],[Unit Price]]*1-Table1_1[[#This Row],[Discount]]</f>
        <v>64989.919999999998</v>
      </c>
      <c r="S176" s="33">
        <f>Table1_1[[#This Row],[Units Sold]]*Table1_1[[#This Row],[Unit Cost]]</f>
        <v>42100</v>
      </c>
      <c r="T176" s="33">
        <f>Table1_1[[#This Row],[Sales Amount]]-S176</f>
        <v>22889.919999999998</v>
      </c>
      <c r="U176" s="32">
        <f>IFERROR(Table1_1[[#This Row],[Profit/loss]]/Table1_1[[#This Row],[Sales Amount]],0)</f>
        <v>0.3522072345988424</v>
      </c>
    </row>
    <row r="177" spans="1:21" ht="18" x14ac:dyDescent="0.35">
      <c r="A177" s="21" t="s">
        <v>284</v>
      </c>
      <c r="B177" s="36">
        <v>45390</v>
      </c>
      <c r="C177" s="22">
        <f>YEAR(Table1_1[[#This Row],[Order Date]])</f>
        <v>2024</v>
      </c>
      <c r="D177" s="22" t="str">
        <f>TEXT(Table1_1[[#This Row],[Order Date]],"MMMM")</f>
        <v>April</v>
      </c>
      <c r="E177" s="22" t="s">
        <v>48</v>
      </c>
      <c r="F177" s="22" t="s">
        <v>93</v>
      </c>
      <c r="G177" s="22" t="s">
        <v>84</v>
      </c>
      <c r="H177" s="22" t="s">
        <v>39</v>
      </c>
      <c r="I177" s="22" t="s">
        <v>40</v>
      </c>
      <c r="J177" s="22" t="s">
        <v>64</v>
      </c>
      <c r="K177" s="22" t="s">
        <v>1629</v>
      </c>
      <c r="L177" s="22" t="s">
        <v>57</v>
      </c>
      <c r="M177" s="22" t="s">
        <v>24</v>
      </c>
      <c r="N177" s="22">
        <v>19</v>
      </c>
      <c r="O177" s="26">
        <v>3299</v>
      </c>
      <c r="P177" s="22">
        <v>0.1</v>
      </c>
      <c r="Q177" s="30">
        <v>2050</v>
      </c>
      <c r="R177" s="33">
        <f>Table1_1[[#This Row],[Units Sold]]*Table1_1[[#This Row],[Unit Price]]*1-Table1_1[[#This Row],[Discount]]</f>
        <v>62680.9</v>
      </c>
      <c r="S177" s="33">
        <f>Table1_1[[#This Row],[Units Sold]]*Table1_1[[#This Row],[Unit Cost]]</f>
        <v>38950</v>
      </c>
      <c r="T177" s="33">
        <f>Table1_1[[#This Row],[Sales Amount]]-S177</f>
        <v>23730.9</v>
      </c>
      <c r="U177" s="32">
        <f>IFERROR(Table1_1[[#This Row],[Profit/loss]]/Table1_1[[#This Row],[Sales Amount]],0)</f>
        <v>0.37859858425772447</v>
      </c>
    </row>
    <row r="178" spans="1:21" ht="18" x14ac:dyDescent="0.35">
      <c r="A178" s="21" t="s">
        <v>285</v>
      </c>
      <c r="B178" s="36">
        <v>45390</v>
      </c>
      <c r="C178" s="22">
        <f>YEAR(Table1_1[[#This Row],[Order Date]])</f>
        <v>2024</v>
      </c>
      <c r="D178" s="22" t="str">
        <f>TEXT(Table1_1[[#This Row],[Order Date]],"MMMM")</f>
        <v>April</v>
      </c>
      <c r="E178" s="22" t="s">
        <v>26</v>
      </c>
      <c r="F178" s="22" t="s">
        <v>27</v>
      </c>
      <c r="G178" s="22" t="s">
        <v>105</v>
      </c>
      <c r="H178" s="22" t="s">
        <v>19</v>
      </c>
      <c r="I178" s="22" t="s">
        <v>40</v>
      </c>
      <c r="J178" s="22" t="s">
        <v>64</v>
      </c>
      <c r="K178" s="22" t="s">
        <v>1629</v>
      </c>
      <c r="L178" s="22" t="s">
        <v>23</v>
      </c>
      <c r="M178" s="22" t="s">
        <v>24</v>
      </c>
      <c r="N178" s="22">
        <v>9</v>
      </c>
      <c r="O178" s="26">
        <v>3299</v>
      </c>
      <c r="P178" s="22">
        <v>0.05</v>
      </c>
      <c r="Q178" s="30">
        <v>2050</v>
      </c>
      <c r="R178" s="33">
        <f>Table1_1[[#This Row],[Units Sold]]*Table1_1[[#This Row],[Unit Price]]*1-Table1_1[[#This Row],[Discount]]</f>
        <v>29690.95</v>
      </c>
      <c r="S178" s="33">
        <f>Table1_1[[#This Row],[Units Sold]]*Table1_1[[#This Row],[Unit Cost]]</f>
        <v>18450</v>
      </c>
      <c r="T178" s="33">
        <f>Table1_1[[#This Row],[Sales Amount]]-S178</f>
        <v>11240.95</v>
      </c>
      <c r="U178" s="32">
        <f>IFERROR(Table1_1[[#This Row],[Profit/loss]]/Table1_1[[#This Row],[Sales Amount]],0)</f>
        <v>0.37859852918145093</v>
      </c>
    </row>
    <row r="179" spans="1:21" ht="18" x14ac:dyDescent="0.35">
      <c r="A179" s="21" t="s">
        <v>286</v>
      </c>
      <c r="B179" s="36">
        <v>45391</v>
      </c>
      <c r="C179" s="22">
        <f>YEAR(Table1_1[[#This Row],[Order Date]])</f>
        <v>2024</v>
      </c>
      <c r="D179" s="22" t="str">
        <f>TEXT(Table1_1[[#This Row],[Order Date]],"MMMM")</f>
        <v>April</v>
      </c>
      <c r="E179" s="22" t="s">
        <v>16</v>
      </c>
      <c r="F179" s="22" t="s">
        <v>126</v>
      </c>
      <c r="G179" s="22" t="s">
        <v>84</v>
      </c>
      <c r="H179" s="22" t="s">
        <v>19</v>
      </c>
      <c r="I179" s="22" t="s">
        <v>40</v>
      </c>
      <c r="J179" s="22" t="s">
        <v>64</v>
      </c>
      <c r="K179" s="22" t="s">
        <v>1627</v>
      </c>
      <c r="L179" s="22" t="s">
        <v>23</v>
      </c>
      <c r="M179" s="22" t="s">
        <v>78</v>
      </c>
      <c r="N179" s="22">
        <v>5</v>
      </c>
      <c r="O179" s="26">
        <v>4490</v>
      </c>
      <c r="P179" s="22">
        <v>0.12</v>
      </c>
      <c r="Q179" s="30">
        <v>2950</v>
      </c>
      <c r="R179" s="33">
        <f>Table1_1[[#This Row],[Units Sold]]*Table1_1[[#This Row],[Unit Price]]*1-Table1_1[[#This Row],[Discount]]</f>
        <v>22449.88</v>
      </c>
      <c r="S179" s="33">
        <f>Table1_1[[#This Row],[Units Sold]]*Table1_1[[#This Row],[Unit Cost]]</f>
        <v>14750</v>
      </c>
      <c r="T179" s="33">
        <f>Table1_1[[#This Row],[Sales Amount]]-S179</f>
        <v>7699.880000000001</v>
      </c>
      <c r="U179" s="32">
        <f>IFERROR(Table1_1[[#This Row],[Profit/loss]]/Table1_1[[#This Row],[Sales Amount]],0)</f>
        <v>0.34298089789344088</v>
      </c>
    </row>
    <row r="180" spans="1:21" ht="18" x14ac:dyDescent="0.35">
      <c r="A180" s="21" t="s">
        <v>287</v>
      </c>
      <c r="B180" s="36">
        <v>45391</v>
      </c>
      <c r="C180" s="22">
        <f>YEAR(Table1_1[[#This Row],[Order Date]])</f>
        <v>2024</v>
      </c>
      <c r="D180" s="22" t="str">
        <f>TEXT(Table1_1[[#This Row],[Order Date]],"MMMM")</f>
        <v>April</v>
      </c>
      <c r="E180" s="22" t="s">
        <v>16</v>
      </c>
      <c r="F180" s="22" t="s">
        <v>98</v>
      </c>
      <c r="G180" s="22" t="s">
        <v>60</v>
      </c>
      <c r="H180" s="22" t="s">
        <v>39</v>
      </c>
      <c r="I180" s="22" t="s">
        <v>20</v>
      </c>
      <c r="J180" s="22" t="s">
        <v>45</v>
      </c>
      <c r="K180" s="22" t="s">
        <v>1618</v>
      </c>
      <c r="L180" s="22" t="s">
        <v>33</v>
      </c>
      <c r="M180" s="22" t="s">
        <v>66</v>
      </c>
      <c r="N180" s="22">
        <v>34</v>
      </c>
      <c r="O180" s="26">
        <v>1899</v>
      </c>
      <c r="P180" s="22">
        <v>0.1</v>
      </c>
      <c r="Q180" s="30">
        <v>1080</v>
      </c>
      <c r="R180" s="33">
        <f>Table1_1[[#This Row],[Units Sold]]*Table1_1[[#This Row],[Unit Price]]*1-Table1_1[[#This Row],[Discount]]</f>
        <v>64565.9</v>
      </c>
      <c r="S180" s="33">
        <f>Table1_1[[#This Row],[Units Sold]]*Table1_1[[#This Row],[Unit Cost]]</f>
        <v>36720</v>
      </c>
      <c r="T180" s="33">
        <f>Table1_1[[#This Row],[Sales Amount]]-S180</f>
        <v>27845.9</v>
      </c>
      <c r="U180" s="32">
        <f>IFERROR(Table1_1[[#This Row],[Profit/loss]]/Table1_1[[#This Row],[Sales Amount]],0)</f>
        <v>0.43127874001601468</v>
      </c>
    </row>
    <row r="181" spans="1:21" ht="18" x14ac:dyDescent="0.35">
      <c r="A181" s="21" t="s">
        <v>288</v>
      </c>
      <c r="B181" s="36">
        <v>45391</v>
      </c>
      <c r="C181" s="22">
        <f>YEAR(Table1_1[[#This Row],[Order Date]])</f>
        <v>2024</v>
      </c>
      <c r="D181" s="22" t="str">
        <f>TEXT(Table1_1[[#This Row],[Order Date]],"MMMM")</f>
        <v>April</v>
      </c>
      <c r="E181" s="22" t="s">
        <v>36</v>
      </c>
      <c r="F181" s="22" t="s">
        <v>59</v>
      </c>
      <c r="G181" s="22" t="s">
        <v>38</v>
      </c>
      <c r="H181" s="22" t="s">
        <v>39</v>
      </c>
      <c r="I181" s="22" t="s">
        <v>54</v>
      </c>
      <c r="J181" s="22" t="s">
        <v>90</v>
      </c>
      <c r="K181" s="22" t="s">
        <v>1621</v>
      </c>
      <c r="L181" s="22" t="s">
        <v>23</v>
      </c>
      <c r="M181" s="22" t="s">
        <v>24</v>
      </c>
      <c r="N181" s="22">
        <v>18</v>
      </c>
      <c r="O181" s="26">
        <v>31990</v>
      </c>
      <c r="P181" s="22">
        <v>0.05</v>
      </c>
      <c r="Q181" s="30">
        <v>21800</v>
      </c>
      <c r="R181" s="33">
        <f>Table1_1[[#This Row],[Units Sold]]*Table1_1[[#This Row],[Unit Price]]*1-Table1_1[[#This Row],[Discount]]</f>
        <v>575819.94999999995</v>
      </c>
      <c r="S181" s="33">
        <f>Table1_1[[#This Row],[Units Sold]]*Table1_1[[#This Row],[Unit Cost]]</f>
        <v>392400</v>
      </c>
      <c r="T181" s="33">
        <f>Table1_1[[#This Row],[Sales Amount]]-S181</f>
        <v>183419.94999999995</v>
      </c>
      <c r="U181" s="32">
        <f>IFERROR(Table1_1[[#This Row],[Profit/loss]]/Table1_1[[#This Row],[Sales Amount]],0)</f>
        <v>0.31853698365261568</v>
      </c>
    </row>
    <row r="182" spans="1:21" ht="18" x14ac:dyDescent="0.35">
      <c r="A182" s="21" t="s">
        <v>289</v>
      </c>
      <c r="B182" s="36">
        <v>45391</v>
      </c>
      <c r="C182" s="22">
        <f>YEAR(Table1_1[[#This Row],[Order Date]])</f>
        <v>2024</v>
      </c>
      <c r="D182" s="22" t="str">
        <f>TEXT(Table1_1[[#This Row],[Order Date]],"MMMM")</f>
        <v>April</v>
      </c>
      <c r="E182" s="22" t="s">
        <v>48</v>
      </c>
      <c r="F182" s="22" t="s">
        <v>68</v>
      </c>
      <c r="G182" s="22" t="s">
        <v>105</v>
      </c>
      <c r="H182" s="22" t="s">
        <v>19</v>
      </c>
      <c r="I182" s="22" t="s">
        <v>30</v>
      </c>
      <c r="J182" s="22" t="s">
        <v>61</v>
      </c>
      <c r="K182" s="22" t="s">
        <v>186</v>
      </c>
      <c r="L182" s="22" t="s">
        <v>57</v>
      </c>
      <c r="M182" s="22" t="s">
        <v>78</v>
      </c>
      <c r="N182" s="22">
        <v>5</v>
      </c>
      <c r="O182" s="26">
        <v>6999</v>
      </c>
      <c r="P182" s="22">
        <v>0.15</v>
      </c>
      <c r="Q182" s="30">
        <v>4320</v>
      </c>
      <c r="R182" s="33">
        <f>Table1_1[[#This Row],[Units Sold]]*Table1_1[[#This Row],[Unit Price]]*1-Table1_1[[#This Row],[Discount]]</f>
        <v>34994.85</v>
      </c>
      <c r="S182" s="33">
        <f>Table1_1[[#This Row],[Units Sold]]*Table1_1[[#This Row],[Unit Cost]]</f>
        <v>21600</v>
      </c>
      <c r="T182" s="33">
        <f>Table1_1[[#This Row],[Sales Amount]]-S182</f>
        <v>13394.849999999999</v>
      </c>
      <c r="U182" s="32">
        <f>IFERROR(Table1_1[[#This Row],[Profit/loss]]/Table1_1[[#This Row],[Sales Amount]],0)</f>
        <v>0.38276632133013855</v>
      </c>
    </row>
    <row r="183" spans="1:21" ht="18" x14ac:dyDescent="0.35">
      <c r="A183" s="21" t="s">
        <v>290</v>
      </c>
      <c r="B183" s="36">
        <v>45392</v>
      </c>
      <c r="C183" s="22">
        <f>YEAR(Table1_1[[#This Row],[Order Date]])</f>
        <v>2024</v>
      </c>
      <c r="D183" s="22" t="str">
        <f>TEXT(Table1_1[[#This Row],[Order Date]],"MMMM")</f>
        <v>April</v>
      </c>
      <c r="E183" s="22" t="s">
        <v>82</v>
      </c>
      <c r="F183" s="22" t="s">
        <v>100</v>
      </c>
      <c r="G183" s="22" t="s">
        <v>101</v>
      </c>
      <c r="H183" s="22" t="s">
        <v>39</v>
      </c>
      <c r="I183" s="22" t="s">
        <v>40</v>
      </c>
      <c r="J183" s="22" t="s">
        <v>64</v>
      </c>
      <c r="K183" s="22" t="s">
        <v>1619</v>
      </c>
      <c r="L183" s="22" t="s">
        <v>23</v>
      </c>
      <c r="M183" s="22" t="s">
        <v>24</v>
      </c>
      <c r="N183" s="22">
        <v>24</v>
      </c>
      <c r="O183" s="26">
        <v>1930</v>
      </c>
      <c r="P183" s="22">
        <v>0.1</v>
      </c>
      <c r="Q183" s="30">
        <v>1120</v>
      </c>
      <c r="R183" s="33">
        <f>Table1_1[[#This Row],[Units Sold]]*Table1_1[[#This Row],[Unit Price]]*1-Table1_1[[#This Row],[Discount]]</f>
        <v>46319.9</v>
      </c>
      <c r="S183" s="33">
        <f>Table1_1[[#This Row],[Units Sold]]*Table1_1[[#This Row],[Unit Cost]]</f>
        <v>26880</v>
      </c>
      <c r="T183" s="33">
        <f>Table1_1[[#This Row],[Sales Amount]]-S183</f>
        <v>19439.900000000001</v>
      </c>
      <c r="U183" s="32">
        <f>IFERROR(Table1_1[[#This Row],[Profit/loss]]/Table1_1[[#This Row],[Sales Amount]],0)</f>
        <v>0.41968786633822613</v>
      </c>
    </row>
    <row r="184" spans="1:21" ht="18" x14ac:dyDescent="0.35">
      <c r="A184" s="21" t="s">
        <v>291</v>
      </c>
      <c r="B184" s="36">
        <v>45393</v>
      </c>
      <c r="C184" s="22">
        <f>YEAR(Table1_1[[#This Row],[Order Date]])</f>
        <v>2024</v>
      </c>
      <c r="D184" s="22" t="str">
        <f>TEXT(Table1_1[[#This Row],[Order Date]],"MMMM")</f>
        <v>April</v>
      </c>
      <c r="E184" s="22" t="s">
        <v>82</v>
      </c>
      <c r="F184" s="22" t="s">
        <v>183</v>
      </c>
      <c r="G184" s="22" t="s">
        <v>101</v>
      </c>
      <c r="H184" s="22" t="s">
        <v>39</v>
      </c>
      <c r="I184" s="22" t="s">
        <v>70</v>
      </c>
      <c r="J184" s="22" t="s">
        <v>71</v>
      </c>
      <c r="K184" s="22" t="s">
        <v>80</v>
      </c>
      <c r="L184" s="22" t="s">
        <v>33</v>
      </c>
      <c r="M184" s="22" t="s">
        <v>66</v>
      </c>
      <c r="N184" s="22">
        <v>20</v>
      </c>
      <c r="O184" s="26">
        <v>1299</v>
      </c>
      <c r="P184" s="22">
        <v>0.08</v>
      </c>
      <c r="Q184" s="30">
        <v>720</v>
      </c>
      <c r="R184" s="33">
        <f>Table1_1[[#This Row],[Units Sold]]*Table1_1[[#This Row],[Unit Price]]*1-Table1_1[[#This Row],[Discount]]</f>
        <v>25979.919999999998</v>
      </c>
      <c r="S184" s="33">
        <f>Table1_1[[#This Row],[Units Sold]]*Table1_1[[#This Row],[Unit Cost]]</f>
        <v>14400</v>
      </c>
      <c r="T184" s="33">
        <f>Table1_1[[#This Row],[Sales Amount]]-S184</f>
        <v>11579.919999999998</v>
      </c>
      <c r="U184" s="32">
        <f>IFERROR(Table1_1[[#This Row],[Profit/loss]]/Table1_1[[#This Row],[Sales Amount]],0)</f>
        <v>0.44572577590693119</v>
      </c>
    </row>
    <row r="185" spans="1:21" ht="18" x14ac:dyDescent="0.35">
      <c r="A185" s="21" t="s">
        <v>292</v>
      </c>
      <c r="B185" s="36">
        <v>45394</v>
      </c>
      <c r="C185" s="22">
        <f>YEAR(Table1_1[[#This Row],[Order Date]])</f>
        <v>2024</v>
      </c>
      <c r="D185" s="22" t="str">
        <f>TEXT(Table1_1[[#This Row],[Order Date]],"MMMM")</f>
        <v>April</v>
      </c>
      <c r="E185" s="22" t="s">
        <v>16</v>
      </c>
      <c r="F185" s="22" t="s">
        <v>126</v>
      </c>
      <c r="G185" s="22" t="s">
        <v>18</v>
      </c>
      <c r="H185" s="22" t="s">
        <v>19</v>
      </c>
      <c r="I185" s="22" t="s">
        <v>54</v>
      </c>
      <c r="J185" s="22" t="s">
        <v>129</v>
      </c>
      <c r="K185" s="22" t="s">
        <v>1630</v>
      </c>
      <c r="L185" s="22" t="s">
        <v>57</v>
      </c>
      <c r="M185" s="22" t="s">
        <v>24</v>
      </c>
      <c r="N185" s="22">
        <v>31</v>
      </c>
      <c r="O185" s="26">
        <v>29010</v>
      </c>
      <c r="P185" s="22">
        <v>0.08</v>
      </c>
      <c r="Q185" s="30">
        <v>19100</v>
      </c>
      <c r="R185" s="33">
        <f>Table1_1[[#This Row],[Units Sold]]*Table1_1[[#This Row],[Unit Price]]*1-Table1_1[[#This Row],[Discount]]</f>
        <v>899309.92</v>
      </c>
      <c r="S185" s="33">
        <f>Table1_1[[#This Row],[Units Sold]]*Table1_1[[#This Row],[Unit Cost]]</f>
        <v>592100</v>
      </c>
      <c r="T185" s="33">
        <f>Table1_1[[#This Row],[Sales Amount]]-S185</f>
        <v>307209.92000000004</v>
      </c>
      <c r="U185" s="32">
        <f>IFERROR(Table1_1[[#This Row],[Profit/loss]]/Table1_1[[#This Row],[Sales Amount]],0)</f>
        <v>0.34160628407168026</v>
      </c>
    </row>
    <row r="186" spans="1:21" ht="18" x14ac:dyDescent="0.35">
      <c r="A186" s="21" t="s">
        <v>293</v>
      </c>
      <c r="B186" s="36">
        <v>45394</v>
      </c>
      <c r="C186" s="22">
        <f>YEAR(Table1_1[[#This Row],[Order Date]])</f>
        <v>2024</v>
      </c>
      <c r="D186" s="22" t="str">
        <f>TEXT(Table1_1[[#This Row],[Order Date]],"MMMM")</f>
        <v>April</v>
      </c>
      <c r="E186" s="22" t="s">
        <v>82</v>
      </c>
      <c r="F186" s="22" t="s">
        <v>183</v>
      </c>
      <c r="G186" s="22" t="s">
        <v>105</v>
      </c>
      <c r="H186" s="22" t="s">
        <v>29</v>
      </c>
      <c r="I186" s="22" t="s">
        <v>20</v>
      </c>
      <c r="J186" s="22" t="s">
        <v>21</v>
      </c>
      <c r="K186" s="22" t="s">
        <v>51</v>
      </c>
      <c r="L186" s="22" t="s">
        <v>23</v>
      </c>
      <c r="M186" s="22" t="s">
        <v>66</v>
      </c>
      <c r="N186" s="22">
        <v>39</v>
      </c>
      <c r="O186" s="26">
        <v>5999</v>
      </c>
      <c r="P186" s="22">
        <v>0.12</v>
      </c>
      <c r="Q186" s="30">
        <v>3890</v>
      </c>
      <c r="R186" s="33">
        <f>Table1_1[[#This Row],[Units Sold]]*Table1_1[[#This Row],[Unit Price]]*1-Table1_1[[#This Row],[Discount]]</f>
        <v>233960.88</v>
      </c>
      <c r="S186" s="33">
        <f>Table1_1[[#This Row],[Units Sold]]*Table1_1[[#This Row],[Unit Cost]]</f>
        <v>151710</v>
      </c>
      <c r="T186" s="33">
        <f>Table1_1[[#This Row],[Sales Amount]]-S186</f>
        <v>82250.880000000005</v>
      </c>
      <c r="U186" s="32">
        <f>IFERROR(Table1_1[[#This Row],[Profit/loss]]/Table1_1[[#This Row],[Sales Amount]],0)</f>
        <v>0.35155826050919281</v>
      </c>
    </row>
    <row r="187" spans="1:21" ht="18" x14ac:dyDescent="0.35">
      <c r="A187" s="21" t="s">
        <v>294</v>
      </c>
      <c r="B187" s="36">
        <v>45394</v>
      </c>
      <c r="C187" s="22">
        <f>YEAR(Table1_1[[#This Row],[Order Date]])</f>
        <v>2024</v>
      </c>
      <c r="D187" s="22" t="str">
        <f>TEXT(Table1_1[[#This Row],[Order Date]],"MMMM")</f>
        <v>April</v>
      </c>
      <c r="E187" s="22" t="s">
        <v>82</v>
      </c>
      <c r="F187" s="22" t="s">
        <v>87</v>
      </c>
      <c r="G187" s="22" t="s">
        <v>105</v>
      </c>
      <c r="H187" s="22" t="s">
        <v>19</v>
      </c>
      <c r="I187" s="22" t="s">
        <v>54</v>
      </c>
      <c r="J187" s="22" t="s">
        <v>129</v>
      </c>
      <c r="K187" s="22" t="s">
        <v>145</v>
      </c>
      <c r="L187" s="22" t="s">
        <v>33</v>
      </c>
      <c r="M187" s="22" t="s">
        <v>66</v>
      </c>
      <c r="N187" s="22">
        <v>13</v>
      </c>
      <c r="O187" s="26">
        <v>31490</v>
      </c>
      <c r="P187" s="22">
        <v>0.12</v>
      </c>
      <c r="Q187" s="30">
        <v>21300</v>
      </c>
      <c r="R187" s="33">
        <f>Table1_1[[#This Row],[Units Sold]]*Table1_1[[#This Row],[Unit Price]]*1-Table1_1[[#This Row],[Discount]]</f>
        <v>409369.88</v>
      </c>
      <c r="S187" s="33">
        <f>Table1_1[[#This Row],[Units Sold]]*Table1_1[[#This Row],[Unit Cost]]</f>
        <v>276900</v>
      </c>
      <c r="T187" s="33">
        <f>Table1_1[[#This Row],[Sales Amount]]-S187</f>
        <v>132469.88</v>
      </c>
      <c r="U187" s="32">
        <f>IFERROR(Table1_1[[#This Row],[Profit/loss]]/Table1_1[[#This Row],[Sales Amount]],0)</f>
        <v>0.323594593720476</v>
      </c>
    </row>
    <row r="188" spans="1:21" ht="18" x14ac:dyDescent="0.35">
      <c r="A188" s="21" t="s">
        <v>295</v>
      </c>
      <c r="B188" s="36">
        <v>45394</v>
      </c>
      <c r="C188" s="22">
        <f>YEAR(Table1_1[[#This Row],[Order Date]])</f>
        <v>2024</v>
      </c>
      <c r="D188" s="22" t="str">
        <f>TEXT(Table1_1[[#This Row],[Order Date]],"MMMM")</f>
        <v>April</v>
      </c>
      <c r="E188" s="22" t="s">
        <v>48</v>
      </c>
      <c r="F188" s="22" t="s">
        <v>49</v>
      </c>
      <c r="G188" s="22" t="s">
        <v>38</v>
      </c>
      <c r="H188" s="22" t="s">
        <v>39</v>
      </c>
      <c r="I188" s="22" t="s">
        <v>30</v>
      </c>
      <c r="J188" s="22" t="s">
        <v>61</v>
      </c>
      <c r="K188" s="22" t="s">
        <v>62</v>
      </c>
      <c r="L188" s="22" t="s">
        <v>57</v>
      </c>
      <c r="M188" s="22" t="s">
        <v>66</v>
      </c>
      <c r="N188" s="22">
        <v>14</v>
      </c>
      <c r="O188" s="26">
        <v>12490</v>
      </c>
      <c r="P188" s="22">
        <v>0.1</v>
      </c>
      <c r="Q188" s="30">
        <v>7900</v>
      </c>
      <c r="R188" s="33">
        <f>Table1_1[[#This Row],[Units Sold]]*Table1_1[[#This Row],[Unit Price]]*1-Table1_1[[#This Row],[Discount]]</f>
        <v>174859.9</v>
      </c>
      <c r="S188" s="33">
        <f>Table1_1[[#This Row],[Units Sold]]*Table1_1[[#This Row],[Unit Cost]]</f>
        <v>110600</v>
      </c>
      <c r="T188" s="33">
        <f>Table1_1[[#This Row],[Sales Amount]]-S188</f>
        <v>64259.899999999994</v>
      </c>
      <c r="U188" s="32">
        <f>IFERROR(Table1_1[[#This Row],[Profit/loss]]/Table1_1[[#This Row],[Sales Amount]],0)</f>
        <v>0.3674936334745702</v>
      </c>
    </row>
    <row r="189" spans="1:21" ht="18" x14ac:dyDescent="0.35">
      <c r="A189" s="21" t="s">
        <v>296</v>
      </c>
      <c r="B189" s="36">
        <v>45394</v>
      </c>
      <c r="C189" s="22">
        <f>YEAR(Table1_1[[#This Row],[Order Date]])</f>
        <v>2024</v>
      </c>
      <c r="D189" s="22" t="str">
        <f>TEXT(Table1_1[[#This Row],[Order Date]],"MMMM")</f>
        <v>April</v>
      </c>
      <c r="E189" s="22" t="s">
        <v>82</v>
      </c>
      <c r="F189" s="22" t="s">
        <v>83</v>
      </c>
      <c r="G189" s="22" t="s">
        <v>18</v>
      </c>
      <c r="H189" s="22" t="s">
        <v>29</v>
      </c>
      <c r="I189" s="22" t="s">
        <v>30</v>
      </c>
      <c r="J189" s="22" t="s">
        <v>61</v>
      </c>
      <c r="K189" s="22" t="s">
        <v>96</v>
      </c>
      <c r="L189" s="22" t="s">
        <v>33</v>
      </c>
      <c r="M189" s="22" t="s">
        <v>66</v>
      </c>
      <c r="N189" s="22">
        <v>27</v>
      </c>
      <c r="O189" s="26">
        <v>25110</v>
      </c>
      <c r="P189" s="22">
        <v>0.2</v>
      </c>
      <c r="Q189" s="30">
        <v>16730</v>
      </c>
      <c r="R189" s="33">
        <f>Table1_1[[#This Row],[Units Sold]]*Table1_1[[#This Row],[Unit Price]]*1-Table1_1[[#This Row],[Discount]]</f>
        <v>677969.8</v>
      </c>
      <c r="S189" s="33">
        <f>Table1_1[[#This Row],[Units Sold]]*Table1_1[[#This Row],[Unit Cost]]</f>
        <v>451710</v>
      </c>
      <c r="T189" s="33">
        <f>Table1_1[[#This Row],[Sales Amount]]-S189</f>
        <v>226259.80000000005</v>
      </c>
      <c r="U189" s="32">
        <f>IFERROR(Table1_1[[#This Row],[Profit/loss]]/Table1_1[[#This Row],[Sales Amount]],0)</f>
        <v>0.3337313844952976</v>
      </c>
    </row>
    <row r="190" spans="1:21" ht="18" x14ac:dyDescent="0.35">
      <c r="A190" s="21" t="s">
        <v>297</v>
      </c>
      <c r="B190" s="36">
        <v>45394</v>
      </c>
      <c r="C190" s="22">
        <f>YEAR(Table1_1[[#This Row],[Order Date]])</f>
        <v>2024</v>
      </c>
      <c r="D190" s="22" t="str">
        <f>TEXT(Table1_1[[#This Row],[Order Date]],"MMMM")</f>
        <v>April</v>
      </c>
      <c r="E190" s="22" t="s">
        <v>26</v>
      </c>
      <c r="F190" s="22" t="s">
        <v>27</v>
      </c>
      <c r="G190" s="22" t="s">
        <v>75</v>
      </c>
      <c r="H190" s="22" t="s">
        <v>39</v>
      </c>
      <c r="I190" s="22" t="s">
        <v>54</v>
      </c>
      <c r="J190" s="22" t="s">
        <v>129</v>
      </c>
      <c r="K190" s="22" t="s">
        <v>145</v>
      </c>
      <c r="L190" s="22" t="s">
        <v>23</v>
      </c>
      <c r="M190" s="22" t="s">
        <v>24</v>
      </c>
      <c r="N190" s="22">
        <v>1</v>
      </c>
      <c r="O190" s="26">
        <v>31490</v>
      </c>
      <c r="P190" s="22">
        <v>0.12</v>
      </c>
      <c r="Q190" s="30">
        <v>21300</v>
      </c>
      <c r="R190" s="33">
        <f>Table1_1[[#This Row],[Units Sold]]*Table1_1[[#This Row],[Unit Price]]*1-Table1_1[[#This Row],[Discount]]</f>
        <v>31489.88</v>
      </c>
      <c r="S190" s="33">
        <f>Table1_1[[#This Row],[Units Sold]]*Table1_1[[#This Row],[Unit Cost]]</f>
        <v>21300</v>
      </c>
      <c r="T190" s="33">
        <f>Table1_1[[#This Row],[Sales Amount]]-S190</f>
        <v>10189.880000000001</v>
      </c>
      <c r="U190" s="32">
        <f>IFERROR(Table1_1[[#This Row],[Profit/loss]]/Table1_1[[#This Row],[Sales Amount]],0)</f>
        <v>0.32359221438760644</v>
      </c>
    </row>
    <row r="191" spans="1:21" ht="18" x14ac:dyDescent="0.35">
      <c r="A191" s="21" t="s">
        <v>298</v>
      </c>
      <c r="B191" s="36">
        <v>45395</v>
      </c>
      <c r="C191" s="22">
        <f>YEAR(Table1_1[[#This Row],[Order Date]])</f>
        <v>2024</v>
      </c>
      <c r="D191" s="22" t="str">
        <f>TEXT(Table1_1[[#This Row],[Order Date]],"MMMM")</f>
        <v>April</v>
      </c>
      <c r="E191" s="22" t="s">
        <v>82</v>
      </c>
      <c r="F191" s="22" t="s">
        <v>87</v>
      </c>
      <c r="G191" s="22" t="s">
        <v>28</v>
      </c>
      <c r="H191" s="22" t="s">
        <v>39</v>
      </c>
      <c r="I191" s="22" t="s">
        <v>54</v>
      </c>
      <c r="J191" s="22" t="s">
        <v>55</v>
      </c>
      <c r="K191" s="22" t="s">
        <v>148</v>
      </c>
      <c r="L191" s="22" t="s">
        <v>23</v>
      </c>
      <c r="M191" s="22" t="s">
        <v>34</v>
      </c>
      <c r="N191" s="22">
        <v>3</v>
      </c>
      <c r="O191" s="26">
        <v>4680</v>
      </c>
      <c r="P191" s="22">
        <v>0.1</v>
      </c>
      <c r="Q191" s="30">
        <v>3250</v>
      </c>
      <c r="R191" s="33">
        <f>Table1_1[[#This Row],[Units Sold]]*Table1_1[[#This Row],[Unit Price]]*1-Table1_1[[#This Row],[Discount]]</f>
        <v>14039.9</v>
      </c>
      <c r="S191" s="33">
        <f>Table1_1[[#This Row],[Units Sold]]*Table1_1[[#This Row],[Unit Cost]]</f>
        <v>9750</v>
      </c>
      <c r="T191" s="33">
        <f>Table1_1[[#This Row],[Sales Amount]]-S191</f>
        <v>4289.8999999999996</v>
      </c>
      <c r="U191" s="32">
        <f>IFERROR(Table1_1[[#This Row],[Profit/loss]]/Table1_1[[#This Row],[Sales Amount]],0)</f>
        <v>0.30555060933482431</v>
      </c>
    </row>
    <row r="192" spans="1:21" ht="18" x14ac:dyDescent="0.35">
      <c r="A192" s="21" t="s">
        <v>299</v>
      </c>
      <c r="B192" s="36">
        <v>45395</v>
      </c>
      <c r="C192" s="22">
        <f>YEAR(Table1_1[[#This Row],[Order Date]])</f>
        <v>2024</v>
      </c>
      <c r="D192" s="22" t="str">
        <f>TEXT(Table1_1[[#This Row],[Order Date]],"MMMM")</f>
        <v>April</v>
      </c>
      <c r="E192" s="22" t="s">
        <v>48</v>
      </c>
      <c r="F192" s="22" t="s">
        <v>93</v>
      </c>
      <c r="G192" s="22" t="s">
        <v>38</v>
      </c>
      <c r="H192" s="22" t="s">
        <v>39</v>
      </c>
      <c r="I192" s="22" t="s">
        <v>30</v>
      </c>
      <c r="J192" s="22" t="s">
        <v>61</v>
      </c>
      <c r="K192" s="22" t="s">
        <v>62</v>
      </c>
      <c r="L192" s="22" t="s">
        <v>33</v>
      </c>
      <c r="M192" s="22" t="s">
        <v>24</v>
      </c>
      <c r="N192" s="22">
        <v>36</v>
      </c>
      <c r="O192" s="26">
        <v>12490</v>
      </c>
      <c r="P192" s="22">
        <v>0.15</v>
      </c>
      <c r="Q192" s="30">
        <v>7900</v>
      </c>
      <c r="R192" s="33">
        <f>Table1_1[[#This Row],[Units Sold]]*Table1_1[[#This Row],[Unit Price]]*1-Table1_1[[#This Row],[Discount]]</f>
        <v>449639.85</v>
      </c>
      <c r="S192" s="33">
        <f>Table1_1[[#This Row],[Units Sold]]*Table1_1[[#This Row],[Unit Cost]]</f>
        <v>284400</v>
      </c>
      <c r="T192" s="33">
        <f>Table1_1[[#This Row],[Sales Amount]]-S192</f>
        <v>165239.84999999998</v>
      </c>
      <c r="U192" s="32">
        <f>IFERROR(Table1_1[[#This Row],[Profit/loss]]/Table1_1[[#This Row],[Sales Amount]],0)</f>
        <v>0.36749378419194828</v>
      </c>
    </row>
    <row r="193" spans="1:21" ht="18" x14ac:dyDescent="0.35">
      <c r="A193" s="21" t="s">
        <v>300</v>
      </c>
      <c r="B193" s="36">
        <v>45395</v>
      </c>
      <c r="C193" s="22">
        <f>YEAR(Table1_1[[#This Row],[Order Date]])</f>
        <v>2024</v>
      </c>
      <c r="D193" s="22" t="str">
        <f>TEXT(Table1_1[[#This Row],[Order Date]],"MMMM")</f>
        <v>April</v>
      </c>
      <c r="E193" s="22" t="s">
        <v>82</v>
      </c>
      <c r="F193" s="22" t="s">
        <v>183</v>
      </c>
      <c r="G193" s="22" t="s">
        <v>69</v>
      </c>
      <c r="H193" s="22" t="s">
        <v>19</v>
      </c>
      <c r="I193" s="22" t="s">
        <v>30</v>
      </c>
      <c r="J193" s="22" t="s">
        <v>31</v>
      </c>
      <c r="K193" s="22" t="s">
        <v>32</v>
      </c>
      <c r="L193" s="22" t="s">
        <v>23</v>
      </c>
      <c r="M193" s="22" t="s">
        <v>24</v>
      </c>
      <c r="N193" s="22">
        <v>8</v>
      </c>
      <c r="O193" s="26">
        <v>38990</v>
      </c>
      <c r="P193" s="22">
        <v>0.08</v>
      </c>
      <c r="Q193" s="30">
        <v>25400</v>
      </c>
      <c r="R193" s="33">
        <f>Table1_1[[#This Row],[Units Sold]]*Table1_1[[#This Row],[Unit Price]]*1-Table1_1[[#This Row],[Discount]]</f>
        <v>311919.92</v>
      </c>
      <c r="S193" s="33">
        <f>Table1_1[[#This Row],[Units Sold]]*Table1_1[[#This Row],[Unit Cost]]</f>
        <v>203200</v>
      </c>
      <c r="T193" s="33">
        <f>Table1_1[[#This Row],[Sales Amount]]-S193</f>
        <v>108719.91999999998</v>
      </c>
      <c r="U193" s="32">
        <f>IFERROR(Table1_1[[#This Row],[Profit/loss]]/Table1_1[[#This Row],[Sales Amount]],0)</f>
        <v>0.34855074340875691</v>
      </c>
    </row>
    <row r="194" spans="1:21" ht="18" x14ac:dyDescent="0.35">
      <c r="A194" s="21" t="s">
        <v>301</v>
      </c>
      <c r="B194" s="36">
        <v>45396</v>
      </c>
      <c r="C194" s="22">
        <f>YEAR(Table1_1[[#This Row],[Order Date]])</f>
        <v>2024</v>
      </c>
      <c r="D194" s="22" t="str">
        <f>TEXT(Table1_1[[#This Row],[Order Date]],"MMMM")</f>
        <v>April</v>
      </c>
      <c r="E194" s="22" t="s">
        <v>16</v>
      </c>
      <c r="F194" s="22" t="s">
        <v>126</v>
      </c>
      <c r="G194" s="22" t="s">
        <v>38</v>
      </c>
      <c r="H194" s="22" t="s">
        <v>39</v>
      </c>
      <c r="I194" s="22" t="s">
        <v>30</v>
      </c>
      <c r="J194" s="22" t="s">
        <v>61</v>
      </c>
      <c r="K194" s="22" t="s">
        <v>96</v>
      </c>
      <c r="L194" s="22" t="s">
        <v>57</v>
      </c>
      <c r="M194" s="22" t="s">
        <v>78</v>
      </c>
      <c r="N194" s="22">
        <v>4</v>
      </c>
      <c r="O194" s="26">
        <v>25110</v>
      </c>
      <c r="P194" s="22">
        <v>0.05</v>
      </c>
      <c r="Q194" s="30">
        <v>16730</v>
      </c>
      <c r="R194" s="33">
        <f>Table1_1[[#This Row],[Units Sold]]*Table1_1[[#This Row],[Unit Price]]*1-Table1_1[[#This Row],[Discount]]</f>
        <v>100439.95</v>
      </c>
      <c r="S194" s="33">
        <f>Table1_1[[#This Row],[Units Sold]]*Table1_1[[#This Row],[Unit Cost]]</f>
        <v>66920</v>
      </c>
      <c r="T194" s="33">
        <f>Table1_1[[#This Row],[Sales Amount]]-S194</f>
        <v>33519.949999999997</v>
      </c>
      <c r="U194" s="32">
        <f>IFERROR(Table1_1[[#This Row],[Profit/loss]]/Table1_1[[#This Row],[Sales Amount]],0)</f>
        <v>0.3337312493684037</v>
      </c>
    </row>
    <row r="195" spans="1:21" ht="18" x14ac:dyDescent="0.35">
      <c r="A195" s="21" t="s">
        <v>302</v>
      </c>
      <c r="B195" s="36">
        <v>45396</v>
      </c>
      <c r="C195" s="22">
        <f>YEAR(Table1_1[[#This Row],[Order Date]])</f>
        <v>2024</v>
      </c>
      <c r="D195" s="22" t="str">
        <f>TEXT(Table1_1[[#This Row],[Order Date]],"MMMM")</f>
        <v>April</v>
      </c>
      <c r="E195" s="22" t="s">
        <v>48</v>
      </c>
      <c r="F195" s="22" t="s">
        <v>68</v>
      </c>
      <c r="G195" s="22" t="s">
        <v>84</v>
      </c>
      <c r="H195" s="22" t="s">
        <v>19</v>
      </c>
      <c r="I195" s="22" t="s">
        <v>20</v>
      </c>
      <c r="J195" s="22" t="s">
        <v>45</v>
      </c>
      <c r="K195" s="22" t="s">
        <v>1618</v>
      </c>
      <c r="L195" s="22" t="s">
        <v>57</v>
      </c>
      <c r="M195" s="22" t="s">
        <v>24</v>
      </c>
      <c r="N195" s="22">
        <v>35</v>
      </c>
      <c r="O195" s="26">
        <v>1899</v>
      </c>
      <c r="P195" s="22">
        <v>0.08</v>
      </c>
      <c r="Q195" s="30">
        <v>1080</v>
      </c>
      <c r="R195" s="33">
        <f>Table1_1[[#This Row],[Units Sold]]*Table1_1[[#This Row],[Unit Price]]*1-Table1_1[[#This Row],[Discount]]</f>
        <v>66464.92</v>
      </c>
      <c r="S195" s="33">
        <f>Table1_1[[#This Row],[Units Sold]]*Table1_1[[#This Row],[Unit Cost]]</f>
        <v>37800</v>
      </c>
      <c r="T195" s="33">
        <f>Table1_1[[#This Row],[Sales Amount]]-S195</f>
        <v>28664.92</v>
      </c>
      <c r="U195" s="32">
        <f>IFERROR(Table1_1[[#This Row],[Profit/loss]]/Table1_1[[#This Row],[Sales Amount]],0)</f>
        <v>0.43127893631708275</v>
      </c>
    </row>
    <row r="196" spans="1:21" ht="18" x14ac:dyDescent="0.35">
      <c r="A196" s="21" t="s">
        <v>303</v>
      </c>
      <c r="B196" s="36">
        <v>45396</v>
      </c>
      <c r="C196" s="22">
        <f>YEAR(Table1_1[[#This Row],[Order Date]])</f>
        <v>2024</v>
      </c>
      <c r="D196" s="22" t="str">
        <f>TEXT(Table1_1[[#This Row],[Order Date]],"MMMM")</f>
        <v>April</v>
      </c>
      <c r="E196" s="22" t="s">
        <v>82</v>
      </c>
      <c r="F196" s="22" t="s">
        <v>100</v>
      </c>
      <c r="G196" s="22" t="s">
        <v>75</v>
      </c>
      <c r="H196" s="22" t="s">
        <v>19</v>
      </c>
      <c r="I196" s="22" t="s">
        <v>40</v>
      </c>
      <c r="J196" s="22" t="s">
        <v>76</v>
      </c>
      <c r="K196" s="22" t="s">
        <v>113</v>
      </c>
      <c r="L196" s="22" t="s">
        <v>33</v>
      </c>
      <c r="M196" s="22" t="s">
        <v>66</v>
      </c>
      <c r="N196" s="22">
        <v>13</v>
      </c>
      <c r="O196" s="26">
        <v>22999</v>
      </c>
      <c r="P196" s="22">
        <v>0.2</v>
      </c>
      <c r="Q196" s="30">
        <v>15100</v>
      </c>
      <c r="R196" s="33">
        <f>Table1_1[[#This Row],[Units Sold]]*Table1_1[[#This Row],[Unit Price]]*1-Table1_1[[#This Row],[Discount]]</f>
        <v>298986.8</v>
      </c>
      <c r="S196" s="33">
        <f>Table1_1[[#This Row],[Units Sold]]*Table1_1[[#This Row],[Unit Cost]]</f>
        <v>196300</v>
      </c>
      <c r="T196" s="33">
        <f>Table1_1[[#This Row],[Sales Amount]]-S196</f>
        <v>102686.79999999999</v>
      </c>
      <c r="U196" s="32">
        <f>IFERROR(Table1_1[[#This Row],[Profit/loss]]/Table1_1[[#This Row],[Sales Amount]],0)</f>
        <v>0.34344927602155007</v>
      </c>
    </row>
    <row r="197" spans="1:21" ht="18" x14ac:dyDescent="0.35">
      <c r="A197" s="21" t="s">
        <v>304</v>
      </c>
      <c r="B197" s="36">
        <v>45396</v>
      </c>
      <c r="C197" s="22">
        <f>YEAR(Table1_1[[#This Row],[Order Date]])</f>
        <v>2024</v>
      </c>
      <c r="D197" s="22" t="str">
        <f>TEXT(Table1_1[[#This Row],[Order Date]],"MMMM")</f>
        <v>April</v>
      </c>
      <c r="E197" s="22" t="s">
        <v>26</v>
      </c>
      <c r="F197" s="22" t="s">
        <v>27</v>
      </c>
      <c r="G197" s="22" t="s">
        <v>105</v>
      </c>
      <c r="H197" s="22" t="s">
        <v>19</v>
      </c>
      <c r="I197" s="22" t="s">
        <v>54</v>
      </c>
      <c r="J197" s="22" t="s">
        <v>129</v>
      </c>
      <c r="K197" s="22" t="s">
        <v>130</v>
      </c>
      <c r="L197" s="22" t="s">
        <v>23</v>
      </c>
      <c r="M197" s="22" t="s">
        <v>24</v>
      </c>
      <c r="N197" s="22">
        <v>36</v>
      </c>
      <c r="O197" s="26">
        <v>27890</v>
      </c>
      <c r="P197" s="22">
        <v>0.18</v>
      </c>
      <c r="Q197" s="30">
        <v>18800</v>
      </c>
      <c r="R197" s="33">
        <f>Table1_1[[#This Row],[Units Sold]]*Table1_1[[#This Row],[Unit Price]]*1-Table1_1[[#This Row],[Discount]]</f>
        <v>1004039.82</v>
      </c>
      <c r="S197" s="33">
        <f>Table1_1[[#This Row],[Units Sold]]*Table1_1[[#This Row],[Unit Cost]]</f>
        <v>676800</v>
      </c>
      <c r="T197" s="33">
        <f>Table1_1[[#This Row],[Sales Amount]]-S197</f>
        <v>327239.81999999995</v>
      </c>
      <c r="U197" s="32">
        <f>IFERROR(Table1_1[[#This Row],[Profit/loss]]/Table1_1[[#This Row],[Sales Amount]],0)</f>
        <v>0.32592314914362658</v>
      </c>
    </row>
    <row r="198" spans="1:21" ht="18" x14ac:dyDescent="0.35">
      <c r="A198" s="21" t="s">
        <v>305</v>
      </c>
      <c r="B198" s="36">
        <v>45397</v>
      </c>
      <c r="C198" s="22">
        <f>YEAR(Table1_1[[#This Row],[Order Date]])</f>
        <v>2024</v>
      </c>
      <c r="D198" s="22" t="str">
        <f>TEXT(Table1_1[[#This Row],[Order Date]],"MMMM")</f>
        <v>April</v>
      </c>
      <c r="E198" s="22" t="s">
        <v>48</v>
      </c>
      <c r="F198" s="22" t="s">
        <v>136</v>
      </c>
      <c r="G198" s="22" t="s">
        <v>38</v>
      </c>
      <c r="H198" s="22" t="s">
        <v>19</v>
      </c>
      <c r="I198" s="22" t="s">
        <v>40</v>
      </c>
      <c r="J198" s="22" t="s">
        <v>76</v>
      </c>
      <c r="K198" s="22" t="s">
        <v>1626</v>
      </c>
      <c r="L198" s="22" t="s">
        <v>23</v>
      </c>
      <c r="M198" s="22" t="s">
        <v>34</v>
      </c>
      <c r="N198" s="22">
        <v>20</v>
      </c>
      <c r="O198" s="26">
        <v>25999</v>
      </c>
      <c r="P198" s="22">
        <v>0.05</v>
      </c>
      <c r="Q198" s="30">
        <v>17800</v>
      </c>
      <c r="R198" s="33">
        <f>Table1_1[[#This Row],[Units Sold]]*Table1_1[[#This Row],[Unit Price]]*1-Table1_1[[#This Row],[Discount]]</f>
        <v>519979.95</v>
      </c>
      <c r="S198" s="33">
        <f>Table1_1[[#This Row],[Units Sold]]*Table1_1[[#This Row],[Unit Cost]]</f>
        <v>356000</v>
      </c>
      <c r="T198" s="33">
        <f>Table1_1[[#This Row],[Sales Amount]]-S198</f>
        <v>163979.95000000001</v>
      </c>
      <c r="U198" s="32">
        <f>IFERROR(Table1_1[[#This Row],[Profit/loss]]/Table1_1[[#This Row],[Sales Amount]],0)</f>
        <v>0.31535821717741236</v>
      </c>
    </row>
    <row r="199" spans="1:21" ht="18" x14ac:dyDescent="0.35">
      <c r="A199" s="21" t="s">
        <v>306</v>
      </c>
      <c r="B199" s="36">
        <v>45397</v>
      </c>
      <c r="C199" s="22">
        <f>YEAR(Table1_1[[#This Row],[Order Date]])</f>
        <v>2024</v>
      </c>
      <c r="D199" s="22" t="str">
        <f>TEXT(Table1_1[[#This Row],[Order Date]],"MMMM")</f>
        <v>April</v>
      </c>
      <c r="E199" s="22" t="s">
        <v>26</v>
      </c>
      <c r="F199" s="22" t="s">
        <v>27</v>
      </c>
      <c r="G199" s="22" t="s">
        <v>101</v>
      </c>
      <c r="H199" s="22" t="s">
        <v>29</v>
      </c>
      <c r="I199" s="22" t="s">
        <v>40</v>
      </c>
      <c r="J199" s="22" t="s">
        <v>76</v>
      </c>
      <c r="K199" s="22" t="s">
        <v>1620</v>
      </c>
      <c r="L199" s="22" t="s">
        <v>33</v>
      </c>
      <c r="M199" s="22" t="s">
        <v>24</v>
      </c>
      <c r="N199" s="22">
        <v>8</v>
      </c>
      <c r="O199" s="26">
        <v>52990</v>
      </c>
      <c r="P199" s="22">
        <v>0.15</v>
      </c>
      <c r="Q199" s="30">
        <v>39500</v>
      </c>
      <c r="R199" s="33">
        <f>Table1_1[[#This Row],[Units Sold]]*Table1_1[[#This Row],[Unit Price]]*1-Table1_1[[#This Row],[Discount]]</f>
        <v>423919.85</v>
      </c>
      <c r="S199" s="33">
        <f>Table1_1[[#This Row],[Units Sold]]*Table1_1[[#This Row],[Unit Cost]]</f>
        <v>316000</v>
      </c>
      <c r="T199" s="33">
        <f>Table1_1[[#This Row],[Sales Amount]]-S199</f>
        <v>107919.84999999998</v>
      </c>
      <c r="U199" s="32">
        <f>IFERROR(Table1_1[[#This Row],[Profit/loss]]/Table1_1[[#This Row],[Sales Amount]],0)</f>
        <v>0.25457607139651511</v>
      </c>
    </row>
    <row r="200" spans="1:21" ht="18" x14ac:dyDescent="0.35">
      <c r="A200" s="21" t="s">
        <v>307</v>
      </c>
      <c r="B200" s="36">
        <v>45398</v>
      </c>
      <c r="C200" s="22">
        <f>YEAR(Table1_1[[#This Row],[Order Date]])</f>
        <v>2024</v>
      </c>
      <c r="D200" s="22" t="str">
        <f>TEXT(Table1_1[[#This Row],[Order Date]],"MMMM")</f>
        <v>April</v>
      </c>
      <c r="E200" s="22" t="s">
        <v>82</v>
      </c>
      <c r="F200" s="22" t="s">
        <v>83</v>
      </c>
      <c r="G200" s="22" t="s">
        <v>38</v>
      </c>
      <c r="H200" s="22" t="s">
        <v>29</v>
      </c>
      <c r="I200" s="22" t="s">
        <v>30</v>
      </c>
      <c r="J200" s="22" t="s">
        <v>31</v>
      </c>
      <c r="K200" s="22" t="s">
        <v>32</v>
      </c>
      <c r="L200" s="22" t="s">
        <v>33</v>
      </c>
      <c r="M200" s="22" t="s">
        <v>24</v>
      </c>
      <c r="N200" s="22">
        <v>36</v>
      </c>
      <c r="O200" s="26">
        <v>38990</v>
      </c>
      <c r="P200" s="22">
        <v>0.12</v>
      </c>
      <c r="Q200" s="30">
        <v>25400</v>
      </c>
      <c r="R200" s="33">
        <f>Table1_1[[#This Row],[Units Sold]]*Table1_1[[#This Row],[Unit Price]]*1-Table1_1[[#This Row],[Discount]]</f>
        <v>1403639.88</v>
      </c>
      <c r="S200" s="33">
        <f>Table1_1[[#This Row],[Units Sold]]*Table1_1[[#This Row],[Unit Cost]]</f>
        <v>914400</v>
      </c>
      <c r="T200" s="33">
        <f>Table1_1[[#This Row],[Sales Amount]]-S200</f>
        <v>489239.87999999989</v>
      </c>
      <c r="U200" s="32">
        <f>IFERROR(Table1_1[[#This Row],[Profit/loss]]/Table1_1[[#This Row],[Sales Amount]],0)</f>
        <v>0.34855085479617459</v>
      </c>
    </row>
    <row r="201" spans="1:21" ht="18" x14ac:dyDescent="0.35">
      <c r="A201" s="21" t="s">
        <v>308</v>
      </c>
      <c r="B201" s="36">
        <v>45399</v>
      </c>
      <c r="C201" s="22">
        <f>YEAR(Table1_1[[#This Row],[Order Date]])</f>
        <v>2024</v>
      </c>
      <c r="D201" s="22" t="str">
        <f>TEXT(Table1_1[[#This Row],[Order Date]],"MMMM")</f>
        <v>April</v>
      </c>
      <c r="E201" s="22" t="s">
        <v>36</v>
      </c>
      <c r="F201" s="22" t="s">
        <v>121</v>
      </c>
      <c r="G201" s="22" t="s">
        <v>50</v>
      </c>
      <c r="H201" s="22" t="s">
        <v>39</v>
      </c>
      <c r="I201" s="22" t="s">
        <v>54</v>
      </c>
      <c r="J201" s="22" t="s">
        <v>129</v>
      </c>
      <c r="K201" s="22" t="s">
        <v>130</v>
      </c>
      <c r="L201" s="22" t="s">
        <v>33</v>
      </c>
      <c r="M201" s="22" t="s">
        <v>66</v>
      </c>
      <c r="N201" s="22">
        <v>30</v>
      </c>
      <c r="O201" s="26">
        <v>27890</v>
      </c>
      <c r="P201" s="22">
        <v>0.18</v>
      </c>
      <c r="Q201" s="30">
        <v>18800</v>
      </c>
      <c r="R201" s="33">
        <f>Table1_1[[#This Row],[Units Sold]]*Table1_1[[#This Row],[Unit Price]]*1-Table1_1[[#This Row],[Discount]]</f>
        <v>836699.82</v>
      </c>
      <c r="S201" s="33">
        <f>Table1_1[[#This Row],[Units Sold]]*Table1_1[[#This Row],[Unit Cost]]</f>
        <v>564000</v>
      </c>
      <c r="T201" s="33">
        <f>Table1_1[[#This Row],[Sales Amount]]-S201</f>
        <v>272699.81999999995</v>
      </c>
      <c r="U201" s="32">
        <f>IFERROR(Table1_1[[#This Row],[Profit/loss]]/Table1_1[[#This Row],[Sales Amount]],0)</f>
        <v>0.32592312497449799</v>
      </c>
    </row>
    <row r="202" spans="1:21" ht="18" x14ac:dyDescent="0.35">
      <c r="A202" s="21" t="s">
        <v>309</v>
      </c>
      <c r="B202" s="36">
        <v>45399</v>
      </c>
      <c r="C202" s="22">
        <f>YEAR(Table1_1[[#This Row],[Order Date]])</f>
        <v>2024</v>
      </c>
      <c r="D202" s="22" t="str">
        <f>TEXT(Table1_1[[#This Row],[Order Date]],"MMMM")</f>
        <v>April</v>
      </c>
      <c r="E202" s="22" t="s">
        <v>48</v>
      </c>
      <c r="F202" s="22" t="s">
        <v>136</v>
      </c>
      <c r="G202" s="22" t="s">
        <v>28</v>
      </c>
      <c r="H202" s="22" t="s">
        <v>19</v>
      </c>
      <c r="I202" s="22" t="s">
        <v>54</v>
      </c>
      <c r="J202" s="22" t="s">
        <v>55</v>
      </c>
      <c r="K202" s="22" t="s">
        <v>1623</v>
      </c>
      <c r="L202" s="22" t="s">
        <v>33</v>
      </c>
      <c r="M202" s="22" t="s">
        <v>24</v>
      </c>
      <c r="N202" s="22">
        <v>24</v>
      </c>
      <c r="O202" s="26">
        <v>5890</v>
      </c>
      <c r="P202" s="22">
        <v>0.1</v>
      </c>
      <c r="Q202" s="30">
        <v>3980</v>
      </c>
      <c r="R202" s="33">
        <f>Table1_1[[#This Row],[Units Sold]]*Table1_1[[#This Row],[Unit Price]]*1-Table1_1[[#This Row],[Discount]]</f>
        <v>141359.9</v>
      </c>
      <c r="S202" s="33">
        <f>Table1_1[[#This Row],[Units Sold]]*Table1_1[[#This Row],[Unit Cost]]</f>
        <v>95520</v>
      </c>
      <c r="T202" s="33">
        <f>Table1_1[[#This Row],[Sales Amount]]-S202</f>
        <v>45839.899999999994</v>
      </c>
      <c r="U202" s="32">
        <f>IFERROR(Table1_1[[#This Row],[Profit/loss]]/Table1_1[[#This Row],[Sales Amount]],0)</f>
        <v>0.32427796001553477</v>
      </c>
    </row>
    <row r="203" spans="1:21" ht="18" x14ac:dyDescent="0.35">
      <c r="A203" s="21" t="s">
        <v>310</v>
      </c>
      <c r="B203" s="36">
        <v>45400</v>
      </c>
      <c r="C203" s="22">
        <f>YEAR(Table1_1[[#This Row],[Order Date]])</f>
        <v>2024</v>
      </c>
      <c r="D203" s="22" t="str">
        <f>TEXT(Table1_1[[#This Row],[Order Date]],"MMMM")</f>
        <v>April</v>
      </c>
      <c r="E203" s="22" t="s">
        <v>48</v>
      </c>
      <c r="F203" s="22" t="s">
        <v>136</v>
      </c>
      <c r="G203" s="22" t="s">
        <v>84</v>
      </c>
      <c r="H203" s="22" t="s">
        <v>19</v>
      </c>
      <c r="I203" s="22" t="s">
        <v>20</v>
      </c>
      <c r="J203" s="22" t="s">
        <v>45</v>
      </c>
      <c r="K203" s="22" t="s">
        <v>196</v>
      </c>
      <c r="L203" s="22" t="s">
        <v>33</v>
      </c>
      <c r="M203" s="22" t="s">
        <v>78</v>
      </c>
      <c r="N203" s="22">
        <v>3</v>
      </c>
      <c r="O203" s="26">
        <v>2499</v>
      </c>
      <c r="P203" s="22">
        <v>0.08</v>
      </c>
      <c r="Q203" s="30">
        <v>1510</v>
      </c>
      <c r="R203" s="33">
        <f>Table1_1[[#This Row],[Units Sold]]*Table1_1[[#This Row],[Unit Price]]*1-Table1_1[[#This Row],[Discount]]</f>
        <v>7496.92</v>
      </c>
      <c r="S203" s="33">
        <f>Table1_1[[#This Row],[Units Sold]]*Table1_1[[#This Row],[Unit Cost]]</f>
        <v>4530</v>
      </c>
      <c r="T203" s="33">
        <f>Table1_1[[#This Row],[Sales Amount]]-S203</f>
        <v>2966.92</v>
      </c>
      <c r="U203" s="32">
        <f>IFERROR(Table1_1[[#This Row],[Profit/loss]]/Table1_1[[#This Row],[Sales Amount]],0)</f>
        <v>0.39575185542862934</v>
      </c>
    </row>
    <row r="204" spans="1:21" ht="18" x14ac:dyDescent="0.35">
      <c r="A204" s="21" t="s">
        <v>311</v>
      </c>
      <c r="B204" s="36">
        <v>45401</v>
      </c>
      <c r="C204" s="22">
        <f>YEAR(Table1_1[[#This Row],[Order Date]])</f>
        <v>2024</v>
      </c>
      <c r="D204" s="22" t="str">
        <f>TEXT(Table1_1[[#This Row],[Order Date]],"MMMM")</f>
        <v>April</v>
      </c>
      <c r="E204" s="22" t="s">
        <v>16</v>
      </c>
      <c r="F204" s="22" t="s">
        <v>111</v>
      </c>
      <c r="G204" s="22" t="s">
        <v>38</v>
      </c>
      <c r="H204" s="22" t="s">
        <v>29</v>
      </c>
      <c r="I204" s="22" t="s">
        <v>54</v>
      </c>
      <c r="J204" s="22" t="s">
        <v>55</v>
      </c>
      <c r="K204" s="22" t="s">
        <v>148</v>
      </c>
      <c r="L204" s="22" t="s">
        <v>57</v>
      </c>
      <c r="M204" s="22" t="s">
        <v>66</v>
      </c>
      <c r="N204" s="22">
        <v>10</v>
      </c>
      <c r="O204" s="26">
        <v>4680</v>
      </c>
      <c r="P204" s="22">
        <v>0.18</v>
      </c>
      <c r="Q204" s="30">
        <v>3250</v>
      </c>
      <c r="R204" s="33">
        <f>Table1_1[[#This Row],[Units Sold]]*Table1_1[[#This Row],[Unit Price]]*1-Table1_1[[#This Row],[Discount]]</f>
        <v>46799.82</v>
      </c>
      <c r="S204" s="33">
        <f>Table1_1[[#This Row],[Units Sold]]*Table1_1[[#This Row],[Unit Cost]]</f>
        <v>32500</v>
      </c>
      <c r="T204" s="33">
        <f>Table1_1[[#This Row],[Sales Amount]]-S204</f>
        <v>14299.82</v>
      </c>
      <c r="U204" s="32">
        <f>IFERROR(Table1_1[[#This Row],[Profit/loss]]/Table1_1[[#This Row],[Sales Amount]],0)</f>
        <v>0.30555288460511171</v>
      </c>
    </row>
    <row r="205" spans="1:21" ht="18" x14ac:dyDescent="0.35">
      <c r="A205" s="21" t="s">
        <v>312</v>
      </c>
      <c r="B205" s="36">
        <v>45401</v>
      </c>
      <c r="C205" s="22">
        <f>YEAR(Table1_1[[#This Row],[Order Date]])</f>
        <v>2024</v>
      </c>
      <c r="D205" s="22" t="str">
        <f>TEXT(Table1_1[[#This Row],[Order Date]],"MMMM")</f>
        <v>April</v>
      </c>
      <c r="E205" s="22" t="s">
        <v>82</v>
      </c>
      <c r="F205" s="22" t="s">
        <v>183</v>
      </c>
      <c r="G205" s="22" t="s">
        <v>38</v>
      </c>
      <c r="H205" s="22" t="s">
        <v>39</v>
      </c>
      <c r="I205" s="22" t="s">
        <v>40</v>
      </c>
      <c r="J205" s="22" t="s">
        <v>64</v>
      </c>
      <c r="K205" s="22" t="s">
        <v>1627</v>
      </c>
      <c r="L205" s="22" t="s">
        <v>33</v>
      </c>
      <c r="M205" s="22" t="s">
        <v>34</v>
      </c>
      <c r="N205" s="22">
        <v>23</v>
      </c>
      <c r="O205" s="26">
        <v>4490</v>
      </c>
      <c r="P205" s="22">
        <v>0.18</v>
      </c>
      <c r="Q205" s="30">
        <v>2950</v>
      </c>
      <c r="R205" s="33">
        <f>Table1_1[[#This Row],[Units Sold]]*Table1_1[[#This Row],[Unit Price]]*1-Table1_1[[#This Row],[Discount]]</f>
        <v>103269.82</v>
      </c>
      <c r="S205" s="33">
        <f>Table1_1[[#This Row],[Units Sold]]*Table1_1[[#This Row],[Unit Cost]]</f>
        <v>67850</v>
      </c>
      <c r="T205" s="33">
        <f>Table1_1[[#This Row],[Sales Amount]]-S205</f>
        <v>35419.820000000007</v>
      </c>
      <c r="U205" s="32">
        <f>IFERROR(Table1_1[[#This Row],[Profit/loss]]/Table1_1[[#This Row],[Sales Amount]],0)</f>
        <v>0.34298326461690359</v>
      </c>
    </row>
    <row r="206" spans="1:21" ht="18" x14ac:dyDescent="0.35">
      <c r="A206" s="21" t="s">
        <v>313</v>
      </c>
      <c r="B206" s="36">
        <v>45402</v>
      </c>
      <c r="C206" s="22">
        <f>YEAR(Table1_1[[#This Row],[Order Date]])</f>
        <v>2024</v>
      </c>
      <c r="D206" s="22" t="str">
        <f>TEXT(Table1_1[[#This Row],[Order Date]],"MMMM")</f>
        <v>April</v>
      </c>
      <c r="E206" s="22" t="s">
        <v>26</v>
      </c>
      <c r="F206" s="22" t="s">
        <v>74</v>
      </c>
      <c r="G206" s="22" t="s">
        <v>28</v>
      </c>
      <c r="H206" s="22" t="s">
        <v>19</v>
      </c>
      <c r="I206" s="22" t="s">
        <v>20</v>
      </c>
      <c r="J206" s="22" t="s">
        <v>21</v>
      </c>
      <c r="K206" s="22" t="s">
        <v>115</v>
      </c>
      <c r="L206" s="22" t="s">
        <v>57</v>
      </c>
      <c r="M206" s="22" t="s">
        <v>78</v>
      </c>
      <c r="N206" s="22">
        <v>30</v>
      </c>
      <c r="O206" s="26">
        <v>6499</v>
      </c>
      <c r="P206" s="22">
        <v>0.08</v>
      </c>
      <c r="Q206" s="30">
        <v>4210</v>
      </c>
      <c r="R206" s="33">
        <f>Table1_1[[#This Row],[Units Sold]]*Table1_1[[#This Row],[Unit Price]]*1-Table1_1[[#This Row],[Discount]]</f>
        <v>194969.92</v>
      </c>
      <c r="S206" s="33">
        <f>Table1_1[[#This Row],[Units Sold]]*Table1_1[[#This Row],[Unit Cost]]</f>
        <v>126300</v>
      </c>
      <c r="T206" s="33">
        <f>Table1_1[[#This Row],[Sales Amount]]-S206</f>
        <v>68669.920000000013</v>
      </c>
      <c r="U206" s="32">
        <f>IFERROR(Table1_1[[#This Row],[Profit/loss]]/Table1_1[[#This Row],[Sales Amount]],0)</f>
        <v>0.35220776620311484</v>
      </c>
    </row>
    <row r="207" spans="1:21" ht="18" x14ac:dyDescent="0.35">
      <c r="A207" s="21" t="s">
        <v>314</v>
      </c>
      <c r="B207" s="36">
        <v>45402</v>
      </c>
      <c r="C207" s="22">
        <f>YEAR(Table1_1[[#This Row],[Order Date]])</f>
        <v>2024</v>
      </c>
      <c r="D207" s="22" t="str">
        <f>TEXT(Table1_1[[#This Row],[Order Date]],"MMMM")</f>
        <v>April</v>
      </c>
      <c r="E207" s="22" t="s">
        <v>36</v>
      </c>
      <c r="F207" s="22" t="s">
        <v>121</v>
      </c>
      <c r="G207" s="22" t="s">
        <v>50</v>
      </c>
      <c r="H207" s="22" t="s">
        <v>29</v>
      </c>
      <c r="I207" s="22" t="s">
        <v>70</v>
      </c>
      <c r="J207" s="22" t="s">
        <v>71</v>
      </c>
      <c r="K207" s="22" t="s">
        <v>80</v>
      </c>
      <c r="L207" s="22" t="s">
        <v>57</v>
      </c>
      <c r="M207" s="22" t="s">
        <v>78</v>
      </c>
      <c r="N207" s="22">
        <v>32</v>
      </c>
      <c r="O207" s="26">
        <v>1299</v>
      </c>
      <c r="P207" s="22">
        <v>0.2</v>
      </c>
      <c r="Q207" s="30">
        <v>720</v>
      </c>
      <c r="R207" s="33">
        <f>Table1_1[[#This Row],[Units Sold]]*Table1_1[[#This Row],[Unit Price]]*1-Table1_1[[#This Row],[Discount]]</f>
        <v>41567.800000000003</v>
      </c>
      <c r="S207" s="33">
        <f>Table1_1[[#This Row],[Units Sold]]*Table1_1[[#This Row],[Unit Cost]]</f>
        <v>23040</v>
      </c>
      <c r="T207" s="33">
        <f>Table1_1[[#This Row],[Sales Amount]]-S207</f>
        <v>18527.800000000003</v>
      </c>
      <c r="U207" s="32">
        <f>IFERROR(Table1_1[[#This Row],[Profit/loss]]/Table1_1[[#This Row],[Sales Amount]],0)</f>
        <v>0.44572481584303236</v>
      </c>
    </row>
    <row r="208" spans="1:21" ht="18" x14ac:dyDescent="0.35">
      <c r="A208" s="21" t="s">
        <v>315</v>
      </c>
      <c r="B208" s="36">
        <v>45403</v>
      </c>
      <c r="C208" s="22">
        <f>YEAR(Table1_1[[#This Row],[Order Date]])</f>
        <v>2024</v>
      </c>
      <c r="D208" s="22" t="str">
        <f>TEXT(Table1_1[[#This Row],[Order Date]],"MMMM")</f>
        <v>April</v>
      </c>
      <c r="E208" s="22" t="s">
        <v>82</v>
      </c>
      <c r="F208" s="22" t="s">
        <v>87</v>
      </c>
      <c r="G208" s="22" t="s">
        <v>50</v>
      </c>
      <c r="H208" s="22" t="s">
        <v>39</v>
      </c>
      <c r="I208" s="22" t="s">
        <v>70</v>
      </c>
      <c r="J208" s="22" t="s">
        <v>71</v>
      </c>
      <c r="K208" s="22" t="s">
        <v>88</v>
      </c>
      <c r="L208" s="22" t="s">
        <v>23</v>
      </c>
      <c r="M208" s="22" t="s">
        <v>24</v>
      </c>
      <c r="N208" s="22">
        <v>36</v>
      </c>
      <c r="O208" s="26">
        <v>999</v>
      </c>
      <c r="P208" s="22">
        <v>0.18</v>
      </c>
      <c r="Q208" s="30">
        <v>540</v>
      </c>
      <c r="R208" s="33">
        <f>Table1_1[[#This Row],[Units Sold]]*Table1_1[[#This Row],[Unit Price]]*1-Table1_1[[#This Row],[Discount]]</f>
        <v>35963.82</v>
      </c>
      <c r="S208" s="33">
        <f>Table1_1[[#This Row],[Units Sold]]*Table1_1[[#This Row],[Unit Cost]]</f>
        <v>19440</v>
      </c>
      <c r="T208" s="33">
        <f>Table1_1[[#This Row],[Sales Amount]]-S208</f>
        <v>16523.82</v>
      </c>
      <c r="U208" s="32">
        <f>IFERROR(Table1_1[[#This Row],[Profit/loss]]/Table1_1[[#This Row],[Sales Amount]],0)</f>
        <v>0.459456754037808</v>
      </c>
    </row>
    <row r="209" spans="1:21" ht="18" x14ac:dyDescent="0.35">
      <c r="A209" s="21" t="s">
        <v>316</v>
      </c>
      <c r="B209" s="36">
        <v>45403</v>
      </c>
      <c r="C209" s="22">
        <f>YEAR(Table1_1[[#This Row],[Order Date]])</f>
        <v>2024</v>
      </c>
      <c r="D209" s="22" t="str">
        <f>TEXT(Table1_1[[#This Row],[Order Date]],"MMMM")</f>
        <v>April</v>
      </c>
      <c r="E209" s="22" t="s">
        <v>36</v>
      </c>
      <c r="F209" s="22" t="s">
        <v>44</v>
      </c>
      <c r="G209" s="22" t="s">
        <v>84</v>
      </c>
      <c r="H209" s="22" t="s">
        <v>19</v>
      </c>
      <c r="I209" s="22" t="s">
        <v>54</v>
      </c>
      <c r="J209" s="22" t="s">
        <v>55</v>
      </c>
      <c r="K209" s="22" t="s">
        <v>1623</v>
      </c>
      <c r="L209" s="22" t="s">
        <v>57</v>
      </c>
      <c r="M209" s="22" t="s">
        <v>24</v>
      </c>
      <c r="N209" s="22">
        <v>24</v>
      </c>
      <c r="O209" s="26">
        <v>5890</v>
      </c>
      <c r="P209" s="22">
        <v>0.1</v>
      </c>
      <c r="Q209" s="30">
        <v>3980</v>
      </c>
      <c r="R209" s="33">
        <f>Table1_1[[#This Row],[Units Sold]]*Table1_1[[#This Row],[Unit Price]]*1-Table1_1[[#This Row],[Discount]]</f>
        <v>141359.9</v>
      </c>
      <c r="S209" s="33">
        <f>Table1_1[[#This Row],[Units Sold]]*Table1_1[[#This Row],[Unit Cost]]</f>
        <v>95520</v>
      </c>
      <c r="T209" s="33">
        <f>Table1_1[[#This Row],[Sales Amount]]-S209</f>
        <v>45839.899999999994</v>
      </c>
      <c r="U209" s="32">
        <f>IFERROR(Table1_1[[#This Row],[Profit/loss]]/Table1_1[[#This Row],[Sales Amount]],0)</f>
        <v>0.32427796001553477</v>
      </c>
    </row>
    <row r="210" spans="1:21" ht="18" x14ac:dyDescent="0.35">
      <c r="A210" s="21" t="s">
        <v>317</v>
      </c>
      <c r="B210" s="36">
        <v>45403</v>
      </c>
      <c r="C210" s="22">
        <f>YEAR(Table1_1[[#This Row],[Order Date]])</f>
        <v>2024</v>
      </c>
      <c r="D210" s="22" t="str">
        <f>TEXT(Table1_1[[#This Row],[Order Date]],"MMMM")</f>
        <v>April</v>
      </c>
      <c r="E210" s="22" t="s">
        <v>48</v>
      </c>
      <c r="F210" s="22" t="s">
        <v>68</v>
      </c>
      <c r="G210" s="22" t="s">
        <v>75</v>
      </c>
      <c r="H210" s="22" t="s">
        <v>19</v>
      </c>
      <c r="I210" s="22" t="s">
        <v>20</v>
      </c>
      <c r="J210" s="22" t="s">
        <v>45</v>
      </c>
      <c r="K210" s="22" t="s">
        <v>196</v>
      </c>
      <c r="L210" s="22" t="s">
        <v>33</v>
      </c>
      <c r="M210" s="22" t="s">
        <v>78</v>
      </c>
      <c r="N210" s="22">
        <v>32</v>
      </c>
      <c r="O210" s="26">
        <v>2499</v>
      </c>
      <c r="P210" s="22">
        <v>0.08</v>
      </c>
      <c r="Q210" s="30">
        <v>1510</v>
      </c>
      <c r="R210" s="33">
        <f>Table1_1[[#This Row],[Units Sold]]*Table1_1[[#This Row],[Unit Price]]*1-Table1_1[[#This Row],[Discount]]</f>
        <v>79967.92</v>
      </c>
      <c r="S210" s="33">
        <f>Table1_1[[#This Row],[Units Sold]]*Table1_1[[#This Row],[Unit Cost]]</f>
        <v>48320</v>
      </c>
      <c r="T210" s="33">
        <f>Table1_1[[#This Row],[Sales Amount]]-S210</f>
        <v>31647.919999999998</v>
      </c>
      <c r="U210" s="32">
        <f>IFERROR(Table1_1[[#This Row],[Profit/loss]]/Table1_1[[#This Row],[Sales Amount]],0)</f>
        <v>0.39575769883723372</v>
      </c>
    </row>
    <row r="211" spans="1:21" ht="18" x14ac:dyDescent="0.35">
      <c r="A211" s="21" t="s">
        <v>318</v>
      </c>
      <c r="B211" s="36">
        <v>45404</v>
      </c>
      <c r="C211" s="22">
        <f>YEAR(Table1_1[[#This Row],[Order Date]])</f>
        <v>2024</v>
      </c>
      <c r="D211" s="22" t="str">
        <f>TEXT(Table1_1[[#This Row],[Order Date]],"MMMM")</f>
        <v>April</v>
      </c>
      <c r="E211" s="22" t="s">
        <v>26</v>
      </c>
      <c r="F211" s="22" t="s">
        <v>27</v>
      </c>
      <c r="G211" s="22" t="s">
        <v>18</v>
      </c>
      <c r="H211" s="22" t="s">
        <v>29</v>
      </c>
      <c r="I211" s="22" t="s">
        <v>40</v>
      </c>
      <c r="J211" s="22" t="s">
        <v>76</v>
      </c>
      <c r="K211" s="22" t="s">
        <v>1626</v>
      </c>
      <c r="L211" s="22" t="s">
        <v>23</v>
      </c>
      <c r="M211" s="22" t="s">
        <v>78</v>
      </c>
      <c r="N211" s="22">
        <v>15</v>
      </c>
      <c r="O211" s="26">
        <v>25999</v>
      </c>
      <c r="P211" s="22">
        <v>0.15</v>
      </c>
      <c r="Q211" s="30">
        <v>17800</v>
      </c>
      <c r="R211" s="33">
        <f>Table1_1[[#This Row],[Units Sold]]*Table1_1[[#This Row],[Unit Price]]*1-Table1_1[[#This Row],[Discount]]</f>
        <v>389984.85</v>
      </c>
      <c r="S211" s="33">
        <f>Table1_1[[#This Row],[Units Sold]]*Table1_1[[#This Row],[Unit Cost]]</f>
        <v>267000</v>
      </c>
      <c r="T211" s="33">
        <f>Table1_1[[#This Row],[Sales Amount]]-S211</f>
        <v>122984.84999999998</v>
      </c>
      <c r="U211" s="32">
        <f>IFERROR(Table1_1[[#This Row],[Profit/loss]]/Table1_1[[#This Row],[Sales Amount]],0)</f>
        <v>0.31535801967691818</v>
      </c>
    </row>
    <row r="212" spans="1:21" ht="18" x14ac:dyDescent="0.35">
      <c r="A212" s="21" t="s">
        <v>319</v>
      </c>
      <c r="B212" s="36">
        <v>45405</v>
      </c>
      <c r="C212" s="22">
        <f>YEAR(Table1_1[[#This Row],[Order Date]])</f>
        <v>2024</v>
      </c>
      <c r="D212" s="22" t="str">
        <f>TEXT(Table1_1[[#This Row],[Order Date]],"MMMM")</f>
        <v>April</v>
      </c>
      <c r="E212" s="22" t="s">
        <v>36</v>
      </c>
      <c r="F212" s="22" t="s">
        <v>37</v>
      </c>
      <c r="G212" s="22" t="s">
        <v>101</v>
      </c>
      <c r="H212" s="22" t="s">
        <v>29</v>
      </c>
      <c r="I212" s="22" t="s">
        <v>54</v>
      </c>
      <c r="J212" s="22" t="s">
        <v>90</v>
      </c>
      <c r="K212" s="22" t="s">
        <v>1631</v>
      </c>
      <c r="L212" s="22" t="s">
        <v>23</v>
      </c>
      <c r="M212" s="22" t="s">
        <v>24</v>
      </c>
      <c r="N212" s="22">
        <v>28</v>
      </c>
      <c r="O212" s="26">
        <v>29010</v>
      </c>
      <c r="P212" s="22">
        <v>0.05</v>
      </c>
      <c r="Q212" s="30">
        <v>19150</v>
      </c>
      <c r="R212" s="33">
        <f>Table1_1[[#This Row],[Units Sold]]*Table1_1[[#This Row],[Unit Price]]*1-Table1_1[[#This Row],[Discount]]</f>
        <v>812279.95</v>
      </c>
      <c r="S212" s="33">
        <f>Table1_1[[#This Row],[Units Sold]]*Table1_1[[#This Row],[Unit Cost]]</f>
        <v>536200</v>
      </c>
      <c r="T212" s="33">
        <f>Table1_1[[#This Row],[Sales Amount]]-S212</f>
        <v>276079.94999999995</v>
      </c>
      <c r="U212" s="32">
        <f>IFERROR(Table1_1[[#This Row],[Profit/loss]]/Table1_1[[#This Row],[Sales Amount]],0)</f>
        <v>0.33988275840121374</v>
      </c>
    </row>
    <row r="213" spans="1:21" ht="18" x14ac:dyDescent="0.35">
      <c r="A213" s="21" t="s">
        <v>320</v>
      </c>
      <c r="B213" s="36">
        <v>45405</v>
      </c>
      <c r="C213" s="22">
        <f>YEAR(Table1_1[[#This Row],[Order Date]])</f>
        <v>2024</v>
      </c>
      <c r="D213" s="22" t="str">
        <f>TEXT(Table1_1[[#This Row],[Order Date]],"MMMM")</f>
        <v>April</v>
      </c>
      <c r="E213" s="22" t="s">
        <v>36</v>
      </c>
      <c r="F213" s="22" t="s">
        <v>37</v>
      </c>
      <c r="G213" s="22" t="s">
        <v>50</v>
      </c>
      <c r="H213" s="22" t="s">
        <v>39</v>
      </c>
      <c r="I213" s="22" t="s">
        <v>20</v>
      </c>
      <c r="J213" s="22" t="s">
        <v>45</v>
      </c>
      <c r="K213" s="22" t="s">
        <v>1622</v>
      </c>
      <c r="L213" s="22" t="s">
        <v>33</v>
      </c>
      <c r="M213" s="22" t="s">
        <v>24</v>
      </c>
      <c r="N213" s="22">
        <v>7</v>
      </c>
      <c r="O213" s="26">
        <v>1599</v>
      </c>
      <c r="P213" s="22">
        <v>0.1</v>
      </c>
      <c r="Q213" s="30">
        <v>920</v>
      </c>
      <c r="R213" s="33">
        <f>Table1_1[[#This Row],[Units Sold]]*Table1_1[[#This Row],[Unit Price]]*1-Table1_1[[#This Row],[Discount]]</f>
        <v>11192.9</v>
      </c>
      <c r="S213" s="33">
        <f>Table1_1[[#This Row],[Units Sold]]*Table1_1[[#This Row],[Unit Cost]]</f>
        <v>6440</v>
      </c>
      <c r="T213" s="33">
        <f>Table1_1[[#This Row],[Sales Amount]]-S213</f>
        <v>4752.8999999999996</v>
      </c>
      <c r="U213" s="32">
        <f>IFERROR(Table1_1[[#This Row],[Profit/loss]]/Table1_1[[#This Row],[Sales Amount]],0)</f>
        <v>0.42463525985222772</v>
      </c>
    </row>
    <row r="214" spans="1:21" ht="18" x14ac:dyDescent="0.35">
      <c r="A214" s="21" t="s">
        <v>321</v>
      </c>
      <c r="B214" s="36">
        <v>45405</v>
      </c>
      <c r="C214" s="22">
        <f>YEAR(Table1_1[[#This Row],[Order Date]])</f>
        <v>2024</v>
      </c>
      <c r="D214" s="22" t="str">
        <f>TEXT(Table1_1[[#This Row],[Order Date]],"MMMM")</f>
        <v>April</v>
      </c>
      <c r="E214" s="22" t="s">
        <v>16</v>
      </c>
      <c r="F214" s="22" t="s">
        <v>17</v>
      </c>
      <c r="G214" s="22" t="s">
        <v>50</v>
      </c>
      <c r="H214" s="22" t="s">
        <v>39</v>
      </c>
      <c r="I214" s="22" t="s">
        <v>30</v>
      </c>
      <c r="J214" s="22" t="s">
        <v>31</v>
      </c>
      <c r="K214" s="22" t="s">
        <v>32</v>
      </c>
      <c r="L214" s="22" t="s">
        <v>33</v>
      </c>
      <c r="M214" s="22" t="s">
        <v>24</v>
      </c>
      <c r="N214" s="22">
        <v>21</v>
      </c>
      <c r="O214" s="26">
        <v>38990</v>
      </c>
      <c r="P214" s="22">
        <v>0.08</v>
      </c>
      <c r="Q214" s="30">
        <v>25400</v>
      </c>
      <c r="R214" s="33">
        <f>Table1_1[[#This Row],[Units Sold]]*Table1_1[[#This Row],[Unit Price]]*1-Table1_1[[#This Row],[Discount]]</f>
        <v>818789.92</v>
      </c>
      <c r="S214" s="33">
        <f>Table1_1[[#This Row],[Units Sold]]*Table1_1[[#This Row],[Unit Cost]]</f>
        <v>533400</v>
      </c>
      <c r="T214" s="33">
        <f>Table1_1[[#This Row],[Sales Amount]]-S214</f>
        <v>285389.92000000004</v>
      </c>
      <c r="U214" s="32">
        <f>IFERROR(Table1_1[[#This Row],[Profit/loss]]/Table1_1[[#This Row],[Sales Amount]],0)</f>
        <v>0.34855084683993182</v>
      </c>
    </row>
    <row r="215" spans="1:21" ht="18" x14ac:dyDescent="0.35">
      <c r="A215" s="21" t="s">
        <v>322</v>
      </c>
      <c r="B215" s="36">
        <v>45406</v>
      </c>
      <c r="C215" s="22">
        <f>YEAR(Table1_1[[#This Row],[Order Date]])</f>
        <v>2024</v>
      </c>
      <c r="D215" s="22" t="str">
        <f>TEXT(Table1_1[[#This Row],[Order Date]],"MMMM")</f>
        <v>April</v>
      </c>
      <c r="E215" s="22" t="s">
        <v>26</v>
      </c>
      <c r="F215" s="22" t="s">
        <v>163</v>
      </c>
      <c r="G215" s="22" t="s">
        <v>69</v>
      </c>
      <c r="H215" s="22" t="s">
        <v>19</v>
      </c>
      <c r="I215" s="22" t="s">
        <v>40</v>
      </c>
      <c r="J215" s="22" t="s">
        <v>76</v>
      </c>
      <c r="K215" s="22" t="s">
        <v>1626</v>
      </c>
      <c r="L215" s="22" t="s">
        <v>23</v>
      </c>
      <c r="M215" s="22" t="s">
        <v>78</v>
      </c>
      <c r="N215" s="22">
        <v>4</v>
      </c>
      <c r="O215" s="26">
        <v>25999</v>
      </c>
      <c r="P215" s="22">
        <v>0.1</v>
      </c>
      <c r="Q215" s="30">
        <v>17800</v>
      </c>
      <c r="R215" s="33">
        <f>Table1_1[[#This Row],[Units Sold]]*Table1_1[[#This Row],[Unit Price]]*1-Table1_1[[#This Row],[Discount]]</f>
        <v>103995.9</v>
      </c>
      <c r="S215" s="33">
        <f>Table1_1[[#This Row],[Units Sold]]*Table1_1[[#This Row],[Unit Cost]]</f>
        <v>71200</v>
      </c>
      <c r="T215" s="33">
        <f>Table1_1[[#This Row],[Sales Amount]]-S215</f>
        <v>32795.899999999994</v>
      </c>
      <c r="U215" s="32">
        <f>IFERROR(Table1_1[[#This Row],[Profit/loss]]/Table1_1[[#This Row],[Sales Amount]],0)</f>
        <v>0.31535762467558814</v>
      </c>
    </row>
    <row r="216" spans="1:21" ht="18" x14ac:dyDescent="0.35">
      <c r="A216" s="21" t="s">
        <v>323</v>
      </c>
      <c r="B216" s="36">
        <v>45407</v>
      </c>
      <c r="C216" s="22">
        <f>YEAR(Table1_1[[#This Row],[Order Date]])</f>
        <v>2024</v>
      </c>
      <c r="D216" s="22" t="str">
        <f>TEXT(Table1_1[[#This Row],[Order Date]],"MMMM")</f>
        <v>April</v>
      </c>
      <c r="E216" s="22" t="s">
        <v>82</v>
      </c>
      <c r="F216" s="22" t="s">
        <v>87</v>
      </c>
      <c r="G216" s="22" t="s">
        <v>84</v>
      </c>
      <c r="H216" s="22" t="s">
        <v>39</v>
      </c>
      <c r="I216" s="22" t="s">
        <v>40</v>
      </c>
      <c r="J216" s="22" t="s">
        <v>41</v>
      </c>
      <c r="K216" s="22" t="s">
        <v>1628</v>
      </c>
      <c r="L216" s="22" t="s">
        <v>57</v>
      </c>
      <c r="M216" s="22" t="s">
        <v>24</v>
      </c>
      <c r="N216" s="22">
        <v>9</v>
      </c>
      <c r="O216" s="26">
        <v>48500</v>
      </c>
      <c r="P216" s="22">
        <v>0.15</v>
      </c>
      <c r="Q216" s="30">
        <v>30200</v>
      </c>
      <c r="R216" s="33">
        <f>Table1_1[[#This Row],[Units Sold]]*Table1_1[[#This Row],[Unit Price]]*1-Table1_1[[#This Row],[Discount]]</f>
        <v>436499.85</v>
      </c>
      <c r="S216" s="33">
        <f>Table1_1[[#This Row],[Units Sold]]*Table1_1[[#This Row],[Unit Cost]]</f>
        <v>271800</v>
      </c>
      <c r="T216" s="33">
        <f>Table1_1[[#This Row],[Sales Amount]]-S216</f>
        <v>164699.84999999998</v>
      </c>
      <c r="U216" s="32">
        <f>IFERROR(Table1_1[[#This Row],[Profit/loss]]/Table1_1[[#This Row],[Sales Amount]],0)</f>
        <v>0.37731937364926926</v>
      </c>
    </row>
    <row r="217" spans="1:21" ht="18" x14ac:dyDescent="0.35">
      <c r="A217" s="21" t="s">
        <v>324</v>
      </c>
      <c r="B217" s="36">
        <v>45407</v>
      </c>
      <c r="C217" s="22">
        <f>YEAR(Table1_1[[#This Row],[Order Date]])</f>
        <v>2024</v>
      </c>
      <c r="D217" s="22" t="str">
        <f>TEXT(Table1_1[[#This Row],[Order Date]],"MMMM")</f>
        <v>April</v>
      </c>
      <c r="E217" s="22" t="s">
        <v>26</v>
      </c>
      <c r="F217" s="22" t="s">
        <v>163</v>
      </c>
      <c r="G217" s="22" t="s">
        <v>38</v>
      </c>
      <c r="H217" s="22" t="s">
        <v>29</v>
      </c>
      <c r="I217" s="22" t="s">
        <v>40</v>
      </c>
      <c r="J217" s="22" t="s">
        <v>64</v>
      </c>
      <c r="K217" s="22" t="s">
        <v>1629</v>
      </c>
      <c r="L217" s="22" t="s">
        <v>33</v>
      </c>
      <c r="M217" s="22" t="s">
        <v>78</v>
      </c>
      <c r="N217" s="22">
        <v>29</v>
      </c>
      <c r="O217" s="26">
        <v>3299</v>
      </c>
      <c r="P217" s="22">
        <v>0.2</v>
      </c>
      <c r="Q217" s="30">
        <v>2050</v>
      </c>
      <c r="R217" s="33">
        <f>Table1_1[[#This Row],[Units Sold]]*Table1_1[[#This Row],[Unit Price]]*1-Table1_1[[#This Row],[Discount]]</f>
        <v>95670.8</v>
      </c>
      <c r="S217" s="33">
        <f>Table1_1[[#This Row],[Units Sold]]*Table1_1[[#This Row],[Unit Cost]]</f>
        <v>59450</v>
      </c>
      <c r="T217" s="33">
        <f>Table1_1[[#This Row],[Sales Amount]]-S217</f>
        <v>36220.800000000003</v>
      </c>
      <c r="U217" s="32">
        <f>IFERROR(Table1_1[[#This Row],[Profit/loss]]/Table1_1[[#This Row],[Sales Amount]],0)</f>
        <v>0.37859827659014039</v>
      </c>
    </row>
    <row r="218" spans="1:21" ht="18" x14ac:dyDescent="0.35">
      <c r="A218" s="21" t="s">
        <v>325</v>
      </c>
      <c r="B218" s="36">
        <v>45407</v>
      </c>
      <c r="C218" s="22">
        <f>YEAR(Table1_1[[#This Row],[Order Date]])</f>
        <v>2024</v>
      </c>
      <c r="D218" s="22" t="str">
        <f>TEXT(Table1_1[[#This Row],[Order Date]],"MMMM")</f>
        <v>April</v>
      </c>
      <c r="E218" s="22" t="s">
        <v>82</v>
      </c>
      <c r="F218" s="22" t="s">
        <v>83</v>
      </c>
      <c r="G218" s="22" t="s">
        <v>18</v>
      </c>
      <c r="H218" s="22" t="s">
        <v>39</v>
      </c>
      <c r="I218" s="22" t="s">
        <v>40</v>
      </c>
      <c r="J218" s="22" t="s">
        <v>64</v>
      </c>
      <c r="K218" s="22" t="s">
        <v>1629</v>
      </c>
      <c r="L218" s="22" t="s">
        <v>23</v>
      </c>
      <c r="M218" s="22" t="s">
        <v>78</v>
      </c>
      <c r="N218" s="22">
        <v>14</v>
      </c>
      <c r="O218" s="26">
        <v>3299</v>
      </c>
      <c r="P218" s="22">
        <v>0.2</v>
      </c>
      <c r="Q218" s="30">
        <v>2050</v>
      </c>
      <c r="R218" s="33">
        <f>Table1_1[[#This Row],[Units Sold]]*Table1_1[[#This Row],[Unit Price]]*1-Table1_1[[#This Row],[Discount]]</f>
        <v>46185.8</v>
      </c>
      <c r="S218" s="33">
        <f>Table1_1[[#This Row],[Units Sold]]*Table1_1[[#This Row],[Unit Cost]]</f>
        <v>28700</v>
      </c>
      <c r="T218" s="33">
        <f>Table1_1[[#This Row],[Sales Amount]]-S218</f>
        <v>17485.800000000003</v>
      </c>
      <c r="U218" s="32">
        <f>IFERROR(Table1_1[[#This Row],[Profit/loss]]/Table1_1[[#This Row],[Sales Amount]],0)</f>
        <v>0.37859688475678677</v>
      </c>
    </row>
    <row r="219" spans="1:21" ht="18" x14ac:dyDescent="0.35">
      <c r="A219" s="21" t="s">
        <v>326</v>
      </c>
      <c r="B219" s="36">
        <v>45409</v>
      </c>
      <c r="C219" s="22">
        <f>YEAR(Table1_1[[#This Row],[Order Date]])</f>
        <v>2024</v>
      </c>
      <c r="D219" s="22" t="str">
        <f>TEXT(Table1_1[[#This Row],[Order Date]],"MMMM")</f>
        <v>April</v>
      </c>
      <c r="E219" s="22" t="s">
        <v>36</v>
      </c>
      <c r="F219" s="22" t="s">
        <v>44</v>
      </c>
      <c r="G219" s="22" t="s">
        <v>75</v>
      </c>
      <c r="H219" s="22" t="s">
        <v>29</v>
      </c>
      <c r="I219" s="22" t="s">
        <v>30</v>
      </c>
      <c r="J219" s="22" t="s">
        <v>61</v>
      </c>
      <c r="K219" s="22" t="s">
        <v>186</v>
      </c>
      <c r="L219" s="22" t="s">
        <v>23</v>
      </c>
      <c r="M219" s="22" t="s">
        <v>24</v>
      </c>
      <c r="N219" s="22">
        <v>31</v>
      </c>
      <c r="O219" s="26">
        <v>6999</v>
      </c>
      <c r="P219" s="22">
        <v>0.05</v>
      </c>
      <c r="Q219" s="30">
        <v>4320</v>
      </c>
      <c r="R219" s="33">
        <f>Table1_1[[#This Row],[Units Sold]]*Table1_1[[#This Row],[Unit Price]]*1-Table1_1[[#This Row],[Discount]]</f>
        <v>216968.95</v>
      </c>
      <c r="S219" s="33">
        <f>Table1_1[[#This Row],[Units Sold]]*Table1_1[[#This Row],[Unit Cost]]</f>
        <v>133920</v>
      </c>
      <c r="T219" s="33">
        <f>Table1_1[[#This Row],[Sales Amount]]-S219</f>
        <v>83048.950000000012</v>
      </c>
      <c r="U219" s="32">
        <f>IFERROR(Table1_1[[#This Row],[Profit/loss]]/Table1_1[[#This Row],[Sales Amount]],0)</f>
        <v>0.38276882475580032</v>
      </c>
    </row>
    <row r="220" spans="1:21" ht="18" x14ac:dyDescent="0.35">
      <c r="A220" s="21" t="s">
        <v>327</v>
      </c>
      <c r="B220" s="36">
        <v>45410</v>
      </c>
      <c r="C220" s="22">
        <f>YEAR(Table1_1[[#This Row],[Order Date]])</f>
        <v>2024</v>
      </c>
      <c r="D220" s="22" t="str">
        <f>TEXT(Table1_1[[#This Row],[Order Date]],"MMMM")</f>
        <v>April</v>
      </c>
      <c r="E220" s="22" t="s">
        <v>48</v>
      </c>
      <c r="F220" s="22" t="s">
        <v>68</v>
      </c>
      <c r="G220" s="22" t="s">
        <v>38</v>
      </c>
      <c r="H220" s="22" t="s">
        <v>29</v>
      </c>
      <c r="I220" s="22" t="s">
        <v>40</v>
      </c>
      <c r="J220" s="22" t="s">
        <v>76</v>
      </c>
      <c r="K220" s="22" t="s">
        <v>1626</v>
      </c>
      <c r="L220" s="22" t="s">
        <v>33</v>
      </c>
      <c r="M220" s="22" t="s">
        <v>78</v>
      </c>
      <c r="N220" s="22">
        <v>7</v>
      </c>
      <c r="O220" s="26">
        <v>25999</v>
      </c>
      <c r="P220" s="22">
        <v>0.05</v>
      </c>
      <c r="Q220" s="30">
        <v>17800</v>
      </c>
      <c r="R220" s="33">
        <f>Table1_1[[#This Row],[Units Sold]]*Table1_1[[#This Row],[Unit Price]]*1-Table1_1[[#This Row],[Discount]]</f>
        <v>181992.95</v>
      </c>
      <c r="S220" s="33">
        <f>Table1_1[[#This Row],[Units Sold]]*Table1_1[[#This Row],[Unit Cost]]</f>
        <v>124600</v>
      </c>
      <c r="T220" s="33">
        <f>Table1_1[[#This Row],[Sales Amount]]-S220</f>
        <v>57392.950000000012</v>
      </c>
      <c r="U220" s="32">
        <f>IFERROR(Table1_1[[#This Row],[Profit/loss]]/Table1_1[[#This Row],[Sales Amount]],0)</f>
        <v>0.31535809491521516</v>
      </c>
    </row>
    <row r="221" spans="1:21" ht="18" x14ac:dyDescent="0.35">
      <c r="A221" s="21" t="s">
        <v>328</v>
      </c>
      <c r="B221" s="36">
        <v>45410</v>
      </c>
      <c r="C221" s="22">
        <f>YEAR(Table1_1[[#This Row],[Order Date]])</f>
        <v>2024</v>
      </c>
      <c r="D221" s="22" t="str">
        <f>TEXT(Table1_1[[#This Row],[Order Date]],"MMMM")</f>
        <v>April</v>
      </c>
      <c r="E221" s="22" t="s">
        <v>36</v>
      </c>
      <c r="F221" s="22" t="s">
        <v>121</v>
      </c>
      <c r="G221" s="22" t="s">
        <v>84</v>
      </c>
      <c r="H221" s="22" t="s">
        <v>39</v>
      </c>
      <c r="I221" s="22" t="s">
        <v>20</v>
      </c>
      <c r="J221" s="22" t="s">
        <v>21</v>
      </c>
      <c r="K221" s="22" t="s">
        <v>51</v>
      </c>
      <c r="L221" s="22" t="s">
        <v>57</v>
      </c>
      <c r="M221" s="22" t="s">
        <v>66</v>
      </c>
      <c r="N221" s="22">
        <v>30</v>
      </c>
      <c r="O221" s="26">
        <v>5999</v>
      </c>
      <c r="P221" s="22">
        <v>0.12</v>
      </c>
      <c r="Q221" s="30">
        <v>3890</v>
      </c>
      <c r="R221" s="33">
        <f>Table1_1[[#This Row],[Units Sold]]*Table1_1[[#This Row],[Unit Price]]*1-Table1_1[[#This Row],[Discount]]</f>
        <v>179969.88</v>
      </c>
      <c r="S221" s="33">
        <f>Table1_1[[#This Row],[Units Sold]]*Table1_1[[#This Row],[Unit Cost]]</f>
        <v>116700</v>
      </c>
      <c r="T221" s="33">
        <f>Table1_1[[#This Row],[Sales Amount]]-S221</f>
        <v>63269.880000000005</v>
      </c>
      <c r="U221" s="32">
        <f>IFERROR(Table1_1[[#This Row],[Profit/loss]]/Table1_1[[#This Row],[Sales Amount]],0)</f>
        <v>0.35155816073222923</v>
      </c>
    </row>
    <row r="222" spans="1:21" ht="18" x14ac:dyDescent="0.35">
      <c r="A222" s="21" t="s">
        <v>329</v>
      </c>
      <c r="B222" s="36">
        <v>45411</v>
      </c>
      <c r="C222" s="22">
        <f>YEAR(Table1_1[[#This Row],[Order Date]])</f>
        <v>2024</v>
      </c>
      <c r="D222" s="22" t="str">
        <f>TEXT(Table1_1[[#This Row],[Order Date]],"MMMM")</f>
        <v>April</v>
      </c>
      <c r="E222" s="22" t="s">
        <v>16</v>
      </c>
      <c r="F222" s="22" t="s">
        <v>17</v>
      </c>
      <c r="G222" s="22" t="s">
        <v>50</v>
      </c>
      <c r="H222" s="22" t="s">
        <v>29</v>
      </c>
      <c r="I222" s="22" t="s">
        <v>20</v>
      </c>
      <c r="J222" s="22" t="s">
        <v>45</v>
      </c>
      <c r="K222" s="22" t="s">
        <v>1618</v>
      </c>
      <c r="L222" s="22" t="s">
        <v>57</v>
      </c>
      <c r="M222" s="22" t="s">
        <v>24</v>
      </c>
      <c r="N222" s="22">
        <v>6</v>
      </c>
      <c r="O222" s="26">
        <v>1899</v>
      </c>
      <c r="P222" s="22">
        <v>0.05</v>
      </c>
      <c r="Q222" s="30">
        <v>1080</v>
      </c>
      <c r="R222" s="33">
        <f>Table1_1[[#This Row],[Units Sold]]*Table1_1[[#This Row],[Unit Price]]*1-Table1_1[[#This Row],[Discount]]</f>
        <v>11393.95</v>
      </c>
      <c r="S222" s="33">
        <f>Table1_1[[#This Row],[Units Sold]]*Table1_1[[#This Row],[Unit Cost]]</f>
        <v>6480</v>
      </c>
      <c r="T222" s="33">
        <f>Table1_1[[#This Row],[Sales Amount]]-S222</f>
        <v>4913.9500000000007</v>
      </c>
      <c r="U222" s="32">
        <f>IFERROR(Table1_1[[#This Row],[Profit/loss]]/Table1_1[[#This Row],[Sales Amount]],0)</f>
        <v>0.43127712514097399</v>
      </c>
    </row>
    <row r="223" spans="1:21" ht="18" x14ac:dyDescent="0.35">
      <c r="A223" s="21" t="s">
        <v>330</v>
      </c>
      <c r="B223" s="36">
        <v>45411</v>
      </c>
      <c r="C223" s="22">
        <f>YEAR(Table1_1[[#This Row],[Order Date]])</f>
        <v>2024</v>
      </c>
      <c r="D223" s="22" t="str">
        <f>TEXT(Table1_1[[#This Row],[Order Date]],"MMMM")</f>
        <v>April</v>
      </c>
      <c r="E223" s="22" t="s">
        <v>36</v>
      </c>
      <c r="F223" s="22" t="s">
        <v>59</v>
      </c>
      <c r="G223" s="22" t="s">
        <v>75</v>
      </c>
      <c r="H223" s="22" t="s">
        <v>29</v>
      </c>
      <c r="I223" s="22" t="s">
        <v>30</v>
      </c>
      <c r="J223" s="22" t="s">
        <v>61</v>
      </c>
      <c r="K223" s="22" t="s">
        <v>62</v>
      </c>
      <c r="L223" s="22" t="s">
        <v>23</v>
      </c>
      <c r="M223" s="22" t="s">
        <v>24</v>
      </c>
      <c r="N223" s="22">
        <v>9</v>
      </c>
      <c r="O223" s="26">
        <v>12490</v>
      </c>
      <c r="P223" s="22">
        <v>0.12</v>
      </c>
      <c r="Q223" s="30">
        <v>7900</v>
      </c>
      <c r="R223" s="33">
        <f>Table1_1[[#This Row],[Units Sold]]*Table1_1[[#This Row],[Unit Price]]*1-Table1_1[[#This Row],[Discount]]</f>
        <v>112409.88</v>
      </c>
      <c r="S223" s="33">
        <f>Table1_1[[#This Row],[Units Sold]]*Table1_1[[#This Row],[Unit Cost]]</f>
        <v>71100</v>
      </c>
      <c r="T223" s="33">
        <f>Table1_1[[#This Row],[Sales Amount]]-S223</f>
        <v>41309.880000000005</v>
      </c>
      <c r="U223" s="32">
        <f>IFERROR(Table1_1[[#This Row],[Profit/loss]]/Table1_1[[#This Row],[Sales Amount]],0)</f>
        <v>0.36749331998219376</v>
      </c>
    </row>
    <row r="224" spans="1:21" ht="18" x14ac:dyDescent="0.35">
      <c r="A224" s="21" t="s">
        <v>331</v>
      </c>
      <c r="B224" s="36">
        <v>45411</v>
      </c>
      <c r="C224" s="22">
        <f>YEAR(Table1_1[[#This Row],[Order Date]])</f>
        <v>2024</v>
      </c>
      <c r="D224" s="22" t="str">
        <f>TEXT(Table1_1[[#This Row],[Order Date]],"MMMM")</f>
        <v>April</v>
      </c>
      <c r="E224" s="22" t="s">
        <v>82</v>
      </c>
      <c r="F224" s="22" t="s">
        <v>183</v>
      </c>
      <c r="G224" s="22" t="s">
        <v>75</v>
      </c>
      <c r="H224" s="22" t="s">
        <v>19</v>
      </c>
      <c r="I224" s="22" t="s">
        <v>30</v>
      </c>
      <c r="J224" s="22" t="s">
        <v>61</v>
      </c>
      <c r="K224" s="22" t="s">
        <v>96</v>
      </c>
      <c r="L224" s="22" t="s">
        <v>57</v>
      </c>
      <c r="M224" s="22" t="s">
        <v>24</v>
      </c>
      <c r="N224" s="22">
        <v>38</v>
      </c>
      <c r="O224" s="26">
        <v>25110</v>
      </c>
      <c r="P224" s="22">
        <v>0.08</v>
      </c>
      <c r="Q224" s="30">
        <v>16730</v>
      </c>
      <c r="R224" s="33">
        <f>Table1_1[[#This Row],[Units Sold]]*Table1_1[[#This Row],[Unit Price]]*1-Table1_1[[#This Row],[Discount]]</f>
        <v>954179.92</v>
      </c>
      <c r="S224" s="33">
        <f>Table1_1[[#This Row],[Units Sold]]*Table1_1[[#This Row],[Unit Cost]]</f>
        <v>635740</v>
      </c>
      <c r="T224" s="33">
        <f>Table1_1[[#This Row],[Sales Amount]]-S224</f>
        <v>318439.92000000004</v>
      </c>
      <c r="U224" s="32">
        <f>IFERROR(Table1_1[[#This Row],[Profit/loss]]/Table1_1[[#This Row],[Sales Amount]],0)</f>
        <v>0.33373152518237864</v>
      </c>
    </row>
    <row r="225" spans="1:21" ht="18" x14ac:dyDescent="0.35">
      <c r="A225" s="21" t="s">
        <v>332</v>
      </c>
      <c r="B225" s="36">
        <v>45411</v>
      </c>
      <c r="C225" s="22">
        <f>YEAR(Table1_1[[#This Row],[Order Date]])</f>
        <v>2024</v>
      </c>
      <c r="D225" s="22" t="str">
        <f>TEXT(Table1_1[[#This Row],[Order Date]],"MMMM")</f>
        <v>April</v>
      </c>
      <c r="E225" s="22" t="s">
        <v>48</v>
      </c>
      <c r="F225" s="22" t="s">
        <v>68</v>
      </c>
      <c r="G225" s="22" t="s">
        <v>60</v>
      </c>
      <c r="H225" s="22" t="s">
        <v>19</v>
      </c>
      <c r="I225" s="22" t="s">
        <v>70</v>
      </c>
      <c r="J225" s="22" t="s">
        <v>71</v>
      </c>
      <c r="K225" s="22" t="s">
        <v>88</v>
      </c>
      <c r="L225" s="22" t="s">
        <v>33</v>
      </c>
      <c r="M225" s="22" t="s">
        <v>34</v>
      </c>
      <c r="N225" s="22">
        <v>3</v>
      </c>
      <c r="O225" s="26">
        <v>999</v>
      </c>
      <c r="P225" s="22">
        <v>0.2</v>
      </c>
      <c r="Q225" s="30">
        <v>540</v>
      </c>
      <c r="R225" s="33">
        <f>Table1_1[[#This Row],[Units Sold]]*Table1_1[[#This Row],[Unit Price]]*1-Table1_1[[#This Row],[Discount]]</f>
        <v>2996.8</v>
      </c>
      <c r="S225" s="33">
        <f>Table1_1[[#This Row],[Units Sold]]*Table1_1[[#This Row],[Unit Cost]]</f>
        <v>1620</v>
      </c>
      <c r="T225" s="33">
        <f>Table1_1[[#This Row],[Sales Amount]]-S225</f>
        <v>1376.8000000000002</v>
      </c>
      <c r="U225" s="32">
        <f>IFERROR(Table1_1[[#This Row],[Profit/loss]]/Table1_1[[#This Row],[Sales Amount]],0)</f>
        <v>0.45942338494394025</v>
      </c>
    </row>
    <row r="226" spans="1:21" ht="18" x14ac:dyDescent="0.35">
      <c r="A226" s="21" t="s">
        <v>333</v>
      </c>
      <c r="B226" s="36">
        <v>45412</v>
      </c>
      <c r="C226" s="22">
        <f>YEAR(Table1_1[[#This Row],[Order Date]])</f>
        <v>2024</v>
      </c>
      <c r="D226" s="22" t="str">
        <f>TEXT(Table1_1[[#This Row],[Order Date]],"MMMM")</f>
        <v>April</v>
      </c>
      <c r="E226" s="22" t="s">
        <v>26</v>
      </c>
      <c r="F226" s="22" t="s">
        <v>163</v>
      </c>
      <c r="G226" s="22" t="s">
        <v>69</v>
      </c>
      <c r="H226" s="22" t="s">
        <v>29</v>
      </c>
      <c r="I226" s="22" t="s">
        <v>54</v>
      </c>
      <c r="J226" s="22" t="s">
        <v>55</v>
      </c>
      <c r="K226" s="22" t="s">
        <v>148</v>
      </c>
      <c r="L226" s="22" t="s">
        <v>57</v>
      </c>
      <c r="M226" s="22" t="s">
        <v>34</v>
      </c>
      <c r="N226" s="22">
        <v>8</v>
      </c>
      <c r="O226" s="26">
        <v>4680</v>
      </c>
      <c r="P226" s="22">
        <v>0.05</v>
      </c>
      <c r="Q226" s="30">
        <v>3250</v>
      </c>
      <c r="R226" s="33">
        <f>Table1_1[[#This Row],[Units Sold]]*Table1_1[[#This Row],[Unit Price]]*1-Table1_1[[#This Row],[Discount]]</f>
        <v>37439.949999999997</v>
      </c>
      <c r="S226" s="33">
        <f>Table1_1[[#This Row],[Units Sold]]*Table1_1[[#This Row],[Unit Cost]]</f>
        <v>26000</v>
      </c>
      <c r="T226" s="33">
        <f>Table1_1[[#This Row],[Sales Amount]]-S226</f>
        <v>11439.949999999997</v>
      </c>
      <c r="U226" s="32">
        <f>IFERROR(Table1_1[[#This Row],[Profit/loss]]/Table1_1[[#This Row],[Sales Amount]],0)</f>
        <v>0.30555462814453538</v>
      </c>
    </row>
    <row r="227" spans="1:21" ht="18" x14ac:dyDescent="0.35">
      <c r="A227" s="21" t="s">
        <v>334</v>
      </c>
      <c r="B227" s="36">
        <v>45412</v>
      </c>
      <c r="C227" s="22">
        <f>YEAR(Table1_1[[#This Row],[Order Date]])</f>
        <v>2024</v>
      </c>
      <c r="D227" s="22" t="str">
        <f>TEXT(Table1_1[[#This Row],[Order Date]],"MMMM")</f>
        <v>April</v>
      </c>
      <c r="E227" s="22" t="s">
        <v>48</v>
      </c>
      <c r="F227" s="22" t="s">
        <v>93</v>
      </c>
      <c r="G227" s="22" t="s">
        <v>50</v>
      </c>
      <c r="H227" s="22" t="s">
        <v>19</v>
      </c>
      <c r="I227" s="22" t="s">
        <v>30</v>
      </c>
      <c r="J227" s="22" t="s">
        <v>61</v>
      </c>
      <c r="K227" s="22" t="s">
        <v>62</v>
      </c>
      <c r="L227" s="22" t="s">
        <v>57</v>
      </c>
      <c r="M227" s="22" t="s">
        <v>24</v>
      </c>
      <c r="N227" s="22">
        <v>29</v>
      </c>
      <c r="O227" s="26">
        <v>12490</v>
      </c>
      <c r="P227" s="22">
        <v>0.12</v>
      </c>
      <c r="Q227" s="30">
        <v>7900</v>
      </c>
      <c r="R227" s="33">
        <f>Table1_1[[#This Row],[Units Sold]]*Table1_1[[#This Row],[Unit Price]]*1-Table1_1[[#This Row],[Discount]]</f>
        <v>362209.88</v>
      </c>
      <c r="S227" s="33">
        <f>Table1_1[[#This Row],[Units Sold]]*Table1_1[[#This Row],[Unit Cost]]</f>
        <v>229100</v>
      </c>
      <c r="T227" s="33">
        <f>Table1_1[[#This Row],[Sales Amount]]-S227</f>
        <v>133109.88</v>
      </c>
      <c r="U227" s="32">
        <f>IFERROR(Table1_1[[#This Row],[Profit/loss]]/Table1_1[[#This Row],[Sales Amount]],0)</f>
        <v>0.36749378564715024</v>
      </c>
    </row>
    <row r="228" spans="1:21" ht="18" x14ac:dyDescent="0.35">
      <c r="A228" s="21" t="s">
        <v>335</v>
      </c>
      <c r="B228" s="36">
        <v>45412</v>
      </c>
      <c r="C228" s="22">
        <f>YEAR(Table1_1[[#This Row],[Order Date]])</f>
        <v>2024</v>
      </c>
      <c r="D228" s="22" t="str">
        <f>TEXT(Table1_1[[#This Row],[Order Date]],"MMMM")</f>
        <v>April</v>
      </c>
      <c r="E228" s="22" t="s">
        <v>16</v>
      </c>
      <c r="F228" s="22" t="s">
        <v>17</v>
      </c>
      <c r="G228" s="22" t="s">
        <v>105</v>
      </c>
      <c r="H228" s="22" t="s">
        <v>19</v>
      </c>
      <c r="I228" s="22" t="s">
        <v>40</v>
      </c>
      <c r="J228" s="22" t="s">
        <v>64</v>
      </c>
      <c r="K228" s="22" t="s">
        <v>1619</v>
      </c>
      <c r="L228" s="22" t="s">
        <v>23</v>
      </c>
      <c r="M228" s="22" t="s">
        <v>66</v>
      </c>
      <c r="N228" s="22">
        <v>25</v>
      </c>
      <c r="O228" s="26">
        <v>1930</v>
      </c>
      <c r="P228" s="22">
        <v>0.12</v>
      </c>
      <c r="Q228" s="30">
        <v>1120</v>
      </c>
      <c r="R228" s="33">
        <f>Table1_1[[#This Row],[Units Sold]]*Table1_1[[#This Row],[Unit Price]]*1-Table1_1[[#This Row],[Discount]]</f>
        <v>48249.88</v>
      </c>
      <c r="S228" s="33">
        <f>Table1_1[[#This Row],[Units Sold]]*Table1_1[[#This Row],[Unit Cost]]</f>
        <v>28000</v>
      </c>
      <c r="T228" s="33">
        <f>Table1_1[[#This Row],[Sales Amount]]-S228</f>
        <v>20249.879999999997</v>
      </c>
      <c r="U228" s="32">
        <f>IFERROR(Table1_1[[#This Row],[Profit/loss]]/Table1_1[[#This Row],[Sales Amount]],0)</f>
        <v>0.41968767590717321</v>
      </c>
    </row>
    <row r="229" spans="1:21" ht="18" x14ac:dyDescent="0.35">
      <c r="A229" s="21" t="s">
        <v>336</v>
      </c>
      <c r="B229" s="36">
        <v>45412</v>
      </c>
      <c r="C229" s="22">
        <f>YEAR(Table1_1[[#This Row],[Order Date]])</f>
        <v>2024</v>
      </c>
      <c r="D229" s="22" t="str">
        <f>TEXT(Table1_1[[#This Row],[Order Date]],"MMMM")</f>
        <v>April</v>
      </c>
      <c r="E229" s="22" t="s">
        <v>48</v>
      </c>
      <c r="F229" s="22" t="s">
        <v>68</v>
      </c>
      <c r="G229" s="22" t="s">
        <v>18</v>
      </c>
      <c r="H229" s="22" t="s">
        <v>39</v>
      </c>
      <c r="I229" s="22" t="s">
        <v>70</v>
      </c>
      <c r="J229" s="22" t="s">
        <v>71</v>
      </c>
      <c r="K229" s="22" t="s">
        <v>72</v>
      </c>
      <c r="L229" s="22" t="s">
        <v>23</v>
      </c>
      <c r="M229" s="22" t="s">
        <v>24</v>
      </c>
      <c r="N229" s="22">
        <v>35</v>
      </c>
      <c r="O229" s="26">
        <v>3499</v>
      </c>
      <c r="P229" s="22">
        <v>0.18</v>
      </c>
      <c r="Q229" s="30">
        <v>2190</v>
      </c>
      <c r="R229" s="33">
        <f>Table1_1[[#This Row],[Units Sold]]*Table1_1[[#This Row],[Unit Price]]*1-Table1_1[[#This Row],[Discount]]</f>
        <v>122464.82</v>
      </c>
      <c r="S229" s="33">
        <f>Table1_1[[#This Row],[Units Sold]]*Table1_1[[#This Row],[Unit Cost]]</f>
        <v>76650</v>
      </c>
      <c r="T229" s="33">
        <f>Table1_1[[#This Row],[Sales Amount]]-S229</f>
        <v>45814.820000000007</v>
      </c>
      <c r="U229" s="32">
        <f>IFERROR(Table1_1[[#This Row],[Profit/loss]]/Table1_1[[#This Row],[Sales Amount]],0)</f>
        <v>0.37410596773832683</v>
      </c>
    </row>
    <row r="230" spans="1:21" ht="18" x14ac:dyDescent="0.35">
      <c r="A230" s="21" t="s">
        <v>337</v>
      </c>
      <c r="B230" s="36">
        <v>45413</v>
      </c>
      <c r="C230" s="22">
        <f>YEAR(Table1_1[[#This Row],[Order Date]])</f>
        <v>2024</v>
      </c>
      <c r="D230" s="22" t="str">
        <f>TEXT(Table1_1[[#This Row],[Order Date]],"MMMM")</f>
        <v>May</v>
      </c>
      <c r="E230" s="22" t="s">
        <v>82</v>
      </c>
      <c r="F230" s="22" t="s">
        <v>183</v>
      </c>
      <c r="G230" s="22" t="s">
        <v>28</v>
      </c>
      <c r="H230" s="22" t="s">
        <v>39</v>
      </c>
      <c r="I230" s="22" t="s">
        <v>40</v>
      </c>
      <c r="J230" s="22" t="s">
        <v>41</v>
      </c>
      <c r="K230" s="22" t="s">
        <v>1624</v>
      </c>
      <c r="L230" s="22" t="s">
        <v>23</v>
      </c>
      <c r="M230" s="22" t="s">
        <v>24</v>
      </c>
      <c r="N230" s="22">
        <v>6</v>
      </c>
      <c r="O230" s="26">
        <v>48990</v>
      </c>
      <c r="P230" s="22">
        <v>0.2</v>
      </c>
      <c r="Q230" s="30">
        <v>30100</v>
      </c>
      <c r="R230" s="33">
        <f>Table1_1[[#This Row],[Units Sold]]*Table1_1[[#This Row],[Unit Price]]*1-Table1_1[[#This Row],[Discount]]</f>
        <v>293939.8</v>
      </c>
      <c r="S230" s="33">
        <f>Table1_1[[#This Row],[Units Sold]]*Table1_1[[#This Row],[Unit Cost]]</f>
        <v>180600</v>
      </c>
      <c r="T230" s="33">
        <f>Table1_1[[#This Row],[Sales Amount]]-S230</f>
        <v>113339.79999999999</v>
      </c>
      <c r="U230" s="32">
        <f>IFERROR(Table1_1[[#This Row],[Profit/loss]]/Table1_1[[#This Row],[Sales Amount]],0)</f>
        <v>0.38558847764065973</v>
      </c>
    </row>
    <row r="231" spans="1:21" ht="18" x14ac:dyDescent="0.35">
      <c r="A231" s="21" t="s">
        <v>338</v>
      </c>
      <c r="B231" s="36">
        <v>45413</v>
      </c>
      <c r="C231" s="22">
        <f>YEAR(Table1_1[[#This Row],[Order Date]])</f>
        <v>2024</v>
      </c>
      <c r="D231" s="22" t="str">
        <f>TEXT(Table1_1[[#This Row],[Order Date]],"MMMM")</f>
        <v>May</v>
      </c>
      <c r="E231" s="22" t="s">
        <v>36</v>
      </c>
      <c r="F231" s="22" t="s">
        <v>121</v>
      </c>
      <c r="G231" s="22" t="s">
        <v>38</v>
      </c>
      <c r="H231" s="22" t="s">
        <v>19</v>
      </c>
      <c r="I231" s="22" t="s">
        <v>54</v>
      </c>
      <c r="J231" s="22" t="s">
        <v>55</v>
      </c>
      <c r="K231" s="22" t="s">
        <v>1623</v>
      </c>
      <c r="L231" s="22" t="s">
        <v>23</v>
      </c>
      <c r="M231" s="22" t="s">
        <v>66</v>
      </c>
      <c r="N231" s="22">
        <v>10</v>
      </c>
      <c r="O231" s="26">
        <v>5890</v>
      </c>
      <c r="P231" s="22">
        <v>0.08</v>
      </c>
      <c r="Q231" s="30">
        <v>3980</v>
      </c>
      <c r="R231" s="33">
        <f>Table1_1[[#This Row],[Units Sold]]*Table1_1[[#This Row],[Unit Price]]*1-Table1_1[[#This Row],[Discount]]</f>
        <v>58899.92</v>
      </c>
      <c r="S231" s="33">
        <f>Table1_1[[#This Row],[Units Sold]]*Table1_1[[#This Row],[Unit Cost]]</f>
        <v>39800</v>
      </c>
      <c r="T231" s="33">
        <f>Table1_1[[#This Row],[Sales Amount]]-S231</f>
        <v>19099.919999999998</v>
      </c>
      <c r="U231" s="32">
        <f>IFERROR(Table1_1[[#This Row],[Profit/loss]]/Table1_1[[#This Row],[Sales Amount]],0)</f>
        <v>0.32427752024111406</v>
      </c>
    </row>
    <row r="232" spans="1:21" ht="18" x14ac:dyDescent="0.35">
      <c r="A232" s="21" t="s">
        <v>339</v>
      </c>
      <c r="B232" s="36">
        <v>45415</v>
      </c>
      <c r="C232" s="22">
        <f>YEAR(Table1_1[[#This Row],[Order Date]])</f>
        <v>2024</v>
      </c>
      <c r="D232" s="22" t="str">
        <f>TEXT(Table1_1[[#This Row],[Order Date]],"MMMM")</f>
        <v>May</v>
      </c>
      <c r="E232" s="22" t="s">
        <v>16</v>
      </c>
      <c r="F232" s="22" t="s">
        <v>98</v>
      </c>
      <c r="G232" s="22" t="s">
        <v>38</v>
      </c>
      <c r="H232" s="22" t="s">
        <v>29</v>
      </c>
      <c r="I232" s="22" t="s">
        <v>40</v>
      </c>
      <c r="J232" s="22" t="s">
        <v>41</v>
      </c>
      <c r="K232" s="22" t="s">
        <v>1624</v>
      </c>
      <c r="L232" s="22" t="s">
        <v>57</v>
      </c>
      <c r="M232" s="22" t="s">
        <v>34</v>
      </c>
      <c r="N232" s="22">
        <v>36</v>
      </c>
      <c r="O232" s="26">
        <v>48990</v>
      </c>
      <c r="P232" s="22">
        <v>0.2</v>
      </c>
      <c r="Q232" s="30">
        <v>30100</v>
      </c>
      <c r="R232" s="33">
        <f>Table1_1[[#This Row],[Units Sold]]*Table1_1[[#This Row],[Unit Price]]*1-Table1_1[[#This Row],[Discount]]</f>
        <v>1763639.8</v>
      </c>
      <c r="S232" s="33">
        <f>Table1_1[[#This Row],[Units Sold]]*Table1_1[[#This Row],[Unit Cost]]</f>
        <v>1083600</v>
      </c>
      <c r="T232" s="33">
        <f>Table1_1[[#This Row],[Sales Amount]]-S232</f>
        <v>680039.8</v>
      </c>
      <c r="U232" s="32">
        <f>IFERROR(Table1_1[[#This Row],[Profit/loss]]/Table1_1[[#This Row],[Sales Amount]],0)</f>
        <v>0.38558882601764827</v>
      </c>
    </row>
    <row r="233" spans="1:21" ht="18" x14ac:dyDescent="0.35">
      <c r="A233" s="21" t="s">
        <v>340</v>
      </c>
      <c r="B233" s="36">
        <v>45416</v>
      </c>
      <c r="C233" s="22">
        <f>YEAR(Table1_1[[#This Row],[Order Date]])</f>
        <v>2024</v>
      </c>
      <c r="D233" s="22" t="str">
        <f>TEXT(Table1_1[[#This Row],[Order Date]],"MMMM")</f>
        <v>May</v>
      </c>
      <c r="E233" s="22" t="s">
        <v>82</v>
      </c>
      <c r="F233" s="22" t="s">
        <v>100</v>
      </c>
      <c r="G233" s="22" t="s">
        <v>38</v>
      </c>
      <c r="H233" s="22" t="s">
        <v>19</v>
      </c>
      <c r="I233" s="22" t="s">
        <v>70</v>
      </c>
      <c r="J233" s="22" t="s">
        <v>71</v>
      </c>
      <c r="K233" s="22" t="s">
        <v>80</v>
      </c>
      <c r="L233" s="22" t="s">
        <v>33</v>
      </c>
      <c r="M233" s="22" t="s">
        <v>78</v>
      </c>
      <c r="N233" s="22">
        <v>38</v>
      </c>
      <c r="O233" s="26">
        <v>1299</v>
      </c>
      <c r="P233" s="22">
        <v>0.08</v>
      </c>
      <c r="Q233" s="30">
        <v>720</v>
      </c>
      <c r="R233" s="33">
        <f>Table1_1[[#This Row],[Units Sold]]*Table1_1[[#This Row],[Unit Price]]*1-Table1_1[[#This Row],[Discount]]</f>
        <v>49361.919999999998</v>
      </c>
      <c r="S233" s="33">
        <f>Table1_1[[#This Row],[Units Sold]]*Table1_1[[#This Row],[Unit Cost]]</f>
        <v>27360</v>
      </c>
      <c r="T233" s="33">
        <f>Table1_1[[#This Row],[Sales Amount]]-S233</f>
        <v>22001.919999999998</v>
      </c>
      <c r="U233" s="32">
        <f>IFERROR(Table1_1[[#This Row],[Profit/loss]]/Table1_1[[#This Row],[Sales Amount]],0)</f>
        <v>0.44572658437921375</v>
      </c>
    </row>
    <row r="234" spans="1:21" ht="18" x14ac:dyDescent="0.35">
      <c r="A234" s="21" t="s">
        <v>341</v>
      </c>
      <c r="B234" s="36">
        <v>45416</v>
      </c>
      <c r="C234" s="22">
        <f>YEAR(Table1_1[[#This Row],[Order Date]])</f>
        <v>2024</v>
      </c>
      <c r="D234" s="22" t="str">
        <f>TEXT(Table1_1[[#This Row],[Order Date]],"MMMM")</f>
        <v>May</v>
      </c>
      <c r="E234" s="22" t="s">
        <v>48</v>
      </c>
      <c r="F234" s="22" t="s">
        <v>49</v>
      </c>
      <c r="G234" s="22" t="s">
        <v>101</v>
      </c>
      <c r="H234" s="22" t="s">
        <v>29</v>
      </c>
      <c r="I234" s="22" t="s">
        <v>20</v>
      </c>
      <c r="J234" s="22" t="s">
        <v>21</v>
      </c>
      <c r="K234" s="22" t="s">
        <v>22</v>
      </c>
      <c r="L234" s="22" t="s">
        <v>57</v>
      </c>
      <c r="M234" s="22" t="s">
        <v>78</v>
      </c>
      <c r="N234" s="22">
        <v>11</v>
      </c>
      <c r="O234" s="26">
        <v>4499</v>
      </c>
      <c r="P234" s="22">
        <v>0.12</v>
      </c>
      <c r="Q234" s="30">
        <v>2910</v>
      </c>
      <c r="R234" s="33">
        <f>Table1_1[[#This Row],[Units Sold]]*Table1_1[[#This Row],[Unit Price]]*1-Table1_1[[#This Row],[Discount]]</f>
        <v>49488.88</v>
      </c>
      <c r="S234" s="33">
        <f>Table1_1[[#This Row],[Units Sold]]*Table1_1[[#This Row],[Unit Cost]]</f>
        <v>32010</v>
      </c>
      <c r="T234" s="33">
        <f>Table1_1[[#This Row],[Sales Amount]]-S234</f>
        <v>17478.879999999997</v>
      </c>
      <c r="U234" s="32">
        <f>IFERROR(Table1_1[[#This Row],[Profit/loss]]/Table1_1[[#This Row],[Sales Amount]],0)</f>
        <v>0.35318802931082699</v>
      </c>
    </row>
    <row r="235" spans="1:21" ht="18" x14ac:dyDescent="0.35">
      <c r="A235" s="21" t="s">
        <v>342</v>
      </c>
      <c r="B235" s="36">
        <v>45417</v>
      </c>
      <c r="C235" s="22">
        <f>YEAR(Table1_1[[#This Row],[Order Date]])</f>
        <v>2024</v>
      </c>
      <c r="D235" s="22" t="str">
        <f>TEXT(Table1_1[[#This Row],[Order Date]],"MMMM")</f>
        <v>May</v>
      </c>
      <c r="E235" s="22" t="s">
        <v>82</v>
      </c>
      <c r="F235" s="22" t="s">
        <v>83</v>
      </c>
      <c r="G235" s="22" t="s">
        <v>105</v>
      </c>
      <c r="H235" s="22" t="s">
        <v>29</v>
      </c>
      <c r="I235" s="22" t="s">
        <v>30</v>
      </c>
      <c r="J235" s="22" t="s">
        <v>61</v>
      </c>
      <c r="K235" s="22" t="s">
        <v>62</v>
      </c>
      <c r="L235" s="22" t="s">
        <v>23</v>
      </c>
      <c r="M235" s="22" t="s">
        <v>24</v>
      </c>
      <c r="N235" s="22">
        <v>35</v>
      </c>
      <c r="O235" s="26">
        <v>12490</v>
      </c>
      <c r="P235" s="22">
        <v>0.18</v>
      </c>
      <c r="Q235" s="30">
        <v>7900</v>
      </c>
      <c r="R235" s="33">
        <f>Table1_1[[#This Row],[Units Sold]]*Table1_1[[#This Row],[Unit Price]]*1-Table1_1[[#This Row],[Discount]]</f>
        <v>437149.82</v>
      </c>
      <c r="S235" s="33">
        <f>Table1_1[[#This Row],[Units Sold]]*Table1_1[[#This Row],[Unit Cost]]</f>
        <v>276500</v>
      </c>
      <c r="T235" s="33">
        <f>Table1_1[[#This Row],[Sales Amount]]-S235</f>
        <v>160649.82</v>
      </c>
      <c r="U235" s="32">
        <f>IFERROR(Table1_1[[#This Row],[Profit/loss]]/Table1_1[[#This Row],[Sales Amount]],0)</f>
        <v>0.3674937347566562</v>
      </c>
    </row>
    <row r="236" spans="1:21" ht="18" x14ac:dyDescent="0.35">
      <c r="A236" s="21" t="s">
        <v>343</v>
      </c>
      <c r="B236" s="36">
        <v>45417</v>
      </c>
      <c r="C236" s="22">
        <f>YEAR(Table1_1[[#This Row],[Order Date]])</f>
        <v>2024</v>
      </c>
      <c r="D236" s="22" t="str">
        <f>TEXT(Table1_1[[#This Row],[Order Date]],"MMMM")</f>
        <v>May</v>
      </c>
      <c r="E236" s="22" t="s">
        <v>48</v>
      </c>
      <c r="F236" s="22" t="s">
        <v>68</v>
      </c>
      <c r="G236" s="22" t="s">
        <v>69</v>
      </c>
      <c r="H236" s="22" t="s">
        <v>29</v>
      </c>
      <c r="I236" s="22" t="s">
        <v>20</v>
      </c>
      <c r="J236" s="22" t="s">
        <v>45</v>
      </c>
      <c r="K236" s="22" t="s">
        <v>1622</v>
      </c>
      <c r="L236" s="22" t="s">
        <v>57</v>
      </c>
      <c r="M236" s="22" t="s">
        <v>24</v>
      </c>
      <c r="N236" s="22">
        <v>4</v>
      </c>
      <c r="O236" s="26">
        <v>1599</v>
      </c>
      <c r="P236" s="22">
        <v>0.18</v>
      </c>
      <c r="Q236" s="30">
        <v>920</v>
      </c>
      <c r="R236" s="33">
        <f>Table1_1[[#This Row],[Units Sold]]*Table1_1[[#This Row],[Unit Price]]*1-Table1_1[[#This Row],[Discount]]</f>
        <v>6395.82</v>
      </c>
      <c r="S236" s="33">
        <f>Table1_1[[#This Row],[Units Sold]]*Table1_1[[#This Row],[Unit Cost]]</f>
        <v>3680</v>
      </c>
      <c r="T236" s="33">
        <f>Table1_1[[#This Row],[Sales Amount]]-S236</f>
        <v>2715.8199999999997</v>
      </c>
      <c r="U236" s="32">
        <f>IFERROR(Table1_1[[#This Row],[Profit/loss]]/Table1_1[[#This Row],[Sales Amount]],0)</f>
        <v>0.42462420768564468</v>
      </c>
    </row>
    <row r="237" spans="1:21" ht="18" x14ac:dyDescent="0.35">
      <c r="A237" s="21" t="s">
        <v>344</v>
      </c>
      <c r="B237" s="36">
        <v>45419</v>
      </c>
      <c r="C237" s="22">
        <f>YEAR(Table1_1[[#This Row],[Order Date]])</f>
        <v>2024</v>
      </c>
      <c r="D237" s="22" t="str">
        <f>TEXT(Table1_1[[#This Row],[Order Date]],"MMMM")</f>
        <v>May</v>
      </c>
      <c r="E237" s="22" t="s">
        <v>16</v>
      </c>
      <c r="F237" s="22" t="s">
        <v>17</v>
      </c>
      <c r="G237" s="22" t="s">
        <v>69</v>
      </c>
      <c r="H237" s="22" t="s">
        <v>29</v>
      </c>
      <c r="I237" s="22" t="s">
        <v>40</v>
      </c>
      <c r="J237" s="22" t="s">
        <v>76</v>
      </c>
      <c r="K237" s="22" t="s">
        <v>113</v>
      </c>
      <c r="L237" s="22" t="s">
        <v>33</v>
      </c>
      <c r="M237" s="22" t="s">
        <v>24</v>
      </c>
      <c r="N237" s="22">
        <v>14</v>
      </c>
      <c r="O237" s="26">
        <v>22999</v>
      </c>
      <c r="P237" s="22">
        <v>0.18</v>
      </c>
      <c r="Q237" s="30">
        <v>15100</v>
      </c>
      <c r="R237" s="33">
        <f>Table1_1[[#This Row],[Units Sold]]*Table1_1[[#This Row],[Unit Price]]*1-Table1_1[[#This Row],[Discount]]</f>
        <v>321985.82</v>
      </c>
      <c r="S237" s="33">
        <f>Table1_1[[#This Row],[Units Sold]]*Table1_1[[#This Row],[Unit Cost]]</f>
        <v>211400</v>
      </c>
      <c r="T237" s="33">
        <f>Table1_1[[#This Row],[Sales Amount]]-S237</f>
        <v>110585.82</v>
      </c>
      <c r="U237" s="32">
        <f>IFERROR(Table1_1[[#This Row],[Profit/loss]]/Table1_1[[#This Row],[Sales Amount]],0)</f>
        <v>0.3434493481731587</v>
      </c>
    </row>
    <row r="238" spans="1:21" ht="18" x14ac:dyDescent="0.35">
      <c r="A238" s="21" t="s">
        <v>345</v>
      </c>
      <c r="B238" s="36">
        <v>45419</v>
      </c>
      <c r="C238" s="22">
        <f>YEAR(Table1_1[[#This Row],[Order Date]])</f>
        <v>2024</v>
      </c>
      <c r="D238" s="22" t="str">
        <f>TEXT(Table1_1[[#This Row],[Order Date]],"MMMM")</f>
        <v>May</v>
      </c>
      <c r="E238" s="22" t="s">
        <v>48</v>
      </c>
      <c r="F238" s="22" t="s">
        <v>49</v>
      </c>
      <c r="G238" s="22" t="s">
        <v>60</v>
      </c>
      <c r="H238" s="22" t="s">
        <v>39</v>
      </c>
      <c r="I238" s="22" t="s">
        <v>30</v>
      </c>
      <c r="J238" s="22" t="s">
        <v>61</v>
      </c>
      <c r="K238" s="22" t="s">
        <v>96</v>
      </c>
      <c r="L238" s="22" t="s">
        <v>57</v>
      </c>
      <c r="M238" s="22" t="s">
        <v>24</v>
      </c>
      <c r="N238" s="22">
        <v>6</v>
      </c>
      <c r="O238" s="26">
        <v>25110</v>
      </c>
      <c r="P238" s="22">
        <v>0.18</v>
      </c>
      <c r="Q238" s="30">
        <v>16730</v>
      </c>
      <c r="R238" s="33">
        <f>Table1_1[[#This Row],[Units Sold]]*Table1_1[[#This Row],[Unit Price]]*1-Table1_1[[#This Row],[Discount]]</f>
        <v>150659.82</v>
      </c>
      <c r="S238" s="33">
        <f>Table1_1[[#This Row],[Units Sold]]*Table1_1[[#This Row],[Unit Cost]]</f>
        <v>100380</v>
      </c>
      <c r="T238" s="33">
        <f>Table1_1[[#This Row],[Sales Amount]]-S238</f>
        <v>50279.820000000007</v>
      </c>
      <c r="U238" s="32">
        <f>IFERROR(Table1_1[[#This Row],[Profit/loss]]/Table1_1[[#This Row],[Sales Amount]],0)</f>
        <v>0.33373078502284154</v>
      </c>
    </row>
    <row r="239" spans="1:21" ht="18" x14ac:dyDescent="0.35">
      <c r="A239" s="21" t="s">
        <v>346</v>
      </c>
      <c r="B239" s="36">
        <v>45420</v>
      </c>
      <c r="C239" s="22">
        <f>YEAR(Table1_1[[#This Row],[Order Date]])</f>
        <v>2024</v>
      </c>
      <c r="D239" s="22" t="str">
        <f>TEXT(Table1_1[[#This Row],[Order Date]],"MMMM")</f>
        <v>May</v>
      </c>
      <c r="E239" s="22" t="s">
        <v>82</v>
      </c>
      <c r="F239" s="22" t="s">
        <v>100</v>
      </c>
      <c r="G239" s="22" t="s">
        <v>18</v>
      </c>
      <c r="H239" s="22" t="s">
        <v>19</v>
      </c>
      <c r="I239" s="22" t="s">
        <v>54</v>
      </c>
      <c r="J239" s="22" t="s">
        <v>129</v>
      </c>
      <c r="K239" s="22" t="s">
        <v>1630</v>
      </c>
      <c r="L239" s="22" t="s">
        <v>57</v>
      </c>
      <c r="M239" s="22" t="s">
        <v>24</v>
      </c>
      <c r="N239" s="22">
        <v>9</v>
      </c>
      <c r="O239" s="26">
        <v>29010</v>
      </c>
      <c r="P239" s="22">
        <v>0.15</v>
      </c>
      <c r="Q239" s="30">
        <v>19100</v>
      </c>
      <c r="R239" s="33">
        <f>Table1_1[[#This Row],[Units Sold]]*Table1_1[[#This Row],[Unit Price]]*1-Table1_1[[#This Row],[Discount]]</f>
        <v>261089.85</v>
      </c>
      <c r="S239" s="33">
        <f>Table1_1[[#This Row],[Units Sold]]*Table1_1[[#This Row],[Unit Cost]]</f>
        <v>171900</v>
      </c>
      <c r="T239" s="33">
        <f>Table1_1[[#This Row],[Sales Amount]]-S239</f>
        <v>89189.85</v>
      </c>
      <c r="U239" s="32">
        <f>IFERROR(Table1_1[[#This Row],[Profit/loss]]/Table1_1[[#This Row],[Sales Amount]],0)</f>
        <v>0.34160596438352547</v>
      </c>
    </row>
    <row r="240" spans="1:21" ht="18" x14ac:dyDescent="0.35">
      <c r="A240" s="21" t="s">
        <v>347</v>
      </c>
      <c r="B240" s="36">
        <v>45421</v>
      </c>
      <c r="C240" s="22">
        <f>YEAR(Table1_1[[#This Row],[Order Date]])</f>
        <v>2024</v>
      </c>
      <c r="D240" s="22" t="str">
        <f>TEXT(Table1_1[[#This Row],[Order Date]],"MMMM")</f>
        <v>May</v>
      </c>
      <c r="E240" s="22" t="s">
        <v>48</v>
      </c>
      <c r="F240" s="22" t="s">
        <v>49</v>
      </c>
      <c r="G240" s="22" t="s">
        <v>38</v>
      </c>
      <c r="H240" s="22" t="s">
        <v>29</v>
      </c>
      <c r="I240" s="22" t="s">
        <v>70</v>
      </c>
      <c r="J240" s="22" t="s">
        <v>71</v>
      </c>
      <c r="K240" s="22" t="s">
        <v>72</v>
      </c>
      <c r="L240" s="22" t="s">
        <v>33</v>
      </c>
      <c r="M240" s="22" t="s">
        <v>34</v>
      </c>
      <c r="N240" s="22">
        <v>37</v>
      </c>
      <c r="O240" s="26">
        <v>3499</v>
      </c>
      <c r="P240" s="22">
        <v>0.2</v>
      </c>
      <c r="Q240" s="30">
        <v>2190</v>
      </c>
      <c r="R240" s="33">
        <f>Table1_1[[#This Row],[Units Sold]]*Table1_1[[#This Row],[Unit Price]]*1-Table1_1[[#This Row],[Discount]]</f>
        <v>129462.8</v>
      </c>
      <c r="S240" s="33">
        <f>Table1_1[[#This Row],[Units Sold]]*Table1_1[[#This Row],[Unit Cost]]</f>
        <v>81030</v>
      </c>
      <c r="T240" s="33">
        <f>Table1_1[[#This Row],[Sales Amount]]-S240</f>
        <v>48432.800000000003</v>
      </c>
      <c r="U240" s="32">
        <f>IFERROR(Table1_1[[#This Row],[Profit/loss]]/Table1_1[[#This Row],[Sales Amount]],0)</f>
        <v>0.37410592077415289</v>
      </c>
    </row>
    <row r="241" spans="1:21" ht="18" x14ac:dyDescent="0.35">
      <c r="A241" s="21" t="s">
        <v>348</v>
      </c>
      <c r="B241" s="36">
        <v>45422</v>
      </c>
      <c r="C241" s="22">
        <f>YEAR(Table1_1[[#This Row],[Order Date]])</f>
        <v>2024</v>
      </c>
      <c r="D241" s="22" t="str">
        <f>TEXT(Table1_1[[#This Row],[Order Date]],"MMMM")</f>
        <v>May</v>
      </c>
      <c r="E241" s="22" t="s">
        <v>16</v>
      </c>
      <c r="F241" s="22" t="s">
        <v>111</v>
      </c>
      <c r="G241" s="22" t="s">
        <v>84</v>
      </c>
      <c r="H241" s="22" t="s">
        <v>29</v>
      </c>
      <c r="I241" s="22" t="s">
        <v>54</v>
      </c>
      <c r="J241" s="22" t="s">
        <v>90</v>
      </c>
      <c r="K241" s="22" t="s">
        <v>1625</v>
      </c>
      <c r="L241" s="22" t="s">
        <v>23</v>
      </c>
      <c r="M241" s="22" t="s">
        <v>66</v>
      </c>
      <c r="N241" s="22">
        <v>27</v>
      </c>
      <c r="O241" s="26">
        <v>32800</v>
      </c>
      <c r="P241" s="22">
        <v>0.05</v>
      </c>
      <c r="Q241" s="30">
        <v>23100</v>
      </c>
      <c r="R241" s="33">
        <f>Table1_1[[#This Row],[Units Sold]]*Table1_1[[#This Row],[Unit Price]]*1-Table1_1[[#This Row],[Discount]]</f>
        <v>885599.95</v>
      </c>
      <c r="S241" s="33">
        <f>Table1_1[[#This Row],[Units Sold]]*Table1_1[[#This Row],[Unit Cost]]</f>
        <v>623700</v>
      </c>
      <c r="T241" s="33">
        <f>Table1_1[[#This Row],[Sales Amount]]-S241</f>
        <v>261899.94999999995</v>
      </c>
      <c r="U241" s="32">
        <f>IFERROR(Table1_1[[#This Row],[Profit/loss]]/Table1_1[[#This Row],[Sales Amount]],0)</f>
        <v>0.29573166755485925</v>
      </c>
    </row>
    <row r="242" spans="1:21" ht="18" x14ac:dyDescent="0.35">
      <c r="A242" s="21" t="s">
        <v>349</v>
      </c>
      <c r="B242" s="36">
        <v>45422</v>
      </c>
      <c r="C242" s="22">
        <f>YEAR(Table1_1[[#This Row],[Order Date]])</f>
        <v>2024</v>
      </c>
      <c r="D242" s="22" t="str">
        <f>TEXT(Table1_1[[#This Row],[Order Date]],"MMMM")</f>
        <v>May</v>
      </c>
      <c r="E242" s="22" t="s">
        <v>16</v>
      </c>
      <c r="F242" s="22" t="s">
        <v>111</v>
      </c>
      <c r="G242" s="22" t="s">
        <v>38</v>
      </c>
      <c r="H242" s="22" t="s">
        <v>39</v>
      </c>
      <c r="I242" s="22" t="s">
        <v>40</v>
      </c>
      <c r="J242" s="22" t="s">
        <v>76</v>
      </c>
      <c r="K242" s="22" t="s">
        <v>1626</v>
      </c>
      <c r="L242" s="22" t="s">
        <v>23</v>
      </c>
      <c r="M242" s="22" t="s">
        <v>24</v>
      </c>
      <c r="N242" s="22">
        <v>4</v>
      </c>
      <c r="O242" s="26">
        <v>25999</v>
      </c>
      <c r="P242" s="22">
        <v>0.08</v>
      </c>
      <c r="Q242" s="30">
        <v>17800</v>
      </c>
      <c r="R242" s="33">
        <f>Table1_1[[#This Row],[Units Sold]]*Table1_1[[#This Row],[Unit Price]]*1-Table1_1[[#This Row],[Discount]]</f>
        <v>103995.92</v>
      </c>
      <c r="S242" s="33">
        <f>Table1_1[[#This Row],[Units Sold]]*Table1_1[[#This Row],[Unit Cost]]</f>
        <v>71200</v>
      </c>
      <c r="T242" s="33">
        <f>Table1_1[[#This Row],[Sales Amount]]-S242</f>
        <v>32795.919999999998</v>
      </c>
      <c r="U242" s="32">
        <f>IFERROR(Table1_1[[#This Row],[Profit/loss]]/Table1_1[[#This Row],[Sales Amount]],0)</f>
        <v>0.31535775634274882</v>
      </c>
    </row>
    <row r="243" spans="1:21" ht="18" x14ac:dyDescent="0.35">
      <c r="A243" s="21" t="s">
        <v>350</v>
      </c>
      <c r="B243" s="36">
        <v>45423</v>
      </c>
      <c r="C243" s="22">
        <f>YEAR(Table1_1[[#This Row],[Order Date]])</f>
        <v>2024</v>
      </c>
      <c r="D243" s="22" t="str">
        <f>TEXT(Table1_1[[#This Row],[Order Date]],"MMMM")</f>
        <v>May</v>
      </c>
      <c r="E243" s="22" t="s">
        <v>26</v>
      </c>
      <c r="F243" s="22" t="s">
        <v>27</v>
      </c>
      <c r="G243" s="22" t="s">
        <v>28</v>
      </c>
      <c r="H243" s="22" t="s">
        <v>39</v>
      </c>
      <c r="I243" s="22" t="s">
        <v>30</v>
      </c>
      <c r="J243" s="22" t="s">
        <v>31</v>
      </c>
      <c r="K243" s="22" t="s">
        <v>32</v>
      </c>
      <c r="L243" s="22" t="s">
        <v>57</v>
      </c>
      <c r="M243" s="22" t="s">
        <v>78</v>
      </c>
      <c r="N243" s="22">
        <v>36</v>
      </c>
      <c r="O243" s="26">
        <v>38990</v>
      </c>
      <c r="P243" s="22">
        <v>0.2</v>
      </c>
      <c r="Q243" s="30">
        <v>25400</v>
      </c>
      <c r="R243" s="33">
        <f>Table1_1[[#This Row],[Units Sold]]*Table1_1[[#This Row],[Unit Price]]*1-Table1_1[[#This Row],[Discount]]</f>
        <v>1403639.8</v>
      </c>
      <c r="S243" s="33">
        <f>Table1_1[[#This Row],[Units Sold]]*Table1_1[[#This Row],[Unit Cost]]</f>
        <v>914400</v>
      </c>
      <c r="T243" s="33">
        <f>Table1_1[[#This Row],[Sales Amount]]-S243</f>
        <v>489239.80000000005</v>
      </c>
      <c r="U243" s="32">
        <f>IFERROR(Table1_1[[#This Row],[Profit/loss]]/Table1_1[[#This Row],[Sales Amount]],0)</f>
        <v>0.34855081766703966</v>
      </c>
    </row>
    <row r="244" spans="1:21" ht="18" x14ac:dyDescent="0.35">
      <c r="A244" s="21" t="s">
        <v>351</v>
      </c>
      <c r="B244" s="36">
        <v>45424</v>
      </c>
      <c r="C244" s="22">
        <f>YEAR(Table1_1[[#This Row],[Order Date]])</f>
        <v>2024</v>
      </c>
      <c r="D244" s="22" t="str">
        <f>TEXT(Table1_1[[#This Row],[Order Date]],"MMMM")</f>
        <v>May</v>
      </c>
      <c r="E244" s="22" t="s">
        <v>16</v>
      </c>
      <c r="F244" s="22" t="s">
        <v>126</v>
      </c>
      <c r="G244" s="22" t="s">
        <v>50</v>
      </c>
      <c r="H244" s="22" t="s">
        <v>39</v>
      </c>
      <c r="I244" s="22" t="s">
        <v>70</v>
      </c>
      <c r="J244" s="22" t="s">
        <v>71</v>
      </c>
      <c r="K244" s="22" t="s">
        <v>88</v>
      </c>
      <c r="L244" s="22" t="s">
        <v>57</v>
      </c>
      <c r="M244" s="22" t="s">
        <v>24</v>
      </c>
      <c r="N244" s="22">
        <v>31</v>
      </c>
      <c r="O244" s="26">
        <v>999</v>
      </c>
      <c r="P244" s="22">
        <v>0.12</v>
      </c>
      <c r="Q244" s="30">
        <v>540</v>
      </c>
      <c r="R244" s="33">
        <f>Table1_1[[#This Row],[Units Sold]]*Table1_1[[#This Row],[Unit Price]]*1-Table1_1[[#This Row],[Discount]]</f>
        <v>30968.880000000001</v>
      </c>
      <c r="S244" s="33">
        <f>Table1_1[[#This Row],[Units Sold]]*Table1_1[[#This Row],[Unit Cost]]</f>
        <v>16740</v>
      </c>
      <c r="T244" s="33">
        <f>Table1_1[[#This Row],[Sales Amount]]-S244</f>
        <v>14228.880000000001</v>
      </c>
      <c r="U244" s="32">
        <f>IFERROR(Table1_1[[#This Row],[Profit/loss]]/Table1_1[[#This Row],[Sales Amount]],0)</f>
        <v>0.45945736494183842</v>
      </c>
    </row>
    <row r="245" spans="1:21" ht="18" x14ac:dyDescent="0.35">
      <c r="A245" s="21" t="s">
        <v>352</v>
      </c>
      <c r="B245" s="36">
        <v>45424</v>
      </c>
      <c r="C245" s="22">
        <f>YEAR(Table1_1[[#This Row],[Order Date]])</f>
        <v>2024</v>
      </c>
      <c r="D245" s="22" t="str">
        <f>TEXT(Table1_1[[#This Row],[Order Date]],"MMMM")</f>
        <v>May</v>
      </c>
      <c r="E245" s="22" t="s">
        <v>26</v>
      </c>
      <c r="F245" s="22" t="s">
        <v>27</v>
      </c>
      <c r="G245" s="22" t="s">
        <v>60</v>
      </c>
      <c r="H245" s="22" t="s">
        <v>39</v>
      </c>
      <c r="I245" s="22" t="s">
        <v>20</v>
      </c>
      <c r="J245" s="22" t="s">
        <v>21</v>
      </c>
      <c r="K245" s="22" t="s">
        <v>22</v>
      </c>
      <c r="L245" s="22" t="s">
        <v>23</v>
      </c>
      <c r="M245" s="22" t="s">
        <v>24</v>
      </c>
      <c r="N245" s="22">
        <v>29</v>
      </c>
      <c r="O245" s="26">
        <v>4499</v>
      </c>
      <c r="P245" s="22">
        <v>0.18</v>
      </c>
      <c r="Q245" s="30">
        <v>2910</v>
      </c>
      <c r="R245" s="33">
        <f>Table1_1[[#This Row],[Units Sold]]*Table1_1[[#This Row],[Unit Price]]*1-Table1_1[[#This Row],[Discount]]</f>
        <v>130470.82</v>
      </c>
      <c r="S245" s="33">
        <f>Table1_1[[#This Row],[Units Sold]]*Table1_1[[#This Row],[Unit Cost]]</f>
        <v>84390</v>
      </c>
      <c r="T245" s="33">
        <f>Table1_1[[#This Row],[Sales Amount]]-S245</f>
        <v>46080.820000000007</v>
      </c>
      <c r="U245" s="32">
        <f>IFERROR(Table1_1[[#This Row],[Profit/loss]]/Table1_1[[#This Row],[Sales Amount]],0)</f>
        <v>0.35318870533656493</v>
      </c>
    </row>
    <row r="246" spans="1:21" ht="18" x14ac:dyDescent="0.35">
      <c r="A246" s="21" t="s">
        <v>353</v>
      </c>
      <c r="B246" s="36">
        <v>45425</v>
      </c>
      <c r="C246" s="22">
        <f>YEAR(Table1_1[[#This Row],[Order Date]])</f>
        <v>2024</v>
      </c>
      <c r="D246" s="22" t="str">
        <f>TEXT(Table1_1[[#This Row],[Order Date]],"MMMM")</f>
        <v>May</v>
      </c>
      <c r="E246" s="22" t="s">
        <v>16</v>
      </c>
      <c r="F246" s="22" t="s">
        <v>111</v>
      </c>
      <c r="G246" s="22" t="s">
        <v>105</v>
      </c>
      <c r="H246" s="22" t="s">
        <v>19</v>
      </c>
      <c r="I246" s="22" t="s">
        <v>54</v>
      </c>
      <c r="J246" s="22" t="s">
        <v>129</v>
      </c>
      <c r="K246" s="22" t="s">
        <v>1630</v>
      </c>
      <c r="L246" s="22" t="s">
        <v>57</v>
      </c>
      <c r="M246" s="22" t="s">
        <v>34</v>
      </c>
      <c r="N246" s="22">
        <v>37</v>
      </c>
      <c r="O246" s="26">
        <v>29010</v>
      </c>
      <c r="P246" s="22">
        <v>0.05</v>
      </c>
      <c r="Q246" s="30">
        <v>19100</v>
      </c>
      <c r="R246" s="33">
        <f>Table1_1[[#This Row],[Units Sold]]*Table1_1[[#This Row],[Unit Price]]*1-Table1_1[[#This Row],[Discount]]</f>
        <v>1073369.95</v>
      </c>
      <c r="S246" s="33">
        <f>Table1_1[[#This Row],[Units Sold]]*Table1_1[[#This Row],[Unit Cost]]</f>
        <v>706700</v>
      </c>
      <c r="T246" s="33">
        <f>Table1_1[[#This Row],[Sales Amount]]-S246</f>
        <v>366669.94999999995</v>
      </c>
      <c r="U246" s="32">
        <f>IFERROR(Table1_1[[#This Row],[Profit/loss]]/Table1_1[[#This Row],[Sales Amount]],0)</f>
        <v>0.34160631197100305</v>
      </c>
    </row>
    <row r="247" spans="1:21" ht="18" x14ac:dyDescent="0.35">
      <c r="A247" s="21" t="s">
        <v>354</v>
      </c>
      <c r="B247" s="36">
        <v>45425</v>
      </c>
      <c r="C247" s="22">
        <f>YEAR(Table1_1[[#This Row],[Order Date]])</f>
        <v>2024</v>
      </c>
      <c r="D247" s="22" t="str">
        <f>TEXT(Table1_1[[#This Row],[Order Date]],"MMMM")</f>
        <v>May</v>
      </c>
      <c r="E247" s="22" t="s">
        <v>36</v>
      </c>
      <c r="F247" s="22" t="s">
        <v>59</v>
      </c>
      <c r="G247" s="22" t="s">
        <v>105</v>
      </c>
      <c r="H247" s="22" t="s">
        <v>19</v>
      </c>
      <c r="I247" s="22" t="s">
        <v>70</v>
      </c>
      <c r="J247" s="22" t="s">
        <v>71</v>
      </c>
      <c r="K247" s="22" t="s">
        <v>80</v>
      </c>
      <c r="L247" s="22" t="s">
        <v>57</v>
      </c>
      <c r="M247" s="22" t="s">
        <v>24</v>
      </c>
      <c r="N247" s="22">
        <v>24</v>
      </c>
      <c r="O247" s="26">
        <v>1299</v>
      </c>
      <c r="P247" s="22">
        <v>0.12</v>
      </c>
      <c r="Q247" s="30">
        <v>720</v>
      </c>
      <c r="R247" s="33">
        <f>Table1_1[[#This Row],[Units Sold]]*Table1_1[[#This Row],[Unit Price]]*1-Table1_1[[#This Row],[Discount]]</f>
        <v>31175.88</v>
      </c>
      <c r="S247" s="33">
        <f>Table1_1[[#This Row],[Units Sold]]*Table1_1[[#This Row],[Unit Cost]]</f>
        <v>17280</v>
      </c>
      <c r="T247" s="33">
        <f>Table1_1[[#This Row],[Sales Amount]]-S247</f>
        <v>13895.880000000001</v>
      </c>
      <c r="U247" s="32">
        <f>IFERROR(Table1_1[[#This Row],[Profit/loss]]/Table1_1[[#This Row],[Sales Amount]],0)</f>
        <v>0.44572534921227563</v>
      </c>
    </row>
    <row r="248" spans="1:21" ht="18" x14ac:dyDescent="0.35">
      <c r="A248" s="21" t="s">
        <v>355</v>
      </c>
      <c r="B248" s="36">
        <v>45426</v>
      </c>
      <c r="C248" s="22">
        <f>YEAR(Table1_1[[#This Row],[Order Date]])</f>
        <v>2024</v>
      </c>
      <c r="D248" s="22" t="str">
        <f>TEXT(Table1_1[[#This Row],[Order Date]],"MMMM")</f>
        <v>May</v>
      </c>
      <c r="E248" s="22" t="s">
        <v>16</v>
      </c>
      <c r="F248" s="22" t="s">
        <v>98</v>
      </c>
      <c r="G248" s="22" t="s">
        <v>38</v>
      </c>
      <c r="H248" s="22" t="s">
        <v>19</v>
      </c>
      <c r="I248" s="22" t="s">
        <v>54</v>
      </c>
      <c r="J248" s="22" t="s">
        <v>90</v>
      </c>
      <c r="K248" s="22" t="s">
        <v>1631</v>
      </c>
      <c r="L248" s="22" t="s">
        <v>57</v>
      </c>
      <c r="M248" s="22" t="s">
        <v>24</v>
      </c>
      <c r="N248" s="22">
        <v>29</v>
      </c>
      <c r="O248" s="26">
        <v>29010</v>
      </c>
      <c r="P248" s="22">
        <v>0.05</v>
      </c>
      <c r="Q248" s="30">
        <v>19150</v>
      </c>
      <c r="R248" s="33">
        <f>Table1_1[[#This Row],[Units Sold]]*Table1_1[[#This Row],[Unit Price]]*1-Table1_1[[#This Row],[Discount]]</f>
        <v>841289.95</v>
      </c>
      <c r="S248" s="33">
        <f>Table1_1[[#This Row],[Units Sold]]*Table1_1[[#This Row],[Unit Cost]]</f>
        <v>555350</v>
      </c>
      <c r="T248" s="33">
        <f>Table1_1[[#This Row],[Sales Amount]]-S248</f>
        <v>285939.94999999995</v>
      </c>
      <c r="U248" s="32">
        <f>IFERROR(Table1_1[[#This Row],[Profit/loss]]/Table1_1[[#This Row],[Sales Amount]],0)</f>
        <v>0.33988275980237248</v>
      </c>
    </row>
    <row r="249" spans="1:21" ht="18" x14ac:dyDescent="0.35">
      <c r="A249" s="21" t="s">
        <v>356</v>
      </c>
      <c r="B249" s="36">
        <v>45426</v>
      </c>
      <c r="C249" s="22">
        <f>YEAR(Table1_1[[#This Row],[Order Date]])</f>
        <v>2024</v>
      </c>
      <c r="D249" s="22" t="str">
        <f>TEXT(Table1_1[[#This Row],[Order Date]],"MMMM")</f>
        <v>May</v>
      </c>
      <c r="E249" s="22" t="s">
        <v>26</v>
      </c>
      <c r="F249" s="22" t="s">
        <v>27</v>
      </c>
      <c r="G249" s="22" t="s">
        <v>84</v>
      </c>
      <c r="H249" s="22" t="s">
        <v>29</v>
      </c>
      <c r="I249" s="22" t="s">
        <v>20</v>
      </c>
      <c r="J249" s="22" t="s">
        <v>21</v>
      </c>
      <c r="K249" s="22" t="s">
        <v>115</v>
      </c>
      <c r="L249" s="22" t="s">
        <v>57</v>
      </c>
      <c r="M249" s="22" t="s">
        <v>78</v>
      </c>
      <c r="N249" s="22">
        <v>6</v>
      </c>
      <c r="O249" s="26">
        <v>6499</v>
      </c>
      <c r="P249" s="22">
        <v>0.05</v>
      </c>
      <c r="Q249" s="30">
        <v>4210</v>
      </c>
      <c r="R249" s="33">
        <f>Table1_1[[#This Row],[Units Sold]]*Table1_1[[#This Row],[Unit Price]]*1-Table1_1[[#This Row],[Discount]]</f>
        <v>38993.949999999997</v>
      </c>
      <c r="S249" s="33">
        <f>Table1_1[[#This Row],[Units Sold]]*Table1_1[[#This Row],[Unit Cost]]</f>
        <v>25260</v>
      </c>
      <c r="T249" s="33">
        <f>Table1_1[[#This Row],[Sales Amount]]-S249</f>
        <v>13733.949999999997</v>
      </c>
      <c r="U249" s="32">
        <f>IFERROR(Table1_1[[#This Row],[Profit/loss]]/Table1_1[[#This Row],[Sales Amount]],0)</f>
        <v>0.35220720137354639</v>
      </c>
    </row>
    <row r="250" spans="1:21" ht="18" x14ac:dyDescent="0.35">
      <c r="A250" s="21" t="s">
        <v>357</v>
      </c>
      <c r="B250" s="36">
        <v>45426</v>
      </c>
      <c r="C250" s="22">
        <f>YEAR(Table1_1[[#This Row],[Order Date]])</f>
        <v>2024</v>
      </c>
      <c r="D250" s="22" t="str">
        <f>TEXT(Table1_1[[#This Row],[Order Date]],"MMMM")</f>
        <v>May</v>
      </c>
      <c r="E250" s="22" t="s">
        <v>26</v>
      </c>
      <c r="F250" s="22" t="s">
        <v>74</v>
      </c>
      <c r="G250" s="22" t="s">
        <v>69</v>
      </c>
      <c r="H250" s="22" t="s">
        <v>29</v>
      </c>
      <c r="I250" s="22" t="s">
        <v>54</v>
      </c>
      <c r="J250" s="22" t="s">
        <v>129</v>
      </c>
      <c r="K250" s="22" t="s">
        <v>130</v>
      </c>
      <c r="L250" s="22" t="s">
        <v>23</v>
      </c>
      <c r="M250" s="22" t="s">
        <v>34</v>
      </c>
      <c r="N250" s="22">
        <v>25</v>
      </c>
      <c r="O250" s="26">
        <v>27890</v>
      </c>
      <c r="P250" s="22">
        <v>0.08</v>
      </c>
      <c r="Q250" s="30">
        <v>18800</v>
      </c>
      <c r="R250" s="33">
        <f>Table1_1[[#This Row],[Units Sold]]*Table1_1[[#This Row],[Unit Price]]*1-Table1_1[[#This Row],[Discount]]</f>
        <v>697249.92</v>
      </c>
      <c r="S250" s="33">
        <f>Table1_1[[#This Row],[Units Sold]]*Table1_1[[#This Row],[Unit Cost]]</f>
        <v>470000</v>
      </c>
      <c r="T250" s="33">
        <f>Table1_1[[#This Row],[Sales Amount]]-S250</f>
        <v>227249.92000000004</v>
      </c>
      <c r="U250" s="32">
        <f>IFERROR(Table1_1[[#This Row],[Profit/loss]]/Table1_1[[#This Row],[Sales Amount]],0)</f>
        <v>0.32592319264805369</v>
      </c>
    </row>
    <row r="251" spans="1:21" ht="18" x14ac:dyDescent="0.35">
      <c r="A251" s="21" t="s">
        <v>358</v>
      </c>
      <c r="B251" s="36">
        <v>45426</v>
      </c>
      <c r="C251" s="22">
        <f>YEAR(Table1_1[[#This Row],[Order Date]])</f>
        <v>2024</v>
      </c>
      <c r="D251" s="22" t="str">
        <f>TEXT(Table1_1[[#This Row],[Order Date]],"MMMM")</f>
        <v>May</v>
      </c>
      <c r="E251" s="22" t="s">
        <v>26</v>
      </c>
      <c r="F251" s="22" t="s">
        <v>163</v>
      </c>
      <c r="G251" s="22" t="s">
        <v>50</v>
      </c>
      <c r="H251" s="22" t="s">
        <v>39</v>
      </c>
      <c r="I251" s="22" t="s">
        <v>54</v>
      </c>
      <c r="J251" s="22" t="s">
        <v>55</v>
      </c>
      <c r="K251" s="22" t="s">
        <v>1623</v>
      </c>
      <c r="L251" s="22" t="s">
        <v>33</v>
      </c>
      <c r="M251" s="22" t="s">
        <v>34</v>
      </c>
      <c r="N251" s="22">
        <v>19</v>
      </c>
      <c r="O251" s="26">
        <v>5890</v>
      </c>
      <c r="P251" s="22">
        <v>0.2</v>
      </c>
      <c r="Q251" s="30">
        <v>3980</v>
      </c>
      <c r="R251" s="33">
        <f>Table1_1[[#This Row],[Units Sold]]*Table1_1[[#This Row],[Unit Price]]*1-Table1_1[[#This Row],[Discount]]</f>
        <v>111909.8</v>
      </c>
      <c r="S251" s="33">
        <f>Table1_1[[#This Row],[Units Sold]]*Table1_1[[#This Row],[Unit Cost]]</f>
        <v>75620</v>
      </c>
      <c r="T251" s="33">
        <f>Table1_1[[#This Row],[Sales Amount]]-S251</f>
        <v>36289.800000000003</v>
      </c>
      <c r="U251" s="32">
        <f>IFERROR(Table1_1[[#This Row],[Profit/loss]]/Table1_1[[#This Row],[Sales Amount]],0)</f>
        <v>0.32427723041234996</v>
      </c>
    </row>
    <row r="252" spans="1:21" ht="18" x14ac:dyDescent="0.35">
      <c r="A252" s="21" t="s">
        <v>359</v>
      </c>
      <c r="B252" s="36">
        <v>45427</v>
      </c>
      <c r="C252" s="22">
        <f>YEAR(Table1_1[[#This Row],[Order Date]])</f>
        <v>2024</v>
      </c>
      <c r="D252" s="22" t="str">
        <f>TEXT(Table1_1[[#This Row],[Order Date]],"MMMM")</f>
        <v>May</v>
      </c>
      <c r="E252" s="22" t="s">
        <v>82</v>
      </c>
      <c r="F252" s="22" t="s">
        <v>87</v>
      </c>
      <c r="G252" s="22" t="s">
        <v>28</v>
      </c>
      <c r="H252" s="22" t="s">
        <v>19</v>
      </c>
      <c r="I252" s="22" t="s">
        <v>54</v>
      </c>
      <c r="J252" s="22" t="s">
        <v>90</v>
      </c>
      <c r="K252" s="22" t="s">
        <v>1625</v>
      </c>
      <c r="L252" s="22" t="s">
        <v>33</v>
      </c>
      <c r="M252" s="22" t="s">
        <v>34</v>
      </c>
      <c r="N252" s="22">
        <v>1</v>
      </c>
      <c r="O252" s="26">
        <v>32800</v>
      </c>
      <c r="P252" s="22">
        <v>0.12</v>
      </c>
      <c r="Q252" s="30">
        <v>23100</v>
      </c>
      <c r="R252" s="33">
        <f>Table1_1[[#This Row],[Units Sold]]*Table1_1[[#This Row],[Unit Price]]*1-Table1_1[[#This Row],[Discount]]</f>
        <v>32799.879999999997</v>
      </c>
      <c r="S252" s="33">
        <f>Table1_1[[#This Row],[Units Sold]]*Table1_1[[#This Row],[Unit Cost]]</f>
        <v>23100</v>
      </c>
      <c r="T252" s="33">
        <f>Table1_1[[#This Row],[Sales Amount]]-S252</f>
        <v>9699.8799999999974</v>
      </c>
      <c r="U252" s="32">
        <f>IFERROR(Table1_1[[#This Row],[Profit/loss]]/Table1_1[[#This Row],[Sales Amount]],0)</f>
        <v>0.29572913071633183</v>
      </c>
    </row>
    <row r="253" spans="1:21" ht="18" x14ac:dyDescent="0.35">
      <c r="A253" s="21" t="s">
        <v>360</v>
      </c>
      <c r="B253" s="36">
        <v>45427</v>
      </c>
      <c r="C253" s="22">
        <f>YEAR(Table1_1[[#This Row],[Order Date]])</f>
        <v>2024</v>
      </c>
      <c r="D253" s="22" t="str">
        <f>TEXT(Table1_1[[#This Row],[Order Date]],"MMMM")</f>
        <v>May</v>
      </c>
      <c r="E253" s="22" t="s">
        <v>36</v>
      </c>
      <c r="F253" s="22" t="s">
        <v>37</v>
      </c>
      <c r="G253" s="22" t="s">
        <v>50</v>
      </c>
      <c r="H253" s="22" t="s">
        <v>29</v>
      </c>
      <c r="I253" s="22" t="s">
        <v>20</v>
      </c>
      <c r="J253" s="22" t="s">
        <v>45</v>
      </c>
      <c r="K253" s="22" t="s">
        <v>1622</v>
      </c>
      <c r="L253" s="22" t="s">
        <v>33</v>
      </c>
      <c r="M253" s="22" t="s">
        <v>66</v>
      </c>
      <c r="N253" s="22">
        <v>21</v>
      </c>
      <c r="O253" s="26">
        <v>1599</v>
      </c>
      <c r="P253" s="22">
        <v>0.08</v>
      </c>
      <c r="Q253" s="30">
        <v>920</v>
      </c>
      <c r="R253" s="33">
        <f>Table1_1[[#This Row],[Units Sold]]*Table1_1[[#This Row],[Unit Price]]*1-Table1_1[[#This Row],[Discount]]</f>
        <v>33578.92</v>
      </c>
      <c r="S253" s="33">
        <f>Table1_1[[#This Row],[Units Sold]]*Table1_1[[#This Row],[Unit Cost]]</f>
        <v>19320</v>
      </c>
      <c r="T253" s="33">
        <f>Table1_1[[#This Row],[Sales Amount]]-S253</f>
        <v>14258.919999999998</v>
      </c>
      <c r="U253" s="32">
        <f>IFERROR(Table1_1[[#This Row],[Profit/loss]]/Table1_1[[#This Row],[Sales Amount]],0)</f>
        <v>0.42463902948635629</v>
      </c>
    </row>
    <row r="254" spans="1:21" ht="18" x14ac:dyDescent="0.35">
      <c r="A254" s="21" t="s">
        <v>361</v>
      </c>
      <c r="B254" s="36">
        <v>45427</v>
      </c>
      <c r="C254" s="22">
        <f>YEAR(Table1_1[[#This Row],[Order Date]])</f>
        <v>2024</v>
      </c>
      <c r="D254" s="22" t="str">
        <f>TEXT(Table1_1[[#This Row],[Order Date]],"MMMM")</f>
        <v>May</v>
      </c>
      <c r="E254" s="22" t="s">
        <v>36</v>
      </c>
      <c r="F254" s="22" t="s">
        <v>59</v>
      </c>
      <c r="G254" s="22" t="s">
        <v>50</v>
      </c>
      <c r="H254" s="22" t="s">
        <v>39</v>
      </c>
      <c r="I254" s="22" t="s">
        <v>70</v>
      </c>
      <c r="J254" s="22" t="s">
        <v>71</v>
      </c>
      <c r="K254" s="22" t="s">
        <v>88</v>
      </c>
      <c r="L254" s="22" t="s">
        <v>23</v>
      </c>
      <c r="M254" s="22" t="s">
        <v>24</v>
      </c>
      <c r="N254" s="22">
        <v>7</v>
      </c>
      <c r="O254" s="26">
        <v>999</v>
      </c>
      <c r="P254" s="22">
        <v>0.08</v>
      </c>
      <c r="Q254" s="30">
        <v>540</v>
      </c>
      <c r="R254" s="33">
        <f>Table1_1[[#This Row],[Units Sold]]*Table1_1[[#This Row],[Unit Price]]*1-Table1_1[[#This Row],[Discount]]</f>
        <v>6992.92</v>
      </c>
      <c r="S254" s="33">
        <f>Table1_1[[#This Row],[Units Sold]]*Table1_1[[#This Row],[Unit Cost]]</f>
        <v>3780</v>
      </c>
      <c r="T254" s="33">
        <f>Table1_1[[#This Row],[Sales Amount]]-S254</f>
        <v>3212.92</v>
      </c>
      <c r="U254" s="32">
        <f>IFERROR(Table1_1[[#This Row],[Profit/loss]]/Table1_1[[#This Row],[Sales Amount]],0)</f>
        <v>0.45945327559874843</v>
      </c>
    </row>
    <row r="255" spans="1:21" ht="18" x14ac:dyDescent="0.35">
      <c r="A255" s="21" t="s">
        <v>362</v>
      </c>
      <c r="B255" s="36">
        <v>45427</v>
      </c>
      <c r="C255" s="22">
        <f>YEAR(Table1_1[[#This Row],[Order Date]])</f>
        <v>2024</v>
      </c>
      <c r="D255" s="22" t="str">
        <f>TEXT(Table1_1[[#This Row],[Order Date]],"MMMM")</f>
        <v>May</v>
      </c>
      <c r="E255" s="22" t="s">
        <v>16</v>
      </c>
      <c r="F255" s="22" t="s">
        <v>111</v>
      </c>
      <c r="G255" s="22" t="s">
        <v>38</v>
      </c>
      <c r="H255" s="22" t="s">
        <v>19</v>
      </c>
      <c r="I255" s="22" t="s">
        <v>70</v>
      </c>
      <c r="J255" s="22" t="s">
        <v>71</v>
      </c>
      <c r="K255" s="22" t="s">
        <v>80</v>
      </c>
      <c r="L255" s="22" t="s">
        <v>33</v>
      </c>
      <c r="M255" s="22" t="s">
        <v>24</v>
      </c>
      <c r="N255" s="22">
        <v>12</v>
      </c>
      <c r="O255" s="26">
        <v>1299</v>
      </c>
      <c r="P255" s="22">
        <v>0.15</v>
      </c>
      <c r="Q255" s="30">
        <v>720</v>
      </c>
      <c r="R255" s="33">
        <f>Table1_1[[#This Row],[Units Sold]]*Table1_1[[#This Row],[Unit Price]]*1-Table1_1[[#This Row],[Discount]]</f>
        <v>15587.85</v>
      </c>
      <c r="S255" s="33">
        <f>Table1_1[[#This Row],[Units Sold]]*Table1_1[[#This Row],[Unit Cost]]</f>
        <v>8640</v>
      </c>
      <c r="T255" s="33">
        <f>Table1_1[[#This Row],[Sales Amount]]-S255</f>
        <v>6947.85</v>
      </c>
      <c r="U255" s="32">
        <f>IFERROR(Table1_1[[#This Row],[Profit/loss]]/Table1_1[[#This Row],[Sales Amount]],0)</f>
        <v>0.44572214898141821</v>
      </c>
    </row>
    <row r="256" spans="1:21" ht="18" x14ac:dyDescent="0.35">
      <c r="A256" s="21" t="s">
        <v>363</v>
      </c>
      <c r="B256" s="36">
        <v>45427</v>
      </c>
      <c r="C256" s="22">
        <f>YEAR(Table1_1[[#This Row],[Order Date]])</f>
        <v>2024</v>
      </c>
      <c r="D256" s="22" t="str">
        <f>TEXT(Table1_1[[#This Row],[Order Date]],"MMMM")</f>
        <v>May</v>
      </c>
      <c r="E256" s="22" t="s">
        <v>82</v>
      </c>
      <c r="F256" s="22" t="s">
        <v>183</v>
      </c>
      <c r="G256" s="22" t="s">
        <v>75</v>
      </c>
      <c r="H256" s="22" t="s">
        <v>29</v>
      </c>
      <c r="I256" s="22" t="s">
        <v>40</v>
      </c>
      <c r="J256" s="22" t="s">
        <v>76</v>
      </c>
      <c r="K256" s="22" t="s">
        <v>1626</v>
      </c>
      <c r="L256" s="22" t="s">
        <v>23</v>
      </c>
      <c r="M256" s="22" t="s">
        <v>24</v>
      </c>
      <c r="N256" s="22">
        <v>2</v>
      </c>
      <c r="O256" s="26">
        <v>25999</v>
      </c>
      <c r="P256" s="22">
        <v>0.08</v>
      </c>
      <c r="Q256" s="30">
        <v>17800</v>
      </c>
      <c r="R256" s="33">
        <f>Table1_1[[#This Row],[Units Sold]]*Table1_1[[#This Row],[Unit Price]]*1-Table1_1[[#This Row],[Discount]]</f>
        <v>51997.919999999998</v>
      </c>
      <c r="S256" s="33">
        <f>Table1_1[[#This Row],[Units Sold]]*Table1_1[[#This Row],[Unit Cost]]</f>
        <v>35600</v>
      </c>
      <c r="T256" s="33">
        <f>Table1_1[[#This Row],[Sales Amount]]-S256</f>
        <v>16397.919999999998</v>
      </c>
      <c r="U256" s="32">
        <f>IFERROR(Table1_1[[#This Row],[Profit/loss]]/Table1_1[[#This Row],[Sales Amount]],0)</f>
        <v>0.31535722967380231</v>
      </c>
    </row>
    <row r="257" spans="1:21" ht="18" x14ac:dyDescent="0.35">
      <c r="A257" s="21" t="s">
        <v>364</v>
      </c>
      <c r="B257" s="36">
        <v>45427</v>
      </c>
      <c r="C257" s="22">
        <f>YEAR(Table1_1[[#This Row],[Order Date]])</f>
        <v>2024</v>
      </c>
      <c r="D257" s="22" t="str">
        <f>TEXT(Table1_1[[#This Row],[Order Date]],"MMMM")</f>
        <v>May</v>
      </c>
      <c r="E257" s="22" t="s">
        <v>26</v>
      </c>
      <c r="F257" s="22" t="s">
        <v>74</v>
      </c>
      <c r="G257" s="22" t="s">
        <v>105</v>
      </c>
      <c r="H257" s="22" t="s">
        <v>19</v>
      </c>
      <c r="I257" s="22" t="s">
        <v>40</v>
      </c>
      <c r="J257" s="22" t="s">
        <v>64</v>
      </c>
      <c r="K257" s="22" t="s">
        <v>1629</v>
      </c>
      <c r="L257" s="22" t="s">
        <v>33</v>
      </c>
      <c r="M257" s="22" t="s">
        <v>34</v>
      </c>
      <c r="N257" s="22">
        <v>20</v>
      </c>
      <c r="O257" s="26">
        <v>3299</v>
      </c>
      <c r="P257" s="22">
        <v>0.12</v>
      </c>
      <c r="Q257" s="30">
        <v>2050</v>
      </c>
      <c r="R257" s="33">
        <f>Table1_1[[#This Row],[Units Sold]]*Table1_1[[#This Row],[Unit Price]]*1-Table1_1[[#This Row],[Discount]]</f>
        <v>65979.88</v>
      </c>
      <c r="S257" s="33">
        <f>Table1_1[[#This Row],[Units Sold]]*Table1_1[[#This Row],[Unit Cost]]</f>
        <v>41000</v>
      </c>
      <c r="T257" s="33">
        <f>Table1_1[[#This Row],[Sales Amount]]-S257</f>
        <v>24979.880000000005</v>
      </c>
      <c r="U257" s="32">
        <f>IFERROR(Table1_1[[#This Row],[Profit/loss]]/Table1_1[[#This Row],[Sales Amount]],0)</f>
        <v>0.37859844546549648</v>
      </c>
    </row>
    <row r="258" spans="1:21" ht="18" x14ac:dyDescent="0.35">
      <c r="A258" s="21" t="s">
        <v>365</v>
      </c>
      <c r="B258" s="36">
        <v>45429</v>
      </c>
      <c r="C258" s="22">
        <f>YEAR(Table1_1[[#This Row],[Order Date]])</f>
        <v>2024</v>
      </c>
      <c r="D258" s="22" t="str">
        <f>TEXT(Table1_1[[#This Row],[Order Date]],"MMMM")</f>
        <v>May</v>
      </c>
      <c r="E258" s="22" t="s">
        <v>48</v>
      </c>
      <c r="F258" s="22" t="s">
        <v>93</v>
      </c>
      <c r="G258" s="22" t="s">
        <v>18</v>
      </c>
      <c r="H258" s="22" t="s">
        <v>39</v>
      </c>
      <c r="I258" s="22" t="s">
        <v>70</v>
      </c>
      <c r="J258" s="22" t="s">
        <v>71</v>
      </c>
      <c r="K258" s="22" t="s">
        <v>72</v>
      </c>
      <c r="L258" s="22" t="s">
        <v>23</v>
      </c>
      <c r="M258" s="22" t="s">
        <v>66</v>
      </c>
      <c r="N258" s="22">
        <v>35</v>
      </c>
      <c r="O258" s="26">
        <v>3499</v>
      </c>
      <c r="P258" s="22">
        <v>0.2</v>
      </c>
      <c r="Q258" s="30">
        <v>2190</v>
      </c>
      <c r="R258" s="33">
        <f>Table1_1[[#This Row],[Units Sold]]*Table1_1[[#This Row],[Unit Price]]*1-Table1_1[[#This Row],[Discount]]</f>
        <v>122464.8</v>
      </c>
      <c r="S258" s="33">
        <f>Table1_1[[#This Row],[Units Sold]]*Table1_1[[#This Row],[Unit Cost]]</f>
        <v>76650</v>
      </c>
      <c r="T258" s="33">
        <f>Table1_1[[#This Row],[Sales Amount]]-S258</f>
        <v>45814.8</v>
      </c>
      <c r="U258" s="32">
        <f>IFERROR(Table1_1[[#This Row],[Profit/loss]]/Table1_1[[#This Row],[Sales Amount]],0)</f>
        <v>0.37410586552217456</v>
      </c>
    </row>
    <row r="259" spans="1:21" ht="18" x14ac:dyDescent="0.35">
      <c r="A259" s="21" t="s">
        <v>366</v>
      </c>
      <c r="B259" s="36">
        <v>45430</v>
      </c>
      <c r="C259" s="22">
        <f>YEAR(Table1_1[[#This Row],[Order Date]])</f>
        <v>2024</v>
      </c>
      <c r="D259" s="22" t="str">
        <f>TEXT(Table1_1[[#This Row],[Order Date]],"MMMM")</f>
        <v>May</v>
      </c>
      <c r="E259" s="22" t="s">
        <v>48</v>
      </c>
      <c r="F259" s="22" t="s">
        <v>49</v>
      </c>
      <c r="G259" s="22" t="s">
        <v>50</v>
      </c>
      <c r="H259" s="22" t="s">
        <v>39</v>
      </c>
      <c r="I259" s="22" t="s">
        <v>70</v>
      </c>
      <c r="J259" s="22" t="s">
        <v>71</v>
      </c>
      <c r="K259" s="22" t="s">
        <v>80</v>
      </c>
      <c r="L259" s="22" t="s">
        <v>23</v>
      </c>
      <c r="M259" s="22" t="s">
        <v>24</v>
      </c>
      <c r="N259" s="22">
        <v>36</v>
      </c>
      <c r="O259" s="26">
        <v>1299</v>
      </c>
      <c r="P259" s="22">
        <v>0.1</v>
      </c>
      <c r="Q259" s="30">
        <v>720</v>
      </c>
      <c r="R259" s="33">
        <f>Table1_1[[#This Row],[Units Sold]]*Table1_1[[#This Row],[Unit Price]]*1-Table1_1[[#This Row],[Discount]]</f>
        <v>46763.9</v>
      </c>
      <c r="S259" s="33">
        <f>Table1_1[[#This Row],[Units Sold]]*Table1_1[[#This Row],[Unit Cost]]</f>
        <v>25920</v>
      </c>
      <c r="T259" s="33">
        <f>Table1_1[[#This Row],[Sales Amount]]-S259</f>
        <v>20843.900000000001</v>
      </c>
      <c r="U259" s="32">
        <f>IFERROR(Table1_1[[#This Row],[Profit/loss]]/Table1_1[[#This Row],[Sales Amount]],0)</f>
        <v>0.44572629742172915</v>
      </c>
    </row>
    <row r="260" spans="1:21" ht="18" x14ac:dyDescent="0.35">
      <c r="A260" s="21" t="s">
        <v>367</v>
      </c>
      <c r="B260" s="36">
        <v>45430</v>
      </c>
      <c r="C260" s="22">
        <f>YEAR(Table1_1[[#This Row],[Order Date]])</f>
        <v>2024</v>
      </c>
      <c r="D260" s="22" t="str">
        <f>TEXT(Table1_1[[#This Row],[Order Date]],"MMMM")</f>
        <v>May</v>
      </c>
      <c r="E260" s="22" t="s">
        <v>82</v>
      </c>
      <c r="F260" s="22" t="s">
        <v>183</v>
      </c>
      <c r="G260" s="22" t="s">
        <v>50</v>
      </c>
      <c r="H260" s="22" t="s">
        <v>19</v>
      </c>
      <c r="I260" s="22" t="s">
        <v>20</v>
      </c>
      <c r="J260" s="22" t="s">
        <v>45</v>
      </c>
      <c r="K260" s="22" t="s">
        <v>196</v>
      </c>
      <c r="L260" s="22" t="s">
        <v>33</v>
      </c>
      <c r="M260" s="22" t="s">
        <v>24</v>
      </c>
      <c r="N260" s="22">
        <v>10</v>
      </c>
      <c r="O260" s="26">
        <v>2499</v>
      </c>
      <c r="P260" s="22">
        <v>0.18</v>
      </c>
      <c r="Q260" s="30">
        <v>1510</v>
      </c>
      <c r="R260" s="33">
        <f>Table1_1[[#This Row],[Units Sold]]*Table1_1[[#This Row],[Unit Price]]*1-Table1_1[[#This Row],[Discount]]</f>
        <v>24989.82</v>
      </c>
      <c r="S260" s="33">
        <f>Table1_1[[#This Row],[Units Sold]]*Table1_1[[#This Row],[Unit Cost]]</f>
        <v>15100</v>
      </c>
      <c r="T260" s="33">
        <f>Table1_1[[#This Row],[Sales Amount]]-S260</f>
        <v>9889.82</v>
      </c>
      <c r="U260" s="32">
        <f>IFERROR(Table1_1[[#This Row],[Profit/loss]]/Table1_1[[#This Row],[Sales Amount]],0)</f>
        <v>0.3957539510088508</v>
      </c>
    </row>
    <row r="261" spans="1:21" ht="18" x14ac:dyDescent="0.35">
      <c r="A261" s="21" t="s">
        <v>368</v>
      </c>
      <c r="B261" s="36">
        <v>45431</v>
      </c>
      <c r="C261" s="22">
        <f>YEAR(Table1_1[[#This Row],[Order Date]])</f>
        <v>2024</v>
      </c>
      <c r="D261" s="22" t="str">
        <f>TEXT(Table1_1[[#This Row],[Order Date]],"MMMM")</f>
        <v>May</v>
      </c>
      <c r="E261" s="22" t="s">
        <v>82</v>
      </c>
      <c r="F261" s="22" t="s">
        <v>83</v>
      </c>
      <c r="G261" s="22" t="s">
        <v>38</v>
      </c>
      <c r="H261" s="22" t="s">
        <v>19</v>
      </c>
      <c r="I261" s="22" t="s">
        <v>54</v>
      </c>
      <c r="J261" s="22" t="s">
        <v>90</v>
      </c>
      <c r="K261" s="22" t="s">
        <v>1631</v>
      </c>
      <c r="L261" s="22" t="s">
        <v>33</v>
      </c>
      <c r="M261" s="22" t="s">
        <v>66</v>
      </c>
      <c r="N261" s="22">
        <v>19</v>
      </c>
      <c r="O261" s="26">
        <v>29010</v>
      </c>
      <c r="P261" s="22">
        <v>0.08</v>
      </c>
      <c r="Q261" s="30">
        <v>19150</v>
      </c>
      <c r="R261" s="33">
        <f>Table1_1[[#This Row],[Units Sold]]*Table1_1[[#This Row],[Unit Price]]*1-Table1_1[[#This Row],[Discount]]</f>
        <v>551189.92000000004</v>
      </c>
      <c r="S261" s="33">
        <f>Table1_1[[#This Row],[Units Sold]]*Table1_1[[#This Row],[Unit Cost]]</f>
        <v>363850</v>
      </c>
      <c r="T261" s="33">
        <f>Table1_1[[#This Row],[Sales Amount]]-S261</f>
        <v>187339.92000000004</v>
      </c>
      <c r="U261" s="32">
        <f>IFERROR(Table1_1[[#This Row],[Profit/loss]]/Table1_1[[#This Row],[Sales Amount]],0)</f>
        <v>0.33988270322505176</v>
      </c>
    </row>
    <row r="262" spans="1:21" ht="18" x14ac:dyDescent="0.35">
      <c r="A262" s="21" t="s">
        <v>369</v>
      </c>
      <c r="B262" s="36">
        <v>45431</v>
      </c>
      <c r="C262" s="22">
        <f>YEAR(Table1_1[[#This Row],[Order Date]])</f>
        <v>2024</v>
      </c>
      <c r="D262" s="22" t="str">
        <f>TEXT(Table1_1[[#This Row],[Order Date]],"MMMM")</f>
        <v>May</v>
      </c>
      <c r="E262" s="22" t="s">
        <v>26</v>
      </c>
      <c r="F262" s="22" t="s">
        <v>53</v>
      </c>
      <c r="G262" s="22" t="s">
        <v>84</v>
      </c>
      <c r="H262" s="22" t="s">
        <v>29</v>
      </c>
      <c r="I262" s="22" t="s">
        <v>54</v>
      </c>
      <c r="J262" s="22" t="s">
        <v>90</v>
      </c>
      <c r="K262" s="22" t="s">
        <v>1625</v>
      </c>
      <c r="L262" s="22" t="s">
        <v>23</v>
      </c>
      <c r="M262" s="22" t="s">
        <v>34</v>
      </c>
      <c r="N262" s="22">
        <v>40</v>
      </c>
      <c r="O262" s="26">
        <v>32800</v>
      </c>
      <c r="P262" s="22">
        <v>0.12</v>
      </c>
      <c r="Q262" s="30">
        <v>23100</v>
      </c>
      <c r="R262" s="33">
        <f>Table1_1[[#This Row],[Units Sold]]*Table1_1[[#This Row],[Unit Price]]*1-Table1_1[[#This Row],[Discount]]</f>
        <v>1311999.8799999999</v>
      </c>
      <c r="S262" s="33">
        <f>Table1_1[[#This Row],[Units Sold]]*Table1_1[[#This Row],[Unit Cost]]</f>
        <v>924000</v>
      </c>
      <c r="T262" s="33">
        <f>Table1_1[[#This Row],[Sales Amount]]-S262</f>
        <v>387999.87999999989</v>
      </c>
      <c r="U262" s="32">
        <f>IFERROR(Table1_1[[#This Row],[Profit/loss]]/Table1_1[[#This Row],[Sales Amount]],0)</f>
        <v>0.29573164290228438</v>
      </c>
    </row>
    <row r="263" spans="1:21" ht="18" x14ac:dyDescent="0.35">
      <c r="A263" s="21" t="s">
        <v>370</v>
      </c>
      <c r="B263" s="36">
        <v>45431</v>
      </c>
      <c r="C263" s="22">
        <f>YEAR(Table1_1[[#This Row],[Order Date]])</f>
        <v>2024</v>
      </c>
      <c r="D263" s="22" t="str">
        <f>TEXT(Table1_1[[#This Row],[Order Date]],"MMMM")</f>
        <v>May</v>
      </c>
      <c r="E263" s="22" t="s">
        <v>48</v>
      </c>
      <c r="F263" s="22" t="s">
        <v>136</v>
      </c>
      <c r="G263" s="22" t="s">
        <v>84</v>
      </c>
      <c r="H263" s="22" t="s">
        <v>19</v>
      </c>
      <c r="I263" s="22" t="s">
        <v>40</v>
      </c>
      <c r="J263" s="22" t="s">
        <v>41</v>
      </c>
      <c r="K263" s="22" t="s">
        <v>42</v>
      </c>
      <c r="L263" s="22" t="s">
        <v>33</v>
      </c>
      <c r="M263" s="22" t="s">
        <v>24</v>
      </c>
      <c r="N263" s="22">
        <v>33</v>
      </c>
      <c r="O263" s="26">
        <v>55230</v>
      </c>
      <c r="P263" s="22">
        <v>0.2</v>
      </c>
      <c r="Q263" s="30">
        <v>33800</v>
      </c>
      <c r="R263" s="33">
        <f>Table1_1[[#This Row],[Units Sold]]*Table1_1[[#This Row],[Unit Price]]*1-Table1_1[[#This Row],[Discount]]</f>
        <v>1822589.8</v>
      </c>
      <c r="S263" s="33">
        <f>Table1_1[[#This Row],[Units Sold]]*Table1_1[[#This Row],[Unit Cost]]</f>
        <v>1115400</v>
      </c>
      <c r="T263" s="33">
        <f>Table1_1[[#This Row],[Sales Amount]]-S263</f>
        <v>707189.8</v>
      </c>
      <c r="U263" s="32">
        <f>IFERROR(Table1_1[[#This Row],[Profit/loss]]/Table1_1[[#This Row],[Sales Amount]],0)</f>
        <v>0.38801369348166004</v>
      </c>
    </row>
    <row r="264" spans="1:21" ht="18" x14ac:dyDescent="0.35">
      <c r="A264" s="21" t="s">
        <v>371</v>
      </c>
      <c r="B264" s="36">
        <v>45432</v>
      </c>
      <c r="C264" s="22">
        <f>YEAR(Table1_1[[#This Row],[Order Date]])</f>
        <v>2024</v>
      </c>
      <c r="D264" s="22" t="str">
        <f>TEXT(Table1_1[[#This Row],[Order Date]],"MMMM")</f>
        <v>May</v>
      </c>
      <c r="E264" s="22" t="s">
        <v>36</v>
      </c>
      <c r="F264" s="22" t="s">
        <v>59</v>
      </c>
      <c r="G264" s="22" t="s">
        <v>105</v>
      </c>
      <c r="H264" s="22" t="s">
        <v>29</v>
      </c>
      <c r="I264" s="22" t="s">
        <v>20</v>
      </c>
      <c r="J264" s="22" t="s">
        <v>21</v>
      </c>
      <c r="K264" s="22" t="s">
        <v>51</v>
      </c>
      <c r="L264" s="22" t="s">
        <v>57</v>
      </c>
      <c r="M264" s="22" t="s">
        <v>66</v>
      </c>
      <c r="N264" s="22">
        <v>20</v>
      </c>
      <c r="O264" s="26">
        <v>5999</v>
      </c>
      <c r="P264" s="22">
        <v>0.2</v>
      </c>
      <c r="Q264" s="30">
        <v>3890</v>
      </c>
      <c r="R264" s="33">
        <f>Table1_1[[#This Row],[Units Sold]]*Table1_1[[#This Row],[Unit Price]]*1-Table1_1[[#This Row],[Discount]]</f>
        <v>119979.8</v>
      </c>
      <c r="S264" s="33">
        <f>Table1_1[[#This Row],[Units Sold]]*Table1_1[[#This Row],[Unit Cost]]</f>
        <v>77800</v>
      </c>
      <c r="T264" s="33">
        <f>Table1_1[[#This Row],[Sales Amount]]-S264</f>
        <v>42179.8</v>
      </c>
      <c r="U264" s="32">
        <f>IFERROR(Table1_1[[#This Row],[Profit/loss]]/Table1_1[[#This Row],[Sales Amount]],0)</f>
        <v>0.35155751218121717</v>
      </c>
    </row>
    <row r="265" spans="1:21" ht="18" x14ac:dyDescent="0.35">
      <c r="A265" s="21" t="s">
        <v>372</v>
      </c>
      <c r="B265" s="36">
        <v>45432</v>
      </c>
      <c r="C265" s="22">
        <f>YEAR(Table1_1[[#This Row],[Order Date]])</f>
        <v>2024</v>
      </c>
      <c r="D265" s="22" t="str">
        <f>TEXT(Table1_1[[#This Row],[Order Date]],"MMMM")</f>
        <v>May</v>
      </c>
      <c r="E265" s="22" t="s">
        <v>36</v>
      </c>
      <c r="F265" s="22" t="s">
        <v>44</v>
      </c>
      <c r="G265" s="22" t="s">
        <v>28</v>
      </c>
      <c r="H265" s="22" t="s">
        <v>29</v>
      </c>
      <c r="I265" s="22" t="s">
        <v>40</v>
      </c>
      <c r="J265" s="22" t="s">
        <v>64</v>
      </c>
      <c r="K265" s="22" t="s">
        <v>1627</v>
      </c>
      <c r="L265" s="22" t="s">
        <v>57</v>
      </c>
      <c r="M265" s="22" t="s">
        <v>24</v>
      </c>
      <c r="N265" s="22">
        <v>2</v>
      </c>
      <c r="O265" s="26">
        <v>4490</v>
      </c>
      <c r="P265" s="22">
        <v>0.15</v>
      </c>
      <c r="Q265" s="30">
        <v>2950</v>
      </c>
      <c r="R265" s="33">
        <f>Table1_1[[#This Row],[Units Sold]]*Table1_1[[#This Row],[Unit Price]]*1-Table1_1[[#This Row],[Discount]]</f>
        <v>8979.85</v>
      </c>
      <c r="S265" s="33">
        <f>Table1_1[[#This Row],[Units Sold]]*Table1_1[[#This Row],[Unit Cost]]</f>
        <v>5900</v>
      </c>
      <c r="T265" s="33">
        <f>Table1_1[[#This Row],[Sales Amount]]-S265</f>
        <v>3079.8500000000004</v>
      </c>
      <c r="U265" s="32">
        <f>IFERROR(Table1_1[[#This Row],[Profit/loss]]/Table1_1[[#This Row],[Sales Amount]],0)</f>
        <v>0.34297343496829014</v>
      </c>
    </row>
    <row r="266" spans="1:21" ht="18" x14ac:dyDescent="0.35">
      <c r="A266" s="21" t="s">
        <v>373</v>
      </c>
      <c r="B266" s="36">
        <v>45432</v>
      </c>
      <c r="C266" s="22">
        <f>YEAR(Table1_1[[#This Row],[Order Date]])</f>
        <v>2024</v>
      </c>
      <c r="D266" s="22" t="str">
        <f>TEXT(Table1_1[[#This Row],[Order Date]],"MMMM")</f>
        <v>May</v>
      </c>
      <c r="E266" s="22" t="s">
        <v>26</v>
      </c>
      <c r="F266" s="22" t="s">
        <v>74</v>
      </c>
      <c r="G266" s="22" t="s">
        <v>75</v>
      </c>
      <c r="H266" s="22" t="s">
        <v>19</v>
      </c>
      <c r="I266" s="22" t="s">
        <v>54</v>
      </c>
      <c r="J266" s="22" t="s">
        <v>129</v>
      </c>
      <c r="K266" s="22" t="s">
        <v>1630</v>
      </c>
      <c r="L266" s="22" t="s">
        <v>23</v>
      </c>
      <c r="M266" s="22" t="s">
        <v>24</v>
      </c>
      <c r="N266" s="22">
        <v>11</v>
      </c>
      <c r="O266" s="26">
        <v>29010</v>
      </c>
      <c r="P266" s="22">
        <v>0.2</v>
      </c>
      <c r="Q266" s="30">
        <v>19100</v>
      </c>
      <c r="R266" s="33">
        <f>Table1_1[[#This Row],[Units Sold]]*Table1_1[[#This Row],[Unit Price]]*1-Table1_1[[#This Row],[Discount]]</f>
        <v>319109.8</v>
      </c>
      <c r="S266" s="33">
        <f>Table1_1[[#This Row],[Units Sold]]*Table1_1[[#This Row],[Unit Cost]]</f>
        <v>210100</v>
      </c>
      <c r="T266" s="33">
        <f>Table1_1[[#This Row],[Sales Amount]]-S266</f>
        <v>109009.79999999999</v>
      </c>
      <c r="U266" s="32">
        <f>IFERROR(Table1_1[[#This Row],[Profit/loss]]/Table1_1[[#This Row],[Sales Amount]],0)</f>
        <v>0.34160592999650902</v>
      </c>
    </row>
    <row r="267" spans="1:21" ht="18" x14ac:dyDescent="0.35">
      <c r="A267" s="21" t="s">
        <v>374</v>
      </c>
      <c r="B267" s="36">
        <v>45432</v>
      </c>
      <c r="C267" s="22">
        <f>YEAR(Table1_1[[#This Row],[Order Date]])</f>
        <v>2024</v>
      </c>
      <c r="D267" s="22" t="str">
        <f>TEXT(Table1_1[[#This Row],[Order Date]],"MMMM")</f>
        <v>May</v>
      </c>
      <c r="E267" s="22" t="s">
        <v>82</v>
      </c>
      <c r="F267" s="22" t="s">
        <v>83</v>
      </c>
      <c r="G267" s="22" t="s">
        <v>101</v>
      </c>
      <c r="H267" s="22" t="s">
        <v>39</v>
      </c>
      <c r="I267" s="22" t="s">
        <v>30</v>
      </c>
      <c r="J267" s="22" t="s">
        <v>31</v>
      </c>
      <c r="K267" s="22" t="s">
        <v>106</v>
      </c>
      <c r="L267" s="22" t="s">
        <v>33</v>
      </c>
      <c r="M267" s="22" t="s">
        <v>24</v>
      </c>
      <c r="N267" s="22">
        <v>10</v>
      </c>
      <c r="O267" s="26">
        <v>52990</v>
      </c>
      <c r="P267" s="22">
        <v>0.08</v>
      </c>
      <c r="Q267" s="30">
        <v>35100</v>
      </c>
      <c r="R267" s="33">
        <f>Table1_1[[#This Row],[Units Sold]]*Table1_1[[#This Row],[Unit Price]]*1-Table1_1[[#This Row],[Discount]]</f>
        <v>529899.92000000004</v>
      </c>
      <c r="S267" s="33">
        <f>Table1_1[[#This Row],[Units Sold]]*Table1_1[[#This Row],[Unit Cost]]</f>
        <v>351000</v>
      </c>
      <c r="T267" s="33">
        <f>Table1_1[[#This Row],[Sales Amount]]-S267</f>
        <v>178899.92000000004</v>
      </c>
      <c r="U267" s="32">
        <f>IFERROR(Table1_1[[#This Row],[Profit/loss]]/Table1_1[[#This Row],[Sales Amount]],0)</f>
        <v>0.33761076997331879</v>
      </c>
    </row>
    <row r="268" spans="1:21" ht="18" x14ac:dyDescent="0.35">
      <c r="A268" s="21" t="s">
        <v>375</v>
      </c>
      <c r="B268" s="36">
        <v>45433</v>
      </c>
      <c r="C268" s="22">
        <f>YEAR(Table1_1[[#This Row],[Order Date]])</f>
        <v>2024</v>
      </c>
      <c r="D268" s="22" t="str">
        <f>TEXT(Table1_1[[#This Row],[Order Date]],"MMMM")</f>
        <v>May</v>
      </c>
      <c r="E268" s="22" t="s">
        <v>48</v>
      </c>
      <c r="F268" s="22" t="s">
        <v>136</v>
      </c>
      <c r="G268" s="22" t="s">
        <v>50</v>
      </c>
      <c r="H268" s="22" t="s">
        <v>29</v>
      </c>
      <c r="I268" s="22" t="s">
        <v>40</v>
      </c>
      <c r="J268" s="22" t="s">
        <v>76</v>
      </c>
      <c r="K268" s="22" t="s">
        <v>1626</v>
      </c>
      <c r="L268" s="22" t="s">
        <v>23</v>
      </c>
      <c r="M268" s="22" t="s">
        <v>24</v>
      </c>
      <c r="N268" s="22">
        <v>11</v>
      </c>
      <c r="O268" s="26">
        <v>25999</v>
      </c>
      <c r="P268" s="22">
        <v>0.05</v>
      </c>
      <c r="Q268" s="30">
        <v>17800</v>
      </c>
      <c r="R268" s="33">
        <f>Table1_1[[#This Row],[Units Sold]]*Table1_1[[#This Row],[Unit Price]]*1-Table1_1[[#This Row],[Discount]]</f>
        <v>285988.95</v>
      </c>
      <c r="S268" s="33">
        <f>Table1_1[[#This Row],[Units Sold]]*Table1_1[[#This Row],[Unit Cost]]</f>
        <v>195800</v>
      </c>
      <c r="T268" s="33">
        <f>Table1_1[[#This Row],[Sales Amount]]-S268</f>
        <v>90188.950000000012</v>
      </c>
      <c r="U268" s="32">
        <f>IFERROR(Table1_1[[#This Row],[Profit/loss]]/Table1_1[[#This Row],[Sales Amount]],0)</f>
        <v>0.31535816331365252</v>
      </c>
    </row>
    <row r="269" spans="1:21" ht="18" x14ac:dyDescent="0.35">
      <c r="A269" s="21" t="s">
        <v>376</v>
      </c>
      <c r="B269" s="36">
        <v>45433</v>
      </c>
      <c r="C269" s="22">
        <f>YEAR(Table1_1[[#This Row],[Order Date]])</f>
        <v>2024</v>
      </c>
      <c r="D269" s="22" t="str">
        <f>TEXT(Table1_1[[#This Row],[Order Date]],"MMMM")</f>
        <v>May</v>
      </c>
      <c r="E269" s="22" t="s">
        <v>26</v>
      </c>
      <c r="F269" s="22" t="s">
        <v>27</v>
      </c>
      <c r="G269" s="22" t="s">
        <v>101</v>
      </c>
      <c r="H269" s="22" t="s">
        <v>19</v>
      </c>
      <c r="I269" s="22" t="s">
        <v>54</v>
      </c>
      <c r="J269" s="22" t="s">
        <v>90</v>
      </c>
      <c r="K269" s="22" t="s">
        <v>1621</v>
      </c>
      <c r="L269" s="22" t="s">
        <v>23</v>
      </c>
      <c r="M269" s="22" t="s">
        <v>24</v>
      </c>
      <c r="N269" s="22">
        <v>2</v>
      </c>
      <c r="O269" s="26">
        <v>31990</v>
      </c>
      <c r="P269" s="22">
        <v>0.05</v>
      </c>
      <c r="Q269" s="30">
        <v>21800</v>
      </c>
      <c r="R269" s="33">
        <f>Table1_1[[#This Row],[Units Sold]]*Table1_1[[#This Row],[Unit Price]]*1-Table1_1[[#This Row],[Discount]]</f>
        <v>63979.95</v>
      </c>
      <c r="S269" s="33">
        <f>Table1_1[[#This Row],[Units Sold]]*Table1_1[[#This Row],[Unit Cost]]</f>
        <v>43600</v>
      </c>
      <c r="T269" s="33">
        <f>Table1_1[[#This Row],[Sales Amount]]-S269</f>
        <v>20379.949999999997</v>
      </c>
      <c r="U269" s="32">
        <f>IFERROR(Table1_1[[#This Row],[Profit/loss]]/Table1_1[[#This Row],[Sales Amount]],0)</f>
        <v>0.3185365102661068</v>
      </c>
    </row>
    <row r="270" spans="1:21" ht="18" x14ac:dyDescent="0.35">
      <c r="A270" s="21" t="s">
        <v>377</v>
      </c>
      <c r="B270" s="36">
        <v>45434</v>
      </c>
      <c r="C270" s="22">
        <f>YEAR(Table1_1[[#This Row],[Order Date]])</f>
        <v>2024</v>
      </c>
      <c r="D270" s="22" t="str">
        <f>TEXT(Table1_1[[#This Row],[Order Date]],"MMMM")</f>
        <v>May</v>
      </c>
      <c r="E270" s="22" t="s">
        <v>36</v>
      </c>
      <c r="F270" s="22" t="s">
        <v>44</v>
      </c>
      <c r="G270" s="22" t="s">
        <v>18</v>
      </c>
      <c r="H270" s="22" t="s">
        <v>19</v>
      </c>
      <c r="I270" s="22" t="s">
        <v>70</v>
      </c>
      <c r="J270" s="22" t="s">
        <v>71</v>
      </c>
      <c r="K270" s="22" t="s">
        <v>80</v>
      </c>
      <c r="L270" s="22" t="s">
        <v>33</v>
      </c>
      <c r="M270" s="22" t="s">
        <v>66</v>
      </c>
      <c r="N270" s="22">
        <v>28</v>
      </c>
      <c r="O270" s="26">
        <v>1299</v>
      </c>
      <c r="P270" s="22">
        <v>0.1</v>
      </c>
      <c r="Q270" s="30">
        <v>720</v>
      </c>
      <c r="R270" s="33">
        <f>Table1_1[[#This Row],[Units Sold]]*Table1_1[[#This Row],[Unit Price]]*1-Table1_1[[#This Row],[Discount]]</f>
        <v>36371.9</v>
      </c>
      <c r="S270" s="33">
        <f>Table1_1[[#This Row],[Units Sold]]*Table1_1[[#This Row],[Unit Cost]]</f>
        <v>20160</v>
      </c>
      <c r="T270" s="33">
        <f>Table1_1[[#This Row],[Sales Amount]]-S270</f>
        <v>16211.900000000001</v>
      </c>
      <c r="U270" s="32">
        <f>IFERROR(Table1_1[[#This Row],[Profit/loss]]/Table1_1[[#This Row],[Sales Amount]],0)</f>
        <v>0.44572595877586818</v>
      </c>
    </row>
    <row r="271" spans="1:21" ht="18" x14ac:dyDescent="0.35">
      <c r="A271" s="21" t="s">
        <v>378</v>
      </c>
      <c r="B271" s="36">
        <v>45434</v>
      </c>
      <c r="C271" s="22">
        <f>YEAR(Table1_1[[#This Row],[Order Date]])</f>
        <v>2024</v>
      </c>
      <c r="D271" s="22" t="str">
        <f>TEXT(Table1_1[[#This Row],[Order Date]],"MMMM")</f>
        <v>May</v>
      </c>
      <c r="E271" s="22" t="s">
        <v>36</v>
      </c>
      <c r="F271" s="22" t="s">
        <v>44</v>
      </c>
      <c r="G271" s="22" t="s">
        <v>69</v>
      </c>
      <c r="H271" s="22" t="s">
        <v>39</v>
      </c>
      <c r="I271" s="22" t="s">
        <v>20</v>
      </c>
      <c r="J271" s="22" t="s">
        <v>21</v>
      </c>
      <c r="K271" s="22" t="s">
        <v>22</v>
      </c>
      <c r="L271" s="22" t="s">
        <v>23</v>
      </c>
      <c r="M271" s="22" t="s">
        <v>78</v>
      </c>
      <c r="N271" s="22">
        <v>40</v>
      </c>
      <c r="O271" s="26">
        <v>4499</v>
      </c>
      <c r="P271" s="22">
        <v>0.08</v>
      </c>
      <c r="Q271" s="30">
        <v>2910</v>
      </c>
      <c r="R271" s="33">
        <f>Table1_1[[#This Row],[Units Sold]]*Table1_1[[#This Row],[Unit Price]]*1-Table1_1[[#This Row],[Discount]]</f>
        <v>179959.92</v>
      </c>
      <c r="S271" s="33">
        <f>Table1_1[[#This Row],[Units Sold]]*Table1_1[[#This Row],[Unit Cost]]</f>
        <v>116400</v>
      </c>
      <c r="T271" s="33">
        <f>Table1_1[[#This Row],[Sales Amount]]-S271</f>
        <v>63559.920000000013</v>
      </c>
      <c r="U271" s="32">
        <f>IFERROR(Table1_1[[#This Row],[Profit/loss]]/Table1_1[[#This Row],[Sales Amount]],0)</f>
        <v>0.35318931015306082</v>
      </c>
    </row>
    <row r="272" spans="1:21" ht="18" x14ac:dyDescent="0.35">
      <c r="A272" s="21" t="s">
        <v>379</v>
      </c>
      <c r="B272" s="36">
        <v>45434</v>
      </c>
      <c r="C272" s="22">
        <f>YEAR(Table1_1[[#This Row],[Order Date]])</f>
        <v>2024</v>
      </c>
      <c r="D272" s="22" t="str">
        <f>TEXT(Table1_1[[#This Row],[Order Date]],"MMMM")</f>
        <v>May</v>
      </c>
      <c r="E272" s="22" t="s">
        <v>36</v>
      </c>
      <c r="F272" s="22" t="s">
        <v>44</v>
      </c>
      <c r="G272" s="22" t="s">
        <v>28</v>
      </c>
      <c r="H272" s="22" t="s">
        <v>19</v>
      </c>
      <c r="I272" s="22" t="s">
        <v>20</v>
      </c>
      <c r="J272" s="22" t="s">
        <v>21</v>
      </c>
      <c r="K272" s="22" t="s">
        <v>22</v>
      </c>
      <c r="L272" s="22" t="s">
        <v>23</v>
      </c>
      <c r="M272" s="22" t="s">
        <v>24</v>
      </c>
      <c r="N272" s="22">
        <v>16</v>
      </c>
      <c r="O272" s="26">
        <v>4499</v>
      </c>
      <c r="P272" s="22">
        <v>0.15</v>
      </c>
      <c r="Q272" s="30">
        <v>2910</v>
      </c>
      <c r="R272" s="33">
        <f>Table1_1[[#This Row],[Units Sold]]*Table1_1[[#This Row],[Unit Price]]*1-Table1_1[[#This Row],[Discount]]</f>
        <v>71983.850000000006</v>
      </c>
      <c r="S272" s="33">
        <f>Table1_1[[#This Row],[Units Sold]]*Table1_1[[#This Row],[Unit Cost]]</f>
        <v>46560</v>
      </c>
      <c r="T272" s="33">
        <f>Table1_1[[#This Row],[Sales Amount]]-S272</f>
        <v>25423.850000000006</v>
      </c>
      <c r="U272" s="32">
        <f>IFERROR(Table1_1[[#This Row],[Profit/loss]]/Table1_1[[#This Row],[Sales Amount]],0)</f>
        <v>0.35318824986437936</v>
      </c>
    </row>
    <row r="273" spans="1:21" ht="18" x14ac:dyDescent="0.35">
      <c r="A273" s="21" t="s">
        <v>380</v>
      </c>
      <c r="B273" s="36">
        <v>45434</v>
      </c>
      <c r="C273" s="22">
        <f>YEAR(Table1_1[[#This Row],[Order Date]])</f>
        <v>2024</v>
      </c>
      <c r="D273" s="22" t="str">
        <f>TEXT(Table1_1[[#This Row],[Order Date]],"MMMM")</f>
        <v>May</v>
      </c>
      <c r="E273" s="22" t="s">
        <v>36</v>
      </c>
      <c r="F273" s="22" t="s">
        <v>44</v>
      </c>
      <c r="G273" s="22" t="s">
        <v>69</v>
      </c>
      <c r="H273" s="22" t="s">
        <v>39</v>
      </c>
      <c r="I273" s="22" t="s">
        <v>40</v>
      </c>
      <c r="J273" s="22" t="s">
        <v>41</v>
      </c>
      <c r="K273" s="22" t="s">
        <v>1628</v>
      </c>
      <c r="L273" s="22" t="s">
        <v>57</v>
      </c>
      <c r="M273" s="22" t="s">
        <v>24</v>
      </c>
      <c r="N273" s="22">
        <v>2</v>
      </c>
      <c r="O273" s="26">
        <v>48500</v>
      </c>
      <c r="P273" s="22">
        <v>0.1</v>
      </c>
      <c r="Q273" s="30">
        <v>30200</v>
      </c>
      <c r="R273" s="33">
        <f>Table1_1[[#This Row],[Units Sold]]*Table1_1[[#This Row],[Unit Price]]*1-Table1_1[[#This Row],[Discount]]</f>
        <v>96999.9</v>
      </c>
      <c r="S273" s="33">
        <f>Table1_1[[#This Row],[Units Sold]]*Table1_1[[#This Row],[Unit Cost]]</f>
        <v>60400</v>
      </c>
      <c r="T273" s="33">
        <f>Table1_1[[#This Row],[Sales Amount]]-S273</f>
        <v>36599.899999999994</v>
      </c>
      <c r="U273" s="32">
        <f>IFERROR(Table1_1[[#This Row],[Profit/loss]]/Table1_1[[#This Row],[Sales Amount]],0)</f>
        <v>0.3773189456896347</v>
      </c>
    </row>
    <row r="274" spans="1:21" ht="18" x14ac:dyDescent="0.35">
      <c r="A274" s="21" t="s">
        <v>381</v>
      </c>
      <c r="B274" s="36">
        <v>45436</v>
      </c>
      <c r="C274" s="22">
        <f>YEAR(Table1_1[[#This Row],[Order Date]])</f>
        <v>2024</v>
      </c>
      <c r="D274" s="22" t="str">
        <f>TEXT(Table1_1[[#This Row],[Order Date]],"MMMM")</f>
        <v>May</v>
      </c>
      <c r="E274" s="22" t="s">
        <v>48</v>
      </c>
      <c r="F274" s="22" t="s">
        <v>136</v>
      </c>
      <c r="G274" s="22" t="s">
        <v>75</v>
      </c>
      <c r="H274" s="22" t="s">
        <v>19</v>
      </c>
      <c r="I274" s="22" t="s">
        <v>20</v>
      </c>
      <c r="J274" s="22" t="s">
        <v>45</v>
      </c>
      <c r="K274" s="22" t="s">
        <v>1622</v>
      </c>
      <c r="L274" s="22" t="s">
        <v>33</v>
      </c>
      <c r="M274" s="22" t="s">
        <v>24</v>
      </c>
      <c r="N274" s="22">
        <v>19</v>
      </c>
      <c r="O274" s="26">
        <v>1599</v>
      </c>
      <c r="P274" s="22">
        <v>0.18</v>
      </c>
      <c r="Q274" s="30">
        <v>920</v>
      </c>
      <c r="R274" s="33">
        <f>Table1_1[[#This Row],[Units Sold]]*Table1_1[[#This Row],[Unit Price]]*1-Table1_1[[#This Row],[Discount]]</f>
        <v>30380.82</v>
      </c>
      <c r="S274" s="33">
        <f>Table1_1[[#This Row],[Units Sold]]*Table1_1[[#This Row],[Unit Cost]]</f>
        <v>17480</v>
      </c>
      <c r="T274" s="33">
        <f>Table1_1[[#This Row],[Sales Amount]]-S274</f>
        <v>12900.82</v>
      </c>
      <c r="U274" s="32">
        <f>IFERROR(Table1_1[[#This Row],[Profit/loss]]/Table1_1[[#This Row],[Sales Amount]],0)</f>
        <v>0.4246369913649467</v>
      </c>
    </row>
    <row r="275" spans="1:21" ht="18" x14ac:dyDescent="0.35">
      <c r="A275" s="21" t="s">
        <v>382</v>
      </c>
      <c r="B275" s="36">
        <v>45436</v>
      </c>
      <c r="C275" s="22">
        <f>YEAR(Table1_1[[#This Row],[Order Date]])</f>
        <v>2024</v>
      </c>
      <c r="D275" s="22" t="str">
        <f>TEXT(Table1_1[[#This Row],[Order Date]],"MMMM")</f>
        <v>May</v>
      </c>
      <c r="E275" s="22" t="s">
        <v>36</v>
      </c>
      <c r="F275" s="22" t="s">
        <v>44</v>
      </c>
      <c r="G275" s="22" t="s">
        <v>50</v>
      </c>
      <c r="H275" s="22" t="s">
        <v>29</v>
      </c>
      <c r="I275" s="22" t="s">
        <v>40</v>
      </c>
      <c r="J275" s="22" t="s">
        <v>64</v>
      </c>
      <c r="K275" s="22" t="s">
        <v>1627</v>
      </c>
      <c r="L275" s="22" t="s">
        <v>57</v>
      </c>
      <c r="M275" s="22" t="s">
        <v>78</v>
      </c>
      <c r="N275" s="22">
        <v>39</v>
      </c>
      <c r="O275" s="26">
        <v>4490</v>
      </c>
      <c r="P275" s="22">
        <v>0.15</v>
      </c>
      <c r="Q275" s="30">
        <v>2950</v>
      </c>
      <c r="R275" s="33">
        <f>Table1_1[[#This Row],[Units Sold]]*Table1_1[[#This Row],[Unit Price]]*1-Table1_1[[#This Row],[Discount]]</f>
        <v>175109.85</v>
      </c>
      <c r="S275" s="33">
        <f>Table1_1[[#This Row],[Units Sold]]*Table1_1[[#This Row],[Unit Cost]]</f>
        <v>115050</v>
      </c>
      <c r="T275" s="33">
        <f>Table1_1[[#This Row],[Sales Amount]]-S275</f>
        <v>60059.850000000006</v>
      </c>
      <c r="U275" s="32">
        <f>IFERROR(Table1_1[[#This Row],[Profit/loss]]/Table1_1[[#This Row],[Sales Amount]],0)</f>
        <v>0.34298384699661388</v>
      </c>
    </row>
    <row r="276" spans="1:21" ht="18" x14ac:dyDescent="0.35">
      <c r="A276" s="21" t="s">
        <v>383</v>
      </c>
      <c r="B276" s="36">
        <v>45436</v>
      </c>
      <c r="C276" s="22">
        <f>YEAR(Table1_1[[#This Row],[Order Date]])</f>
        <v>2024</v>
      </c>
      <c r="D276" s="22" t="str">
        <f>TEXT(Table1_1[[#This Row],[Order Date]],"MMMM")</f>
        <v>May</v>
      </c>
      <c r="E276" s="22" t="s">
        <v>36</v>
      </c>
      <c r="F276" s="22" t="s">
        <v>121</v>
      </c>
      <c r="G276" s="22" t="s">
        <v>75</v>
      </c>
      <c r="H276" s="22" t="s">
        <v>39</v>
      </c>
      <c r="I276" s="22" t="s">
        <v>30</v>
      </c>
      <c r="J276" s="22" t="s">
        <v>31</v>
      </c>
      <c r="K276" s="22" t="s">
        <v>85</v>
      </c>
      <c r="L276" s="22" t="s">
        <v>57</v>
      </c>
      <c r="M276" s="22" t="s">
        <v>24</v>
      </c>
      <c r="N276" s="22">
        <v>35</v>
      </c>
      <c r="O276" s="26">
        <v>43500</v>
      </c>
      <c r="P276" s="22">
        <v>0.18</v>
      </c>
      <c r="Q276" s="30">
        <v>29520</v>
      </c>
      <c r="R276" s="33">
        <f>Table1_1[[#This Row],[Units Sold]]*Table1_1[[#This Row],[Unit Price]]*1-Table1_1[[#This Row],[Discount]]</f>
        <v>1522499.82</v>
      </c>
      <c r="S276" s="33">
        <f>Table1_1[[#This Row],[Units Sold]]*Table1_1[[#This Row],[Unit Cost]]</f>
        <v>1033200</v>
      </c>
      <c r="T276" s="33">
        <f>Table1_1[[#This Row],[Sales Amount]]-S276</f>
        <v>489299.82000000007</v>
      </c>
      <c r="U276" s="32">
        <f>IFERROR(Table1_1[[#This Row],[Profit/loss]]/Table1_1[[#This Row],[Sales Amount]],0)</f>
        <v>0.32137923011380065</v>
      </c>
    </row>
    <row r="277" spans="1:21" ht="18" x14ac:dyDescent="0.35">
      <c r="A277" s="21" t="s">
        <v>384</v>
      </c>
      <c r="B277" s="36">
        <v>45436</v>
      </c>
      <c r="C277" s="22">
        <f>YEAR(Table1_1[[#This Row],[Order Date]])</f>
        <v>2024</v>
      </c>
      <c r="D277" s="22" t="str">
        <f>TEXT(Table1_1[[#This Row],[Order Date]],"MMMM")</f>
        <v>May</v>
      </c>
      <c r="E277" s="22" t="s">
        <v>36</v>
      </c>
      <c r="F277" s="22" t="s">
        <v>44</v>
      </c>
      <c r="G277" s="22" t="s">
        <v>18</v>
      </c>
      <c r="H277" s="22" t="s">
        <v>19</v>
      </c>
      <c r="I277" s="22" t="s">
        <v>40</v>
      </c>
      <c r="J277" s="22" t="s">
        <v>41</v>
      </c>
      <c r="K277" s="22" t="s">
        <v>1628</v>
      </c>
      <c r="L277" s="22" t="s">
        <v>23</v>
      </c>
      <c r="M277" s="22" t="s">
        <v>24</v>
      </c>
      <c r="N277" s="22">
        <v>12</v>
      </c>
      <c r="O277" s="26">
        <v>48500</v>
      </c>
      <c r="P277" s="22">
        <v>0.05</v>
      </c>
      <c r="Q277" s="30">
        <v>30200</v>
      </c>
      <c r="R277" s="33">
        <f>Table1_1[[#This Row],[Units Sold]]*Table1_1[[#This Row],[Unit Price]]*1-Table1_1[[#This Row],[Discount]]</f>
        <v>581999.94999999995</v>
      </c>
      <c r="S277" s="33">
        <f>Table1_1[[#This Row],[Units Sold]]*Table1_1[[#This Row],[Unit Cost]]</f>
        <v>362400</v>
      </c>
      <c r="T277" s="33">
        <f>Table1_1[[#This Row],[Sales Amount]]-S277</f>
        <v>219599.94999999995</v>
      </c>
      <c r="U277" s="32">
        <f>IFERROR(Table1_1[[#This Row],[Profit/loss]]/Table1_1[[#This Row],[Sales Amount]],0)</f>
        <v>0.37731953413398056</v>
      </c>
    </row>
    <row r="278" spans="1:21" ht="18" x14ac:dyDescent="0.35">
      <c r="A278" s="21" t="s">
        <v>385</v>
      </c>
      <c r="B278" s="36">
        <v>45436</v>
      </c>
      <c r="C278" s="22">
        <f>YEAR(Table1_1[[#This Row],[Order Date]])</f>
        <v>2024</v>
      </c>
      <c r="D278" s="22" t="str">
        <f>TEXT(Table1_1[[#This Row],[Order Date]],"MMMM")</f>
        <v>May</v>
      </c>
      <c r="E278" s="22" t="s">
        <v>26</v>
      </c>
      <c r="F278" s="22" t="s">
        <v>163</v>
      </c>
      <c r="G278" s="22" t="s">
        <v>28</v>
      </c>
      <c r="H278" s="22" t="s">
        <v>19</v>
      </c>
      <c r="I278" s="22" t="s">
        <v>54</v>
      </c>
      <c r="J278" s="22" t="s">
        <v>90</v>
      </c>
      <c r="K278" s="22" t="s">
        <v>1625</v>
      </c>
      <c r="L278" s="22" t="s">
        <v>23</v>
      </c>
      <c r="M278" s="22" t="s">
        <v>78</v>
      </c>
      <c r="N278" s="22">
        <v>21</v>
      </c>
      <c r="O278" s="26">
        <v>32800</v>
      </c>
      <c r="P278" s="22">
        <v>0.2</v>
      </c>
      <c r="Q278" s="30">
        <v>23100</v>
      </c>
      <c r="R278" s="33">
        <f>Table1_1[[#This Row],[Units Sold]]*Table1_1[[#This Row],[Unit Price]]*1-Table1_1[[#This Row],[Discount]]</f>
        <v>688799.8</v>
      </c>
      <c r="S278" s="33">
        <f>Table1_1[[#This Row],[Units Sold]]*Table1_1[[#This Row],[Unit Cost]]</f>
        <v>485100</v>
      </c>
      <c r="T278" s="33">
        <f>Table1_1[[#This Row],[Sales Amount]]-S278</f>
        <v>203699.80000000005</v>
      </c>
      <c r="U278" s="32">
        <f>IFERROR(Table1_1[[#This Row],[Profit/loss]]/Table1_1[[#This Row],[Sales Amount]],0)</f>
        <v>0.29573150282563965</v>
      </c>
    </row>
    <row r="279" spans="1:21" ht="18" x14ac:dyDescent="0.35">
      <c r="A279" s="21" t="s">
        <v>386</v>
      </c>
      <c r="B279" s="36">
        <v>45437</v>
      </c>
      <c r="C279" s="22">
        <f>YEAR(Table1_1[[#This Row],[Order Date]])</f>
        <v>2024</v>
      </c>
      <c r="D279" s="22" t="str">
        <f>TEXT(Table1_1[[#This Row],[Order Date]],"MMMM")</f>
        <v>May</v>
      </c>
      <c r="E279" s="22" t="s">
        <v>16</v>
      </c>
      <c r="F279" s="22" t="s">
        <v>98</v>
      </c>
      <c r="G279" s="22" t="s">
        <v>69</v>
      </c>
      <c r="H279" s="22" t="s">
        <v>29</v>
      </c>
      <c r="I279" s="22" t="s">
        <v>30</v>
      </c>
      <c r="J279" s="22" t="s">
        <v>61</v>
      </c>
      <c r="K279" s="22" t="s">
        <v>62</v>
      </c>
      <c r="L279" s="22" t="s">
        <v>23</v>
      </c>
      <c r="M279" s="22" t="s">
        <v>66</v>
      </c>
      <c r="N279" s="22">
        <v>35</v>
      </c>
      <c r="O279" s="26">
        <v>12490</v>
      </c>
      <c r="P279" s="22">
        <v>0.08</v>
      </c>
      <c r="Q279" s="30">
        <v>7900</v>
      </c>
      <c r="R279" s="33">
        <f>Table1_1[[#This Row],[Units Sold]]*Table1_1[[#This Row],[Unit Price]]*1-Table1_1[[#This Row],[Discount]]</f>
        <v>437149.92</v>
      </c>
      <c r="S279" s="33">
        <f>Table1_1[[#This Row],[Units Sold]]*Table1_1[[#This Row],[Unit Cost]]</f>
        <v>276500</v>
      </c>
      <c r="T279" s="33">
        <f>Table1_1[[#This Row],[Sales Amount]]-S279</f>
        <v>160649.91999999998</v>
      </c>
      <c r="U279" s="32">
        <f>IFERROR(Table1_1[[#This Row],[Profit/loss]]/Table1_1[[#This Row],[Sales Amount]],0)</f>
        <v>0.36749387944529416</v>
      </c>
    </row>
    <row r="280" spans="1:21" ht="18" x14ac:dyDescent="0.35">
      <c r="A280" s="21" t="s">
        <v>387</v>
      </c>
      <c r="B280" s="36">
        <v>45438</v>
      </c>
      <c r="C280" s="22">
        <f>YEAR(Table1_1[[#This Row],[Order Date]])</f>
        <v>2024</v>
      </c>
      <c r="D280" s="22" t="str">
        <f>TEXT(Table1_1[[#This Row],[Order Date]],"MMMM")</f>
        <v>May</v>
      </c>
      <c r="E280" s="22" t="s">
        <v>36</v>
      </c>
      <c r="F280" s="22" t="s">
        <v>37</v>
      </c>
      <c r="G280" s="22" t="s">
        <v>105</v>
      </c>
      <c r="H280" s="22" t="s">
        <v>39</v>
      </c>
      <c r="I280" s="22" t="s">
        <v>40</v>
      </c>
      <c r="J280" s="22" t="s">
        <v>76</v>
      </c>
      <c r="K280" s="22" t="s">
        <v>113</v>
      </c>
      <c r="L280" s="22" t="s">
        <v>57</v>
      </c>
      <c r="M280" s="22" t="s">
        <v>24</v>
      </c>
      <c r="N280" s="22">
        <v>4</v>
      </c>
      <c r="O280" s="26">
        <v>22999</v>
      </c>
      <c r="P280" s="22">
        <v>0.1</v>
      </c>
      <c r="Q280" s="30">
        <v>15100</v>
      </c>
      <c r="R280" s="33">
        <f>Table1_1[[#This Row],[Units Sold]]*Table1_1[[#This Row],[Unit Price]]*1-Table1_1[[#This Row],[Discount]]</f>
        <v>91995.9</v>
      </c>
      <c r="S280" s="33">
        <f>Table1_1[[#This Row],[Units Sold]]*Table1_1[[#This Row],[Unit Cost]]</f>
        <v>60400</v>
      </c>
      <c r="T280" s="33">
        <f>Table1_1[[#This Row],[Sales Amount]]-S280</f>
        <v>31595.899999999994</v>
      </c>
      <c r="U280" s="32">
        <f>IFERROR(Table1_1[[#This Row],[Profit/loss]]/Table1_1[[#This Row],[Sales Amount]],0)</f>
        <v>0.34344900153158997</v>
      </c>
    </row>
    <row r="281" spans="1:21" ht="18" x14ac:dyDescent="0.35">
      <c r="A281" s="21" t="s">
        <v>388</v>
      </c>
      <c r="B281" s="36">
        <v>45438</v>
      </c>
      <c r="C281" s="22">
        <f>YEAR(Table1_1[[#This Row],[Order Date]])</f>
        <v>2024</v>
      </c>
      <c r="D281" s="22" t="str">
        <f>TEXT(Table1_1[[#This Row],[Order Date]],"MMMM")</f>
        <v>May</v>
      </c>
      <c r="E281" s="22" t="s">
        <v>48</v>
      </c>
      <c r="F281" s="22" t="s">
        <v>49</v>
      </c>
      <c r="G281" s="22" t="s">
        <v>50</v>
      </c>
      <c r="H281" s="22" t="s">
        <v>29</v>
      </c>
      <c r="I281" s="22" t="s">
        <v>40</v>
      </c>
      <c r="J281" s="22" t="s">
        <v>76</v>
      </c>
      <c r="K281" s="22" t="s">
        <v>1626</v>
      </c>
      <c r="L281" s="22" t="s">
        <v>33</v>
      </c>
      <c r="M281" s="22" t="s">
        <v>24</v>
      </c>
      <c r="N281" s="22">
        <v>26</v>
      </c>
      <c r="O281" s="26">
        <v>25999</v>
      </c>
      <c r="P281" s="22">
        <v>0.15</v>
      </c>
      <c r="Q281" s="30">
        <v>17800</v>
      </c>
      <c r="R281" s="33">
        <f>Table1_1[[#This Row],[Units Sold]]*Table1_1[[#This Row],[Unit Price]]*1-Table1_1[[#This Row],[Discount]]</f>
        <v>675973.85</v>
      </c>
      <c r="S281" s="33">
        <f>Table1_1[[#This Row],[Units Sold]]*Table1_1[[#This Row],[Unit Cost]]</f>
        <v>462800</v>
      </c>
      <c r="T281" s="33">
        <f>Table1_1[[#This Row],[Sales Amount]]-S281</f>
        <v>213173.84999999998</v>
      </c>
      <c r="U281" s="32">
        <f>IFERROR(Table1_1[[#This Row],[Profit/loss]]/Table1_1[[#This Row],[Sales Amount]],0)</f>
        <v>0.31535813108746735</v>
      </c>
    </row>
    <row r="282" spans="1:21" ht="18" x14ac:dyDescent="0.35">
      <c r="A282" s="21" t="s">
        <v>389</v>
      </c>
      <c r="B282" s="36">
        <v>45438</v>
      </c>
      <c r="C282" s="22">
        <f>YEAR(Table1_1[[#This Row],[Order Date]])</f>
        <v>2024</v>
      </c>
      <c r="D282" s="22" t="str">
        <f>TEXT(Table1_1[[#This Row],[Order Date]],"MMMM")</f>
        <v>May</v>
      </c>
      <c r="E282" s="22" t="s">
        <v>82</v>
      </c>
      <c r="F282" s="22" t="s">
        <v>87</v>
      </c>
      <c r="G282" s="22" t="s">
        <v>75</v>
      </c>
      <c r="H282" s="22" t="s">
        <v>39</v>
      </c>
      <c r="I282" s="22" t="s">
        <v>20</v>
      </c>
      <c r="J282" s="22" t="s">
        <v>21</v>
      </c>
      <c r="K282" s="22" t="s">
        <v>115</v>
      </c>
      <c r="L282" s="22" t="s">
        <v>57</v>
      </c>
      <c r="M282" s="22" t="s">
        <v>34</v>
      </c>
      <c r="N282" s="22">
        <v>26</v>
      </c>
      <c r="O282" s="26">
        <v>6499</v>
      </c>
      <c r="P282" s="22">
        <v>0.1</v>
      </c>
      <c r="Q282" s="30">
        <v>4210</v>
      </c>
      <c r="R282" s="33">
        <f>Table1_1[[#This Row],[Units Sold]]*Table1_1[[#This Row],[Unit Price]]*1-Table1_1[[#This Row],[Discount]]</f>
        <v>168973.9</v>
      </c>
      <c r="S282" s="33">
        <f>Table1_1[[#This Row],[Units Sold]]*Table1_1[[#This Row],[Unit Cost]]</f>
        <v>109460</v>
      </c>
      <c r="T282" s="33">
        <f>Table1_1[[#This Row],[Sales Amount]]-S282</f>
        <v>59513.899999999994</v>
      </c>
      <c r="U282" s="32">
        <f>IFERROR(Table1_1[[#This Row],[Profit/loss]]/Table1_1[[#This Row],[Sales Amount]],0)</f>
        <v>0.35220764863686044</v>
      </c>
    </row>
    <row r="283" spans="1:21" ht="18" x14ac:dyDescent="0.35">
      <c r="A283" s="21" t="s">
        <v>390</v>
      </c>
      <c r="B283" s="36">
        <v>45439</v>
      </c>
      <c r="C283" s="22">
        <f>YEAR(Table1_1[[#This Row],[Order Date]])</f>
        <v>2024</v>
      </c>
      <c r="D283" s="22" t="str">
        <f>TEXT(Table1_1[[#This Row],[Order Date]],"MMMM")</f>
        <v>May</v>
      </c>
      <c r="E283" s="22" t="s">
        <v>16</v>
      </c>
      <c r="F283" s="22" t="s">
        <v>111</v>
      </c>
      <c r="G283" s="22" t="s">
        <v>50</v>
      </c>
      <c r="H283" s="22" t="s">
        <v>19</v>
      </c>
      <c r="I283" s="22" t="s">
        <v>54</v>
      </c>
      <c r="J283" s="22" t="s">
        <v>55</v>
      </c>
      <c r="K283" s="22" t="s">
        <v>56</v>
      </c>
      <c r="L283" s="22" t="s">
        <v>23</v>
      </c>
      <c r="M283" s="22" t="s">
        <v>24</v>
      </c>
      <c r="N283" s="22">
        <v>15</v>
      </c>
      <c r="O283" s="26">
        <v>7299</v>
      </c>
      <c r="P283" s="22">
        <v>0.1</v>
      </c>
      <c r="Q283" s="30">
        <v>5010</v>
      </c>
      <c r="R283" s="33">
        <f>Table1_1[[#This Row],[Units Sold]]*Table1_1[[#This Row],[Unit Price]]*1-Table1_1[[#This Row],[Discount]]</f>
        <v>109484.9</v>
      </c>
      <c r="S283" s="33">
        <f>Table1_1[[#This Row],[Units Sold]]*Table1_1[[#This Row],[Unit Cost]]</f>
        <v>75150</v>
      </c>
      <c r="T283" s="33">
        <f>Table1_1[[#This Row],[Sales Amount]]-S283</f>
        <v>34334.899999999994</v>
      </c>
      <c r="U283" s="32">
        <f>IFERROR(Table1_1[[#This Row],[Profit/loss]]/Table1_1[[#This Row],[Sales Amount]],0)</f>
        <v>0.31360397643876003</v>
      </c>
    </row>
    <row r="284" spans="1:21" ht="18" x14ac:dyDescent="0.35">
      <c r="A284" s="21" t="s">
        <v>391</v>
      </c>
      <c r="B284" s="36">
        <v>45439</v>
      </c>
      <c r="C284" s="22">
        <f>YEAR(Table1_1[[#This Row],[Order Date]])</f>
        <v>2024</v>
      </c>
      <c r="D284" s="22" t="str">
        <f>TEXT(Table1_1[[#This Row],[Order Date]],"MMMM")</f>
        <v>May</v>
      </c>
      <c r="E284" s="22" t="s">
        <v>82</v>
      </c>
      <c r="F284" s="22" t="s">
        <v>83</v>
      </c>
      <c r="G284" s="22" t="s">
        <v>60</v>
      </c>
      <c r="H284" s="22" t="s">
        <v>39</v>
      </c>
      <c r="I284" s="22" t="s">
        <v>40</v>
      </c>
      <c r="J284" s="22" t="s">
        <v>41</v>
      </c>
      <c r="K284" s="22" t="s">
        <v>1624</v>
      </c>
      <c r="L284" s="22" t="s">
        <v>33</v>
      </c>
      <c r="M284" s="22" t="s">
        <v>24</v>
      </c>
      <c r="N284" s="22">
        <v>40</v>
      </c>
      <c r="O284" s="26">
        <v>48990</v>
      </c>
      <c r="P284" s="22">
        <v>0.08</v>
      </c>
      <c r="Q284" s="30">
        <v>30100</v>
      </c>
      <c r="R284" s="33">
        <f>Table1_1[[#This Row],[Units Sold]]*Table1_1[[#This Row],[Unit Price]]*1-Table1_1[[#This Row],[Discount]]</f>
        <v>1959599.92</v>
      </c>
      <c r="S284" s="33">
        <f>Table1_1[[#This Row],[Units Sold]]*Table1_1[[#This Row],[Unit Cost]]</f>
        <v>1204000</v>
      </c>
      <c r="T284" s="33">
        <f>Table1_1[[#This Row],[Sales Amount]]-S284</f>
        <v>755599.91999999993</v>
      </c>
      <c r="U284" s="32">
        <f>IFERROR(Table1_1[[#This Row],[Profit/loss]]/Table1_1[[#This Row],[Sales Amount]],0)</f>
        <v>0.38558887060987423</v>
      </c>
    </row>
    <row r="285" spans="1:21" ht="18" x14ac:dyDescent="0.35">
      <c r="A285" s="21" t="s">
        <v>392</v>
      </c>
      <c r="B285" s="36">
        <v>45440</v>
      </c>
      <c r="C285" s="22">
        <f>YEAR(Table1_1[[#This Row],[Order Date]])</f>
        <v>2024</v>
      </c>
      <c r="D285" s="22" t="str">
        <f>TEXT(Table1_1[[#This Row],[Order Date]],"MMMM")</f>
        <v>May</v>
      </c>
      <c r="E285" s="22" t="s">
        <v>48</v>
      </c>
      <c r="F285" s="22" t="s">
        <v>136</v>
      </c>
      <c r="G285" s="22" t="s">
        <v>75</v>
      </c>
      <c r="H285" s="22" t="s">
        <v>19</v>
      </c>
      <c r="I285" s="22" t="s">
        <v>20</v>
      </c>
      <c r="J285" s="22" t="s">
        <v>21</v>
      </c>
      <c r="K285" s="22" t="s">
        <v>22</v>
      </c>
      <c r="L285" s="22" t="s">
        <v>33</v>
      </c>
      <c r="M285" s="22" t="s">
        <v>24</v>
      </c>
      <c r="N285" s="22">
        <v>9</v>
      </c>
      <c r="O285" s="26">
        <v>4499</v>
      </c>
      <c r="P285" s="22">
        <v>0.15</v>
      </c>
      <c r="Q285" s="30">
        <v>2910</v>
      </c>
      <c r="R285" s="33">
        <f>Table1_1[[#This Row],[Units Sold]]*Table1_1[[#This Row],[Unit Price]]*1-Table1_1[[#This Row],[Discount]]</f>
        <v>40490.85</v>
      </c>
      <c r="S285" s="33">
        <f>Table1_1[[#This Row],[Units Sold]]*Table1_1[[#This Row],[Unit Cost]]</f>
        <v>26190</v>
      </c>
      <c r="T285" s="33">
        <f>Table1_1[[#This Row],[Sales Amount]]-S285</f>
        <v>14300.849999999999</v>
      </c>
      <c r="U285" s="32">
        <f>IFERROR(Table1_1[[#This Row],[Profit/loss]]/Table1_1[[#This Row],[Sales Amount]],0)</f>
        <v>0.35318720155294342</v>
      </c>
    </row>
    <row r="286" spans="1:21" ht="18" x14ac:dyDescent="0.35">
      <c r="A286" s="21" t="s">
        <v>393</v>
      </c>
      <c r="B286" s="36">
        <v>45440</v>
      </c>
      <c r="C286" s="22">
        <f>YEAR(Table1_1[[#This Row],[Order Date]])</f>
        <v>2024</v>
      </c>
      <c r="D286" s="22" t="str">
        <f>TEXT(Table1_1[[#This Row],[Order Date]],"MMMM")</f>
        <v>May</v>
      </c>
      <c r="E286" s="22" t="s">
        <v>26</v>
      </c>
      <c r="F286" s="22" t="s">
        <v>53</v>
      </c>
      <c r="G286" s="22" t="s">
        <v>50</v>
      </c>
      <c r="H286" s="22" t="s">
        <v>29</v>
      </c>
      <c r="I286" s="22" t="s">
        <v>30</v>
      </c>
      <c r="J286" s="22" t="s">
        <v>61</v>
      </c>
      <c r="K286" s="22" t="s">
        <v>186</v>
      </c>
      <c r="L286" s="22" t="s">
        <v>33</v>
      </c>
      <c r="M286" s="22" t="s">
        <v>34</v>
      </c>
      <c r="N286" s="22">
        <v>10</v>
      </c>
      <c r="O286" s="26">
        <v>6999</v>
      </c>
      <c r="P286" s="22">
        <v>0.05</v>
      </c>
      <c r="Q286" s="30">
        <v>4320</v>
      </c>
      <c r="R286" s="33">
        <f>Table1_1[[#This Row],[Units Sold]]*Table1_1[[#This Row],[Unit Price]]*1-Table1_1[[#This Row],[Discount]]</f>
        <v>69989.95</v>
      </c>
      <c r="S286" s="33">
        <f>Table1_1[[#This Row],[Units Sold]]*Table1_1[[#This Row],[Unit Cost]]</f>
        <v>43200</v>
      </c>
      <c r="T286" s="33">
        <f>Table1_1[[#This Row],[Sales Amount]]-S286</f>
        <v>26789.949999999997</v>
      </c>
      <c r="U286" s="32">
        <f>IFERROR(Table1_1[[#This Row],[Profit/loss]]/Table1_1[[#This Row],[Sales Amount]],0)</f>
        <v>0.38276852605266898</v>
      </c>
    </row>
    <row r="287" spans="1:21" ht="18" x14ac:dyDescent="0.35">
      <c r="A287" s="21" t="s">
        <v>394</v>
      </c>
      <c r="B287" s="36">
        <v>45441</v>
      </c>
      <c r="C287" s="22">
        <f>YEAR(Table1_1[[#This Row],[Order Date]])</f>
        <v>2024</v>
      </c>
      <c r="D287" s="22" t="str">
        <f>TEXT(Table1_1[[#This Row],[Order Date]],"MMMM")</f>
        <v>May</v>
      </c>
      <c r="E287" s="22" t="s">
        <v>48</v>
      </c>
      <c r="F287" s="22" t="s">
        <v>49</v>
      </c>
      <c r="G287" s="22" t="s">
        <v>18</v>
      </c>
      <c r="H287" s="22" t="s">
        <v>29</v>
      </c>
      <c r="I287" s="22" t="s">
        <v>70</v>
      </c>
      <c r="J287" s="22" t="s">
        <v>71</v>
      </c>
      <c r="K287" s="22" t="s">
        <v>80</v>
      </c>
      <c r="L287" s="22" t="s">
        <v>23</v>
      </c>
      <c r="M287" s="22" t="s">
        <v>24</v>
      </c>
      <c r="N287" s="22">
        <v>29</v>
      </c>
      <c r="O287" s="26">
        <v>1299</v>
      </c>
      <c r="P287" s="22">
        <v>0.15</v>
      </c>
      <c r="Q287" s="30">
        <v>720</v>
      </c>
      <c r="R287" s="33">
        <f>Table1_1[[#This Row],[Units Sold]]*Table1_1[[#This Row],[Unit Price]]*1-Table1_1[[#This Row],[Discount]]</f>
        <v>37670.85</v>
      </c>
      <c r="S287" s="33">
        <f>Table1_1[[#This Row],[Units Sold]]*Table1_1[[#This Row],[Unit Cost]]</f>
        <v>20880</v>
      </c>
      <c r="T287" s="33">
        <f>Table1_1[[#This Row],[Sales Amount]]-S287</f>
        <v>16790.849999999999</v>
      </c>
      <c r="U287" s="32">
        <f>IFERROR(Table1_1[[#This Row],[Profit/loss]]/Table1_1[[#This Row],[Sales Amount]],0)</f>
        <v>0.44572527564416514</v>
      </c>
    </row>
    <row r="288" spans="1:21" ht="18" x14ac:dyDescent="0.35">
      <c r="A288" s="21" t="s">
        <v>395</v>
      </c>
      <c r="B288" s="36">
        <v>45443</v>
      </c>
      <c r="C288" s="22">
        <f>YEAR(Table1_1[[#This Row],[Order Date]])</f>
        <v>2024</v>
      </c>
      <c r="D288" s="22" t="str">
        <f>TEXT(Table1_1[[#This Row],[Order Date]],"MMMM")</f>
        <v>May</v>
      </c>
      <c r="E288" s="22" t="s">
        <v>48</v>
      </c>
      <c r="F288" s="22" t="s">
        <v>49</v>
      </c>
      <c r="G288" s="22" t="s">
        <v>101</v>
      </c>
      <c r="H288" s="22" t="s">
        <v>29</v>
      </c>
      <c r="I288" s="22" t="s">
        <v>40</v>
      </c>
      <c r="J288" s="22" t="s">
        <v>76</v>
      </c>
      <c r="K288" s="22" t="s">
        <v>113</v>
      </c>
      <c r="L288" s="22" t="s">
        <v>57</v>
      </c>
      <c r="M288" s="22" t="s">
        <v>24</v>
      </c>
      <c r="N288" s="22">
        <v>22</v>
      </c>
      <c r="O288" s="26">
        <v>22999</v>
      </c>
      <c r="P288" s="22">
        <v>0.08</v>
      </c>
      <c r="Q288" s="30">
        <v>15100</v>
      </c>
      <c r="R288" s="33">
        <f>Table1_1[[#This Row],[Units Sold]]*Table1_1[[#This Row],[Unit Price]]*1-Table1_1[[#This Row],[Discount]]</f>
        <v>505977.92</v>
      </c>
      <c r="S288" s="33">
        <f>Table1_1[[#This Row],[Units Sold]]*Table1_1[[#This Row],[Unit Cost]]</f>
        <v>332200</v>
      </c>
      <c r="T288" s="33">
        <f>Table1_1[[#This Row],[Sales Amount]]-S288</f>
        <v>173777.91999999998</v>
      </c>
      <c r="U288" s="32">
        <f>IFERROR(Table1_1[[#This Row],[Profit/loss]]/Table1_1[[#This Row],[Sales Amount]],0)</f>
        <v>0.34344961139806257</v>
      </c>
    </row>
    <row r="289" spans="1:21" ht="18" x14ac:dyDescent="0.35">
      <c r="A289" s="21" t="s">
        <v>396</v>
      </c>
      <c r="B289" s="36">
        <v>45445</v>
      </c>
      <c r="C289" s="22">
        <f>YEAR(Table1_1[[#This Row],[Order Date]])</f>
        <v>2024</v>
      </c>
      <c r="D289" s="22" t="str">
        <f>TEXT(Table1_1[[#This Row],[Order Date]],"MMMM")</f>
        <v>June</v>
      </c>
      <c r="E289" s="22" t="s">
        <v>26</v>
      </c>
      <c r="F289" s="22" t="s">
        <v>53</v>
      </c>
      <c r="G289" s="22" t="s">
        <v>28</v>
      </c>
      <c r="H289" s="22" t="s">
        <v>29</v>
      </c>
      <c r="I289" s="22" t="s">
        <v>30</v>
      </c>
      <c r="J289" s="22" t="s">
        <v>31</v>
      </c>
      <c r="K289" s="22" t="s">
        <v>106</v>
      </c>
      <c r="L289" s="22" t="s">
        <v>33</v>
      </c>
      <c r="M289" s="22" t="s">
        <v>78</v>
      </c>
      <c r="N289" s="22">
        <v>35</v>
      </c>
      <c r="O289" s="26">
        <v>52990</v>
      </c>
      <c r="P289" s="22">
        <v>0.1</v>
      </c>
      <c r="Q289" s="30">
        <v>35100</v>
      </c>
      <c r="R289" s="33">
        <f>Table1_1[[#This Row],[Units Sold]]*Table1_1[[#This Row],[Unit Price]]*1-Table1_1[[#This Row],[Discount]]</f>
        <v>1854649.9</v>
      </c>
      <c r="S289" s="33">
        <f>Table1_1[[#This Row],[Units Sold]]*Table1_1[[#This Row],[Unit Cost]]</f>
        <v>1228500</v>
      </c>
      <c r="T289" s="33">
        <f>Table1_1[[#This Row],[Sales Amount]]-S289</f>
        <v>626149.89999999991</v>
      </c>
      <c r="U289" s="32">
        <f>IFERROR(Table1_1[[#This Row],[Profit/loss]]/Table1_1[[#This Row],[Sales Amount]],0)</f>
        <v>0.33761083426041755</v>
      </c>
    </row>
    <row r="290" spans="1:21" ht="18" x14ac:dyDescent="0.35">
      <c r="A290" s="21" t="s">
        <v>397</v>
      </c>
      <c r="B290" s="36">
        <v>45446</v>
      </c>
      <c r="C290" s="22">
        <f>YEAR(Table1_1[[#This Row],[Order Date]])</f>
        <v>2024</v>
      </c>
      <c r="D290" s="22" t="str">
        <f>TEXT(Table1_1[[#This Row],[Order Date]],"MMMM")</f>
        <v>June</v>
      </c>
      <c r="E290" s="22" t="s">
        <v>36</v>
      </c>
      <c r="F290" s="22" t="s">
        <v>59</v>
      </c>
      <c r="G290" s="22" t="s">
        <v>18</v>
      </c>
      <c r="H290" s="22" t="s">
        <v>39</v>
      </c>
      <c r="I290" s="22" t="s">
        <v>20</v>
      </c>
      <c r="J290" s="22" t="s">
        <v>21</v>
      </c>
      <c r="K290" s="22" t="s">
        <v>51</v>
      </c>
      <c r="L290" s="22" t="s">
        <v>23</v>
      </c>
      <c r="M290" s="22" t="s">
        <v>78</v>
      </c>
      <c r="N290" s="22">
        <v>19</v>
      </c>
      <c r="O290" s="26">
        <v>5999</v>
      </c>
      <c r="P290" s="22">
        <v>0.18</v>
      </c>
      <c r="Q290" s="30">
        <v>3890</v>
      </c>
      <c r="R290" s="33">
        <f>Table1_1[[#This Row],[Units Sold]]*Table1_1[[#This Row],[Unit Price]]*1-Table1_1[[#This Row],[Discount]]</f>
        <v>113980.82</v>
      </c>
      <c r="S290" s="33">
        <f>Table1_1[[#This Row],[Units Sold]]*Table1_1[[#This Row],[Unit Cost]]</f>
        <v>73910</v>
      </c>
      <c r="T290" s="33">
        <f>Table1_1[[#This Row],[Sales Amount]]-S290</f>
        <v>40070.820000000007</v>
      </c>
      <c r="U290" s="32">
        <f>IFERROR(Table1_1[[#This Row],[Profit/loss]]/Table1_1[[#This Row],[Sales Amount]],0)</f>
        <v>0.35155756907170876</v>
      </c>
    </row>
    <row r="291" spans="1:21" ht="18" x14ac:dyDescent="0.35">
      <c r="A291" s="21" t="s">
        <v>398</v>
      </c>
      <c r="B291" s="36">
        <v>45446</v>
      </c>
      <c r="C291" s="22">
        <f>YEAR(Table1_1[[#This Row],[Order Date]])</f>
        <v>2024</v>
      </c>
      <c r="D291" s="22" t="str">
        <f>TEXT(Table1_1[[#This Row],[Order Date]],"MMMM")</f>
        <v>June</v>
      </c>
      <c r="E291" s="22" t="s">
        <v>36</v>
      </c>
      <c r="F291" s="22" t="s">
        <v>121</v>
      </c>
      <c r="G291" s="22" t="s">
        <v>38</v>
      </c>
      <c r="H291" s="22" t="s">
        <v>29</v>
      </c>
      <c r="I291" s="22" t="s">
        <v>20</v>
      </c>
      <c r="J291" s="22" t="s">
        <v>21</v>
      </c>
      <c r="K291" s="22" t="s">
        <v>51</v>
      </c>
      <c r="L291" s="22" t="s">
        <v>23</v>
      </c>
      <c r="M291" s="22" t="s">
        <v>66</v>
      </c>
      <c r="N291" s="22">
        <v>5</v>
      </c>
      <c r="O291" s="26">
        <v>5999</v>
      </c>
      <c r="P291" s="22">
        <v>0.2</v>
      </c>
      <c r="Q291" s="30">
        <v>3890</v>
      </c>
      <c r="R291" s="33">
        <f>Table1_1[[#This Row],[Units Sold]]*Table1_1[[#This Row],[Unit Price]]*1-Table1_1[[#This Row],[Discount]]</f>
        <v>29994.799999999999</v>
      </c>
      <c r="S291" s="33">
        <f>Table1_1[[#This Row],[Units Sold]]*Table1_1[[#This Row],[Unit Cost]]</f>
        <v>19450</v>
      </c>
      <c r="T291" s="33">
        <f>Table1_1[[#This Row],[Sales Amount]]-S291</f>
        <v>10544.8</v>
      </c>
      <c r="U291" s="32">
        <f>IFERROR(Table1_1[[#This Row],[Profit/loss]]/Table1_1[[#This Row],[Sales Amount]],0)</f>
        <v>0.35155426940669715</v>
      </c>
    </row>
    <row r="292" spans="1:21" ht="18" x14ac:dyDescent="0.35">
      <c r="A292" s="21" t="s">
        <v>399</v>
      </c>
      <c r="B292" s="36">
        <v>45446</v>
      </c>
      <c r="C292" s="22">
        <f>YEAR(Table1_1[[#This Row],[Order Date]])</f>
        <v>2024</v>
      </c>
      <c r="D292" s="22" t="str">
        <f>TEXT(Table1_1[[#This Row],[Order Date]],"MMMM")</f>
        <v>June</v>
      </c>
      <c r="E292" s="22" t="s">
        <v>48</v>
      </c>
      <c r="F292" s="22" t="s">
        <v>68</v>
      </c>
      <c r="G292" s="22" t="s">
        <v>101</v>
      </c>
      <c r="H292" s="22" t="s">
        <v>29</v>
      </c>
      <c r="I292" s="22" t="s">
        <v>70</v>
      </c>
      <c r="J292" s="22" t="s">
        <v>71</v>
      </c>
      <c r="K292" s="22" t="s">
        <v>72</v>
      </c>
      <c r="L292" s="22" t="s">
        <v>33</v>
      </c>
      <c r="M292" s="22" t="s">
        <v>24</v>
      </c>
      <c r="N292" s="22">
        <v>5</v>
      </c>
      <c r="O292" s="26">
        <v>3499</v>
      </c>
      <c r="P292" s="22">
        <v>0.18</v>
      </c>
      <c r="Q292" s="30">
        <v>2190</v>
      </c>
      <c r="R292" s="33">
        <f>Table1_1[[#This Row],[Units Sold]]*Table1_1[[#This Row],[Unit Price]]*1-Table1_1[[#This Row],[Discount]]</f>
        <v>17494.82</v>
      </c>
      <c r="S292" s="33">
        <f>Table1_1[[#This Row],[Units Sold]]*Table1_1[[#This Row],[Unit Cost]]</f>
        <v>10950</v>
      </c>
      <c r="T292" s="33">
        <f>Table1_1[[#This Row],[Sales Amount]]-S292</f>
        <v>6544.82</v>
      </c>
      <c r="U292" s="32">
        <f>IFERROR(Table1_1[[#This Row],[Profit/loss]]/Table1_1[[#This Row],[Sales Amount]],0)</f>
        <v>0.3741004480183277</v>
      </c>
    </row>
    <row r="293" spans="1:21" ht="18" x14ac:dyDescent="0.35">
      <c r="A293" s="21" t="s">
        <v>400</v>
      </c>
      <c r="B293" s="36">
        <v>45447</v>
      </c>
      <c r="C293" s="22">
        <f>YEAR(Table1_1[[#This Row],[Order Date]])</f>
        <v>2024</v>
      </c>
      <c r="D293" s="22" t="str">
        <f>TEXT(Table1_1[[#This Row],[Order Date]],"MMMM")</f>
        <v>June</v>
      </c>
      <c r="E293" s="22" t="s">
        <v>48</v>
      </c>
      <c r="F293" s="22" t="s">
        <v>49</v>
      </c>
      <c r="G293" s="22" t="s">
        <v>75</v>
      </c>
      <c r="H293" s="22" t="s">
        <v>29</v>
      </c>
      <c r="I293" s="22" t="s">
        <v>20</v>
      </c>
      <c r="J293" s="22" t="s">
        <v>21</v>
      </c>
      <c r="K293" s="22" t="s">
        <v>115</v>
      </c>
      <c r="L293" s="22" t="s">
        <v>57</v>
      </c>
      <c r="M293" s="22" t="s">
        <v>78</v>
      </c>
      <c r="N293" s="22">
        <v>21</v>
      </c>
      <c r="O293" s="26">
        <v>6499</v>
      </c>
      <c r="P293" s="22">
        <v>0.08</v>
      </c>
      <c r="Q293" s="30">
        <v>4210</v>
      </c>
      <c r="R293" s="33">
        <f>Table1_1[[#This Row],[Units Sold]]*Table1_1[[#This Row],[Unit Price]]*1-Table1_1[[#This Row],[Discount]]</f>
        <v>136478.92000000001</v>
      </c>
      <c r="S293" s="33">
        <f>Table1_1[[#This Row],[Units Sold]]*Table1_1[[#This Row],[Unit Cost]]</f>
        <v>88410</v>
      </c>
      <c r="T293" s="33">
        <f>Table1_1[[#This Row],[Sales Amount]]-S293</f>
        <v>48068.920000000013</v>
      </c>
      <c r="U293" s="32">
        <f>IFERROR(Table1_1[[#This Row],[Profit/loss]]/Table1_1[[#This Row],[Sales Amount]],0)</f>
        <v>0.35220765228798712</v>
      </c>
    </row>
    <row r="294" spans="1:21" ht="18" x14ac:dyDescent="0.35">
      <c r="A294" s="21" t="s">
        <v>401</v>
      </c>
      <c r="B294" s="36">
        <v>45448</v>
      </c>
      <c r="C294" s="22">
        <f>YEAR(Table1_1[[#This Row],[Order Date]])</f>
        <v>2024</v>
      </c>
      <c r="D294" s="22" t="str">
        <f>TEXT(Table1_1[[#This Row],[Order Date]],"MMMM")</f>
        <v>June</v>
      </c>
      <c r="E294" s="22" t="s">
        <v>26</v>
      </c>
      <c r="F294" s="22" t="s">
        <v>53</v>
      </c>
      <c r="G294" s="22" t="s">
        <v>60</v>
      </c>
      <c r="H294" s="22" t="s">
        <v>19</v>
      </c>
      <c r="I294" s="22" t="s">
        <v>30</v>
      </c>
      <c r="J294" s="22" t="s">
        <v>61</v>
      </c>
      <c r="K294" s="22" t="s">
        <v>62</v>
      </c>
      <c r="L294" s="22" t="s">
        <v>33</v>
      </c>
      <c r="M294" s="22" t="s">
        <v>24</v>
      </c>
      <c r="N294" s="22">
        <v>31</v>
      </c>
      <c r="O294" s="26">
        <v>12490</v>
      </c>
      <c r="P294" s="22">
        <v>0.18</v>
      </c>
      <c r="Q294" s="30">
        <v>7900</v>
      </c>
      <c r="R294" s="33">
        <f>Table1_1[[#This Row],[Units Sold]]*Table1_1[[#This Row],[Unit Price]]*1-Table1_1[[#This Row],[Discount]]</f>
        <v>387189.82</v>
      </c>
      <c r="S294" s="33">
        <f>Table1_1[[#This Row],[Units Sold]]*Table1_1[[#This Row],[Unit Cost]]</f>
        <v>244900</v>
      </c>
      <c r="T294" s="33">
        <f>Table1_1[[#This Row],[Sales Amount]]-S294</f>
        <v>142289.82</v>
      </c>
      <c r="U294" s="32">
        <f>IFERROR(Table1_1[[#This Row],[Profit/loss]]/Table1_1[[#This Row],[Sales Amount]],0)</f>
        <v>0.36749370115154373</v>
      </c>
    </row>
    <row r="295" spans="1:21" ht="18" x14ac:dyDescent="0.35">
      <c r="A295" s="21" t="s">
        <v>402</v>
      </c>
      <c r="B295" s="36">
        <v>45448</v>
      </c>
      <c r="C295" s="22">
        <f>YEAR(Table1_1[[#This Row],[Order Date]])</f>
        <v>2024</v>
      </c>
      <c r="D295" s="22" t="str">
        <f>TEXT(Table1_1[[#This Row],[Order Date]],"MMMM")</f>
        <v>June</v>
      </c>
      <c r="E295" s="22" t="s">
        <v>16</v>
      </c>
      <c r="F295" s="22" t="s">
        <v>111</v>
      </c>
      <c r="G295" s="22" t="s">
        <v>28</v>
      </c>
      <c r="H295" s="22" t="s">
        <v>39</v>
      </c>
      <c r="I295" s="22" t="s">
        <v>70</v>
      </c>
      <c r="J295" s="22" t="s">
        <v>71</v>
      </c>
      <c r="K295" s="22" t="s">
        <v>72</v>
      </c>
      <c r="L295" s="22" t="s">
        <v>57</v>
      </c>
      <c r="M295" s="22" t="s">
        <v>78</v>
      </c>
      <c r="N295" s="22">
        <v>9</v>
      </c>
      <c r="O295" s="26">
        <v>3499</v>
      </c>
      <c r="P295" s="22">
        <v>0.2</v>
      </c>
      <c r="Q295" s="30">
        <v>2190</v>
      </c>
      <c r="R295" s="33">
        <f>Table1_1[[#This Row],[Units Sold]]*Table1_1[[#This Row],[Unit Price]]*1-Table1_1[[#This Row],[Discount]]</f>
        <v>31490.799999999999</v>
      </c>
      <c r="S295" s="33">
        <f>Table1_1[[#This Row],[Units Sold]]*Table1_1[[#This Row],[Unit Cost]]</f>
        <v>19710</v>
      </c>
      <c r="T295" s="33">
        <f>Table1_1[[#This Row],[Sales Amount]]-S295</f>
        <v>11780.8</v>
      </c>
      <c r="U295" s="32">
        <f>IFERROR(Table1_1[[#This Row],[Profit/loss]]/Table1_1[[#This Row],[Sales Amount]],0)</f>
        <v>0.37410291259669487</v>
      </c>
    </row>
    <row r="296" spans="1:21" ht="18" x14ac:dyDescent="0.35">
      <c r="A296" s="21" t="s">
        <v>403</v>
      </c>
      <c r="B296" s="36">
        <v>45450</v>
      </c>
      <c r="C296" s="22">
        <f>YEAR(Table1_1[[#This Row],[Order Date]])</f>
        <v>2024</v>
      </c>
      <c r="D296" s="22" t="str">
        <f>TEXT(Table1_1[[#This Row],[Order Date]],"MMMM")</f>
        <v>June</v>
      </c>
      <c r="E296" s="22" t="s">
        <v>36</v>
      </c>
      <c r="F296" s="22" t="s">
        <v>44</v>
      </c>
      <c r="G296" s="22" t="s">
        <v>101</v>
      </c>
      <c r="H296" s="22" t="s">
        <v>19</v>
      </c>
      <c r="I296" s="22" t="s">
        <v>70</v>
      </c>
      <c r="J296" s="22" t="s">
        <v>71</v>
      </c>
      <c r="K296" s="22" t="s">
        <v>72</v>
      </c>
      <c r="L296" s="22" t="s">
        <v>33</v>
      </c>
      <c r="M296" s="22" t="s">
        <v>78</v>
      </c>
      <c r="N296" s="22">
        <v>10</v>
      </c>
      <c r="O296" s="26">
        <v>3499</v>
      </c>
      <c r="P296" s="22">
        <v>0.1</v>
      </c>
      <c r="Q296" s="30">
        <v>2190</v>
      </c>
      <c r="R296" s="33">
        <f>Table1_1[[#This Row],[Units Sold]]*Table1_1[[#This Row],[Unit Price]]*1-Table1_1[[#This Row],[Discount]]</f>
        <v>34989.9</v>
      </c>
      <c r="S296" s="33">
        <f>Table1_1[[#This Row],[Units Sold]]*Table1_1[[#This Row],[Unit Cost]]</f>
        <v>21900</v>
      </c>
      <c r="T296" s="33">
        <f>Table1_1[[#This Row],[Sales Amount]]-S296</f>
        <v>13089.900000000001</v>
      </c>
      <c r="U296" s="32">
        <f>IFERROR(Table1_1[[#This Row],[Profit/loss]]/Table1_1[[#This Row],[Sales Amount]],0)</f>
        <v>0.37410509889996829</v>
      </c>
    </row>
    <row r="297" spans="1:21" ht="18" x14ac:dyDescent="0.35">
      <c r="A297" s="21" t="s">
        <v>404</v>
      </c>
      <c r="B297" s="36">
        <v>45451</v>
      </c>
      <c r="C297" s="22">
        <f>YEAR(Table1_1[[#This Row],[Order Date]])</f>
        <v>2024</v>
      </c>
      <c r="D297" s="22" t="str">
        <f>TEXT(Table1_1[[#This Row],[Order Date]],"MMMM")</f>
        <v>June</v>
      </c>
      <c r="E297" s="22" t="s">
        <v>48</v>
      </c>
      <c r="F297" s="22" t="s">
        <v>49</v>
      </c>
      <c r="G297" s="22" t="s">
        <v>60</v>
      </c>
      <c r="H297" s="22" t="s">
        <v>29</v>
      </c>
      <c r="I297" s="22" t="s">
        <v>70</v>
      </c>
      <c r="J297" s="22" t="s">
        <v>71</v>
      </c>
      <c r="K297" s="22" t="s">
        <v>72</v>
      </c>
      <c r="L297" s="22" t="s">
        <v>33</v>
      </c>
      <c r="M297" s="22" t="s">
        <v>34</v>
      </c>
      <c r="N297" s="22">
        <v>19</v>
      </c>
      <c r="O297" s="26">
        <v>3499</v>
      </c>
      <c r="P297" s="22">
        <v>0.2</v>
      </c>
      <c r="Q297" s="30">
        <v>2190</v>
      </c>
      <c r="R297" s="33">
        <f>Table1_1[[#This Row],[Units Sold]]*Table1_1[[#This Row],[Unit Price]]*1-Table1_1[[#This Row],[Discount]]</f>
        <v>66480.800000000003</v>
      </c>
      <c r="S297" s="33">
        <f>Table1_1[[#This Row],[Units Sold]]*Table1_1[[#This Row],[Unit Cost]]</f>
        <v>41610</v>
      </c>
      <c r="T297" s="33">
        <f>Table1_1[[#This Row],[Sales Amount]]-S297</f>
        <v>24870.800000000003</v>
      </c>
      <c r="U297" s="32">
        <f>IFERROR(Table1_1[[#This Row],[Profit/loss]]/Table1_1[[#This Row],[Sales Amount]],0)</f>
        <v>0.37410500475325209</v>
      </c>
    </row>
    <row r="298" spans="1:21" ht="18" x14ac:dyDescent="0.35">
      <c r="A298" s="21" t="s">
        <v>405</v>
      </c>
      <c r="B298" s="36">
        <v>45451</v>
      </c>
      <c r="C298" s="22">
        <f>YEAR(Table1_1[[#This Row],[Order Date]])</f>
        <v>2024</v>
      </c>
      <c r="D298" s="22" t="str">
        <f>TEXT(Table1_1[[#This Row],[Order Date]],"MMMM")</f>
        <v>June</v>
      </c>
      <c r="E298" s="22" t="s">
        <v>82</v>
      </c>
      <c r="F298" s="22" t="s">
        <v>183</v>
      </c>
      <c r="G298" s="22" t="s">
        <v>18</v>
      </c>
      <c r="H298" s="22" t="s">
        <v>19</v>
      </c>
      <c r="I298" s="22" t="s">
        <v>40</v>
      </c>
      <c r="J298" s="22" t="s">
        <v>64</v>
      </c>
      <c r="K298" s="22" t="s">
        <v>1627</v>
      </c>
      <c r="L298" s="22" t="s">
        <v>33</v>
      </c>
      <c r="M298" s="22" t="s">
        <v>34</v>
      </c>
      <c r="N298" s="22">
        <v>25</v>
      </c>
      <c r="O298" s="26">
        <v>4490</v>
      </c>
      <c r="P298" s="22">
        <v>0.18</v>
      </c>
      <c r="Q298" s="30">
        <v>2950</v>
      </c>
      <c r="R298" s="33">
        <f>Table1_1[[#This Row],[Units Sold]]*Table1_1[[#This Row],[Unit Price]]*1-Table1_1[[#This Row],[Discount]]</f>
        <v>112249.82</v>
      </c>
      <c r="S298" s="33">
        <f>Table1_1[[#This Row],[Units Sold]]*Table1_1[[#This Row],[Unit Cost]]</f>
        <v>73750</v>
      </c>
      <c r="T298" s="33">
        <f>Table1_1[[#This Row],[Sales Amount]]-S298</f>
        <v>38499.820000000007</v>
      </c>
      <c r="U298" s="32">
        <f>IFERROR(Table1_1[[#This Row],[Profit/loss]]/Table1_1[[#This Row],[Sales Amount]],0)</f>
        <v>0.3429833562316626</v>
      </c>
    </row>
    <row r="299" spans="1:21" ht="18" x14ac:dyDescent="0.35">
      <c r="A299" s="21" t="s">
        <v>406</v>
      </c>
      <c r="B299" s="36">
        <v>45451</v>
      </c>
      <c r="C299" s="22">
        <f>YEAR(Table1_1[[#This Row],[Order Date]])</f>
        <v>2024</v>
      </c>
      <c r="D299" s="22" t="str">
        <f>TEXT(Table1_1[[#This Row],[Order Date]],"MMMM")</f>
        <v>June</v>
      </c>
      <c r="E299" s="22" t="s">
        <v>16</v>
      </c>
      <c r="F299" s="22" t="s">
        <v>98</v>
      </c>
      <c r="G299" s="22" t="s">
        <v>84</v>
      </c>
      <c r="H299" s="22" t="s">
        <v>19</v>
      </c>
      <c r="I299" s="22" t="s">
        <v>20</v>
      </c>
      <c r="J299" s="22" t="s">
        <v>21</v>
      </c>
      <c r="K299" s="22" t="s">
        <v>51</v>
      </c>
      <c r="L299" s="22" t="s">
        <v>57</v>
      </c>
      <c r="M299" s="22" t="s">
        <v>34</v>
      </c>
      <c r="N299" s="22">
        <v>39</v>
      </c>
      <c r="O299" s="26">
        <v>5999</v>
      </c>
      <c r="P299" s="22">
        <v>0.18</v>
      </c>
      <c r="Q299" s="30">
        <v>3890</v>
      </c>
      <c r="R299" s="33">
        <f>Table1_1[[#This Row],[Units Sold]]*Table1_1[[#This Row],[Unit Price]]*1-Table1_1[[#This Row],[Discount]]</f>
        <v>233960.82</v>
      </c>
      <c r="S299" s="33">
        <f>Table1_1[[#This Row],[Units Sold]]*Table1_1[[#This Row],[Unit Cost]]</f>
        <v>151710</v>
      </c>
      <c r="T299" s="33">
        <f>Table1_1[[#This Row],[Sales Amount]]-S299</f>
        <v>82250.820000000007</v>
      </c>
      <c r="U299" s="32">
        <f>IFERROR(Table1_1[[#This Row],[Profit/loss]]/Table1_1[[#This Row],[Sales Amount]],0)</f>
        <v>0.35155809421423639</v>
      </c>
    </row>
    <row r="300" spans="1:21" ht="18" x14ac:dyDescent="0.35">
      <c r="A300" s="21" t="s">
        <v>407</v>
      </c>
      <c r="B300" s="36">
        <v>45452</v>
      </c>
      <c r="C300" s="22">
        <f>YEAR(Table1_1[[#This Row],[Order Date]])</f>
        <v>2024</v>
      </c>
      <c r="D300" s="22" t="str">
        <f>TEXT(Table1_1[[#This Row],[Order Date]],"MMMM")</f>
        <v>June</v>
      </c>
      <c r="E300" s="22" t="s">
        <v>26</v>
      </c>
      <c r="F300" s="22" t="s">
        <v>163</v>
      </c>
      <c r="G300" s="22" t="s">
        <v>69</v>
      </c>
      <c r="H300" s="22" t="s">
        <v>39</v>
      </c>
      <c r="I300" s="22" t="s">
        <v>70</v>
      </c>
      <c r="J300" s="22" t="s">
        <v>71</v>
      </c>
      <c r="K300" s="22" t="s">
        <v>72</v>
      </c>
      <c r="L300" s="22" t="s">
        <v>57</v>
      </c>
      <c r="M300" s="22" t="s">
        <v>78</v>
      </c>
      <c r="N300" s="22">
        <v>13</v>
      </c>
      <c r="O300" s="26">
        <v>3499</v>
      </c>
      <c r="P300" s="22">
        <v>0.12</v>
      </c>
      <c r="Q300" s="30">
        <v>2190</v>
      </c>
      <c r="R300" s="33">
        <f>Table1_1[[#This Row],[Units Sold]]*Table1_1[[#This Row],[Unit Price]]*1-Table1_1[[#This Row],[Discount]]</f>
        <v>45486.879999999997</v>
      </c>
      <c r="S300" s="33">
        <f>Table1_1[[#This Row],[Units Sold]]*Table1_1[[#This Row],[Unit Cost]]</f>
        <v>28470</v>
      </c>
      <c r="T300" s="33">
        <f>Table1_1[[#This Row],[Sales Amount]]-S300</f>
        <v>17016.879999999997</v>
      </c>
      <c r="U300" s="32">
        <f>IFERROR(Table1_1[[#This Row],[Profit/loss]]/Table1_1[[#This Row],[Sales Amount]],0)</f>
        <v>0.37410523649896404</v>
      </c>
    </row>
    <row r="301" spans="1:21" ht="18" x14ac:dyDescent="0.35">
      <c r="A301" s="21" t="s">
        <v>408</v>
      </c>
      <c r="B301" s="36">
        <v>45452</v>
      </c>
      <c r="C301" s="22">
        <f>YEAR(Table1_1[[#This Row],[Order Date]])</f>
        <v>2024</v>
      </c>
      <c r="D301" s="22" t="str">
        <f>TEXT(Table1_1[[#This Row],[Order Date]],"MMMM")</f>
        <v>June</v>
      </c>
      <c r="E301" s="22" t="s">
        <v>82</v>
      </c>
      <c r="F301" s="22" t="s">
        <v>83</v>
      </c>
      <c r="G301" s="22" t="s">
        <v>69</v>
      </c>
      <c r="H301" s="22" t="s">
        <v>39</v>
      </c>
      <c r="I301" s="22" t="s">
        <v>70</v>
      </c>
      <c r="J301" s="22" t="s">
        <v>71</v>
      </c>
      <c r="K301" s="22" t="s">
        <v>80</v>
      </c>
      <c r="L301" s="22" t="s">
        <v>33</v>
      </c>
      <c r="M301" s="22" t="s">
        <v>24</v>
      </c>
      <c r="N301" s="22">
        <v>22</v>
      </c>
      <c r="O301" s="26">
        <v>1299</v>
      </c>
      <c r="P301" s="22">
        <v>0.08</v>
      </c>
      <c r="Q301" s="30">
        <v>720</v>
      </c>
      <c r="R301" s="33">
        <f>Table1_1[[#This Row],[Units Sold]]*Table1_1[[#This Row],[Unit Price]]*1-Table1_1[[#This Row],[Discount]]</f>
        <v>28577.919999999998</v>
      </c>
      <c r="S301" s="33">
        <f>Table1_1[[#This Row],[Units Sold]]*Table1_1[[#This Row],[Unit Cost]]</f>
        <v>15840</v>
      </c>
      <c r="T301" s="33">
        <f>Table1_1[[#This Row],[Sales Amount]]-S301</f>
        <v>12737.919999999998</v>
      </c>
      <c r="U301" s="32">
        <f>IFERROR(Table1_1[[#This Row],[Profit/loss]]/Table1_1[[#This Row],[Sales Amount]],0)</f>
        <v>0.4457259310684612</v>
      </c>
    </row>
    <row r="302" spans="1:21" ht="18" x14ac:dyDescent="0.35">
      <c r="A302" s="21" t="s">
        <v>409</v>
      </c>
      <c r="B302" s="36">
        <v>45453</v>
      </c>
      <c r="C302" s="22">
        <f>YEAR(Table1_1[[#This Row],[Order Date]])</f>
        <v>2024</v>
      </c>
      <c r="D302" s="22" t="str">
        <f>TEXT(Table1_1[[#This Row],[Order Date]],"MMMM")</f>
        <v>June</v>
      </c>
      <c r="E302" s="22" t="s">
        <v>36</v>
      </c>
      <c r="F302" s="22" t="s">
        <v>44</v>
      </c>
      <c r="G302" s="22" t="s">
        <v>101</v>
      </c>
      <c r="H302" s="22" t="s">
        <v>29</v>
      </c>
      <c r="I302" s="22" t="s">
        <v>40</v>
      </c>
      <c r="J302" s="22" t="s">
        <v>64</v>
      </c>
      <c r="K302" s="22" t="s">
        <v>1629</v>
      </c>
      <c r="L302" s="22" t="s">
        <v>23</v>
      </c>
      <c r="M302" s="22" t="s">
        <v>78</v>
      </c>
      <c r="N302" s="22">
        <v>3</v>
      </c>
      <c r="O302" s="26">
        <v>3299</v>
      </c>
      <c r="P302" s="22">
        <v>0.08</v>
      </c>
      <c r="Q302" s="30">
        <v>2050</v>
      </c>
      <c r="R302" s="33">
        <f>Table1_1[[#This Row],[Units Sold]]*Table1_1[[#This Row],[Unit Price]]*1-Table1_1[[#This Row],[Discount]]</f>
        <v>9896.92</v>
      </c>
      <c r="S302" s="33">
        <f>Table1_1[[#This Row],[Units Sold]]*Table1_1[[#This Row],[Unit Cost]]</f>
        <v>6150</v>
      </c>
      <c r="T302" s="33">
        <f>Table1_1[[#This Row],[Sales Amount]]-S302</f>
        <v>3746.92</v>
      </c>
      <c r="U302" s="32">
        <f>IFERROR(Table1_1[[#This Row],[Profit/loss]]/Table1_1[[#This Row],[Sales Amount]],0)</f>
        <v>0.37859455264870284</v>
      </c>
    </row>
    <row r="303" spans="1:21" ht="18" x14ac:dyDescent="0.35">
      <c r="A303" s="21" t="s">
        <v>410</v>
      </c>
      <c r="B303" s="36">
        <v>45454</v>
      </c>
      <c r="C303" s="22">
        <f>YEAR(Table1_1[[#This Row],[Order Date]])</f>
        <v>2024</v>
      </c>
      <c r="D303" s="22" t="str">
        <f>TEXT(Table1_1[[#This Row],[Order Date]],"MMMM")</f>
        <v>June</v>
      </c>
      <c r="E303" s="22" t="s">
        <v>82</v>
      </c>
      <c r="F303" s="22" t="s">
        <v>183</v>
      </c>
      <c r="G303" s="22" t="s">
        <v>28</v>
      </c>
      <c r="H303" s="22" t="s">
        <v>19</v>
      </c>
      <c r="I303" s="22" t="s">
        <v>30</v>
      </c>
      <c r="J303" s="22" t="s">
        <v>31</v>
      </c>
      <c r="K303" s="22" t="s">
        <v>106</v>
      </c>
      <c r="L303" s="22" t="s">
        <v>33</v>
      </c>
      <c r="M303" s="22" t="s">
        <v>24</v>
      </c>
      <c r="N303" s="22">
        <v>35</v>
      </c>
      <c r="O303" s="26">
        <v>52990</v>
      </c>
      <c r="P303" s="22">
        <v>0.12</v>
      </c>
      <c r="Q303" s="30">
        <v>35100</v>
      </c>
      <c r="R303" s="33">
        <f>Table1_1[[#This Row],[Units Sold]]*Table1_1[[#This Row],[Unit Price]]*1-Table1_1[[#This Row],[Discount]]</f>
        <v>1854649.88</v>
      </c>
      <c r="S303" s="33">
        <f>Table1_1[[#This Row],[Units Sold]]*Table1_1[[#This Row],[Unit Cost]]</f>
        <v>1228500</v>
      </c>
      <c r="T303" s="33">
        <f>Table1_1[[#This Row],[Sales Amount]]-S303</f>
        <v>626149.87999999989</v>
      </c>
      <c r="U303" s="32">
        <f>IFERROR(Table1_1[[#This Row],[Profit/loss]]/Table1_1[[#This Row],[Sales Amount]],0)</f>
        <v>0.33761082711740714</v>
      </c>
    </row>
    <row r="304" spans="1:21" ht="18" x14ac:dyDescent="0.35">
      <c r="A304" s="21" t="s">
        <v>411</v>
      </c>
      <c r="B304" s="36">
        <v>45454</v>
      </c>
      <c r="C304" s="22">
        <f>YEAR(Table1_1[[#This Row],[Order Date]])</f>
        <v>2024</v>
      </c>
      <c r="D304" s="22" t="str">
        <f>TEXT(Table1_1[[#This Row],[Order Date]],"MMMM")</f>
        <v>June</v>
      </c>
      <c r="E304" s="22" t="s">
        <v>26</v>
      </c>
      <c r="F304" s="22" t="s">
        <v>27</v>
      </c>
      <c r="G304" s="22" t="s">
        <v>105</v>
      </c>
      <c r="H304" s="22" t="s">
        <v>19</v>
      </c>
      <c r="I304" s="22" t="s">
        <v>30</v>
      </c>
      <c r="J304" s="22" t="s">
        <v>61</v>
      </c>
      <c r="K304" s="22" t="s">
        <v>96</v>
      </c>
      <c r="L304" s="22" t="s">
        <v>23</v>
      </c>
      <c r="M304" s="22" t="s">
        <v>34</v>
      </c>
      <c r="N304" s="22">
        <v>32</v>
      </c>
      <c r="O304" s="26">
        <v>25110</v>
      </c>
      <c r="P304" s="22">
        <v>0.18</v>
      </c>
      <c r="Q304" s="30">
        <v>16730</v>
      </c>
      <c r="R304" s="33">
        <f>Table1_1[[#This Row],[Units Sold]]*Table1_1[[#This Row],[Unit Price]]*1-Table1_1[[#This Row],[Discount]]</f>
        <v>803519.82</v>
      </c>
      <c r="S304" s="33">
        <f>Table1_1[[#This Row],[Units Sold]]*Table1_1[[#This Row],[Unit Cost]]</f>
        <v>535360</v>
      </c>
      <c r="T304" s="33">
        <f>Table1_1[[#This Row],[Sales Amount]]-S304</f>
        <v>268159.81999999995</v>
      </c>
      <c r="U304" s="32">
        <f>IFERROR(Table1_1[[#This Row],[Profit/loss]]/Table1_1[[#This Row],[Sales Amount]],0)</f>
        <v>0.33373143178969744</v>
      </c>
    </row>
    <row r="305" spans="1:21" ht="18" x14ac:dyDescent="0.35">
      <c r="A305" s="21" t="s">
        <v>412</v>
      </c>
      <c r="B305" s="36">
        <v>45454</v>
      </c>
      <c r="C305" s="22">
        <f>YEAR(Table1_1[[#This Row],[Order Date]])</f>
        <v>2024</v>
      </c>
      <c r="D305" s="22" t="str">
        <f>TEXT(Table1_1[[#This Row],[Order Date]],"MMMM")</f>
        <v>June</v>
      </c>
      <c r="E305" s="22" t="s">
        <v>36</v>
      </c>
      <c r="F305" s="22" t="s">
        <v>59</v>
      </c>
      <c r="G305" s="22" t="s">
        <v>84</v>
      </c>
      <c r="H305" s="22" t="s">
        <v>19</v>
      </c>
      <c r="I305" s="22" t="s">
        <v>40</v>
      </c>
      <c r="J305" s="22" t="s">
        <v>41</v>
      </c>
      <c r="K305" s="22" t="s">
        <v>42</v>
      </c>
      <c r="L305" s="22" t="s">
        <v>23</v>
      </c>
      <c r="M305" s="22" t="s">
        <v>78</v>
      </c>
      <c r="N305" s="22">
        <v>26</v>
      </c>
      <c r="O305" s="26">
        <v>55230</v>
      </c>
      <c r="P305" s="22">
        <v>0.18</v>
      </c>
      <c r="Q305" s="30">
        <v>33800</v>
      </c>
      <c r="R305" s="33">
        <f>Table1_1[[#This Row],[Units Sold]]*Table1_1[[#This Row],[Unit Price]]*1-Table1_1[[#This Row],[Discount]]</f>
        <v>1435979.82</v>
      </c>
      <c r="S305" s="33">
        <f>Table1_1[[#This Row],[Units Sold]]*Table1_1[[#This Row],[Unit Cost]]</f>
        <v>878800</v>
      </c>
      <c r="T305" s="33">
        <f>Table1_1[[#This Row],[Sales Amount]]-S305</f>
        <v>557179.82000000007</v>
      </c>
      <c r="U305" s="32">
        <f>IFERROR(Table1_1[[#This Row],[Profit/loss]]/Table1_1[[#This Row],[Sales Amount]],0)</f>
        <v>0.38801368392488972</v>
      </c>
    </row>
    <row r="306" spans="1:21" ht="18" x14ac:dyDescent="0.35">
      <c r="A306" s="21" t="s">
        <v>413</v>
      </c>
      <c r="B306" s="36">
        <v>45455</v>
      </c>
      <c r="C306" s="22">
        <f>YEAR(Table1_1[[#This Row],[Order Date]])</f>
        <v>2024</v>
      </c>
      <c r="D306" s="22" t="str">
        <f>TEXT(Table1_1[[#This Row],[Order Date]],"MMMM")</f>
        <v>June</v>
      </c>
      <c r="E306" s="22" t="s">
        <v>82</v>
      </c>
      <c r="F306" s="22" t="s">
        <v>100</v>
      </c>
      <c r="G306" s="22" t="s">
        <v>105</v>
      </c>
      <c r="H306" s="22" t="s">
        <v>29</v>
      </c>
      <c r="I306" s="22" t="s">
        <v>70</v>
      </c>
      <c r="J306" s="22" t="s">
        <v>71</v>
      </c>
      <c r="K306" s="22" t="s">
        <v>80</v>
      </c>
      <c r="L306" s="22" t="s">
        <v>57</v>
      </c>
      <c r="M306" s="22" t="s">
        <v>24</v>
      </c>
      <c r="N306" s="22">
        <v>2</v>
      </c>
      <c r="O306" s="26">
        <v>1299</v>
      </c>
      <c r="P306" s="22">
        <v>0.2</v>
      </c>
      <c r="Q306" s="30">
        <v>720</v>
      </c>
      <c r="R306" s="33">
        <f>Table1_1[[#This Row],[Units Sold]]*Table1_1[[#This Row],[Unit Price]]*1-Table1_1[[#This Row],[Discount]]</f>
        <v>2597.8000000000002</v>
      </c>
      <c r="S306" s="33">
        <f>Table1_1[[#This Row],[Units Sold]]*Table1_1[[#This Row],[Unit Cost]]</f>
        <v>1440</v>
      </c>
      <c r="T306" s="33">
        <f>Table1_1[[#This Row],[Sales Amount]]-S306</f>
        <v>1157.8000000000002</v>
      </c>
      <c r="U306" s="32">
        <f>IFERROR(Table1_1[[#This Row],[Profit/loss]]/Table1_1[[#This Row],[Sales Amount]],0)</f>
        <v>0.44568481022403578</v>
      </c>
    </row>
    <row r="307" spans="1:21" ht="18" x14ac:dyDescent="0.35">
      <c r="A307" s="21" t="s">
        <v>414</v>
      </c>
      <c r="B307" s="36">
        <v>45456</v>
      </c>
      <c r="C307" s="22">
        <f>YEAR(Table1_1[[#This Row],[Order Date]])</f>
        <v>2024</v>
      </c>
      <c r="D307" s="22" t="str">
        <f>TEXT(Table1_1[[#This Row],[Order Date]],"MMMM")</f>
        <v>June</v>
      </c>
      <c r="E307" s="22" t="s">
        <v>48</v>
      </c>
      <c r="F307" s="22" t="s">
        <v>49</v>
      </c>
      <c r="G307" s="22" t="s">
        <v>28</v>
      </c>
      <c r="H307" s="22" t="s">
        <v>19</v>
      </c>
      <c r="I307" s="22" t="s">
        <v>20</v>
      </c>
      <c r="J307" s="22" t="s">
        <v>21</v>
      </c>
      <c r="K307" s="22" t="s">
        <v>51</v>
      </c>
      <c r="L307" s="22" t="s">
        <v>23</v>
      </c>
      <c r="M307" s="22" t="s">
        <v>34</v>
      </c>
      <c r="N307" s="22">
        <v>5</v>
      </c>
      <c r="O307" s="26">
        <v>5999</v>
      </c>
      <c r="P307" s="22">
        <v>0.05</v>
      </c>
      <c r="Q307" s="30">
        <v>3890</v>
      </c>
      <c r="R307" s="33">
        <f>Table1_1[[#This Row],[Units Sold]]*Table1_1[[#This Row],[Unit Price]]*1-Table1_1[[#This Row],[Discount]]</f>
        <v>29994.95</v>
      </c>
      <c r="S307" s="33">
        <f>Table1_1[[#This Row],[Units Sold]]*Table1_1[[#This Row],[Unit Cost]]</f>
        <v>19450</v>
      </c>
      <c r="T307" s="33">
        <f>Table1_1[[#This Row],[Sales Amount]]-S307</f>
        <v>10544.95</v>
      </c>
      <c r="U307" s="32">
        <f>IFERROR(Table1_1[[#This Row],[Profit/loss]]/Table1_1[[#This Row],[Sales Amount]],0)</f>
        <v>0.35155751218121717</v>
      </c>
    </row>
    <row r="308" spans="1:21" ht="18" x14ac:dyDescent="0.35">
      <c r="A308" s="21" t="s">
        <v>415</v>
      </c>
      <c r="B308" s="36">
        <v>45456</v>
      </c>
      <c r="C308" s="22">
        <f>YEAR(Table1_1[[#This Row],[Order Date]])</f>
        <v>2024</v>
      </c>
      <c r="D308" s="22" t="str">
        <f>TEXT(Table1_1[[#This Row],[Order Date]],"MMMM")</f>
        <v>June</v>
      </c>
      <c r="E308" s="22" t="s">
        <v>16</v>
      </c>
      <c r="F308" s="22" t="s">
        <v>111</v>
      </c>
      <c r="G308" s="22" t="s">
        <v>101</v>
      </c>
      <c r="H308" s="22" t="s">
        <v>19</v>
      </c>
      <c r="I308" s="22" t="s">
        <v>20</v>
      </c>
      <c r="J308" s="22" t="s">
        <v>21</v>
      </c>
      <c r="K308" s="22" t="s">
        <v>115</v>
      </c>
      <c r="L308" s="22" t="s">
        <v>33</v>
      </c>
      <c r="M308" s="22" t="s">
        <v>24</v>
      </c>
      <c r="N308" s="22">
        <v>29</v>
      </c>
      <c r="O308" s="26">
        <v>6499</v>
      </c>
      <c r="P308" s="22">
        <v>0.2</v>
      </c>
      <c r="Q308" s="30">
        <v>4210</v>
      </c>
      <c r="R308" s="33">
        <f>Table1_1[[#This Row],[Units Sold]]*Table1_1[[#This Row],[Unit Price]]*1-Table1_1[[#This Row],[Discount]]</f>
        <v>188470.8</v>
      </c>
      <c r="S308" s="33">
        <f>Table1_1[[#This Row],[Units Sold]]*Table1_1[[#This Row],[Unit Cost]]</f>
        <v>122090</v>
      </c>
      <c r="T308" s="33">
        <f>Table1_1[[#This Row],[Sales Amount]]-S308</f>
        <v>66380.799999999988</v>
      </c>
      <c r="U308" s="32">
        <f>IFERROR(Table1_1[[#This Row],[Profit/loss]]/Table1_1[[#This Row],[Sales Amount]],0)</f>
        <v>0.35220734458600478</v>
      </c>
    </row>
    <row r="309" spans="1:21" ht="18" x14ac:dyDescent="0.35">
      <c r="A309" s="21" t="s">
        <v>416</v>
      </c>
      <c r="B309" s="36">
        <v>45457</v>
      </c>
      <c r="C309" s="22">
        <f>YEAR(Table1_1[[#This Row],[Order Date]])</f>
        <v>2024</v>
      </c>
      <c r="D309" s="22" t="str">
        <f>TEXT(Table1_1[[#This Row],[Order Date]],"MMMM")</f>
        <v>June</v>
      </c>
      <c r="E309" s="22" t="s">
        <v>26</v>
      </c>
      <c r="F309" s="22" t="s">
        <v>163</v>
      </c>
      <c r="G309" s="22" t="s">
        <v>69</v>
      </c>
      <c r="H309" s="22" t="s">
        <v>19</v>
      </c>
      <c r="I309" s="22" t="s">
        <v>70</v>
      </c>
      <c r="J309" s="22" t="s">
        <v>71</v>
      </c>
      <c r="K309" s="22" t="s">
        <v>72</v>
      </c>
      <c r="L309" s="22" t="s">
        <v>33</v>
      </c>
      <c r="M309" s="22" t="s">
        <v>78</v>
      </c>
      <c r="N309" s="22">
        <v>3</v>
      </c>
      <c r="O309" s="26">
        <v>3499</v>
      </c>
      <c r="P309" s="22">
        <v>0.12</v>
      </c>
      <c r="Q309" s="30">
        <v>2190</v>
      </c>
      <c r="R309" s="33">
        <f>Table1_1[[#This Row],[Units Sold]]*Table1_1[[#This Row],[Unit Price]]*1-Table1_1[[#This Row],[Discount]]</f>
        <v>10496.88</v>
      </c>
      <c r="S309" s="33">
        <f>Table1_1[[#This Row],[Units Sold]]*Table1_1[[#This Row],[Unit Cost]]</f>
        <v>6570</v>
      </c>
      <c r="T309" s="33">
        <f>Table1_1[[#This Row],[Sales Amount]]-S309</f>
        <v>3926.8799999999992</v>
      </c>
      <c r="U309" s="32">
        <f>IFERROR(Table1_1[[#This Row],[Profit/loss]]/Table1_1[[#This Row],[Sales Amount]],0)</f>
        <v>0.3740997324919404</v>
      </c>
    </row>
    <row r="310" spans="1:21" ht="18" x14ac:dyDescent="0.35">
      <c r="A310" s="21" t="s">
        <v>417</v>
      </c>
      <c r="B310" s="36">
        <v>45457</v>
      </c>
      <c r="C310" s="22">
        <f>YEAR(Table1_1[[#This Row],[Order Date]])</f>
        <v>2024</v>
      </c>
      <c r="D310" s="22" t="str">
        <f>TEXT(Table1_1[[#This Row],[Order Date]],"MMMM")</f>
        <v>June</v>
      </c>
      <c r="E310" s="22" t="s">
        <v>26</v>
      </c>
      <c r="F310" s="22" t="s">
        <v>74</v>
      </c>
      <c r="G310" s="22" t="s">
        <v>38</v>
      </c>
      <c r="H310" s="22" t="s">
        <v>19</v>
      </c>
      <c r="I310" s="22" t="s">
        <v>40</v>
      </c>
      <c r="J310" s="22" t="s">
        <v>76</v>
      </c>
      <c r="K310" s="22" t="s">
        <v>1620</v>
      </c>
      <c r="L310" s="22" t="s">
        <v>33</v>
      </c>
      <c r="M310" s="22" t="s">
        <v>24</v>
      </c>
      <c r="N310" s="22">
        <v>9</v>
      </c>
      <c r="O310" s="26">
        <v>52990</v>
      </c>
      <c r="P310" s="22">
        <v>0.12</v>
      </c>
      <c r="Q310" s="30">
        <v>39500</v>
      </c>
      <c r="R310" s="33">
        <f>Table1_1[[#This Row],[Units Sold]]*Table1_1[[#This Row],[Unit Price]]*1-Table1_1[[#This Row],[Discount]]</f>
        <v>476909.88</v>
      </c>
      <c r="S310" s="33">
        <f>Table1_1[[#This Row],[Units Sold]]*Table1_1[[#This Row],[Unit Cost]]</f>
        <v>355500</v>
      </c>
      <c r="T310" s="33">
        <f>Table1_1[[#This Row],[Sales Amount]]-S310</f>
        <v>121409.88</v>
      </c>
      <c r="U310" s="32">
        <f>IFERROR(Table1_1[[#This Row],[Profit/loss]]/Table1_1[[#This Row],[Sales Amount]],0)</f>
        <v>0.25457614759417441</v>
      </c>
    </row>
    <row r="311" spans="1:21" ht="18" x14ac:dyDescent="0.35">
      <c r="A311" s="21" t="s">
        <v>418</v>
      </c>
      <c r="B311" s="36">
        <v>45457</v>
      </c>
      <c r="C311" s="22">
        <f>YEAR(Table1_1[[#This Row],[Order Date]])</f>
        <v>2024</v>
      </c>
      <c r="D311" s="22" t="str">
        <f>TEXT(Table1_1[[#This Row],[Order Date]],"MMMM")</f>
        <v>June</v>
      </c>
      <c r="E311" s="22" t="s">
        <v>82</v>
      </c>
      <c r="F311" s="22" t="s">
        <v>100</v>
      </c>
      <c r="G311" s="22" t="s">
        <v>18</v>
      </c>
      <c r="H311" s="22" t="s">
        <v>29</v>
      </c>
      <c r="I311" s="22" t="s">
        <v>70</v>
      </c>
      <c r="J311" s="22" t="s">
        <v>71</v>
      </c>
      <c r="K311" s="22" t="s">
        <v>88</v>
      </c>
      <c r="L311" s="22" t="s">
        <v>57</v>
      </c>
      <c r="M311" s="22" t="s">
        <v>78</v>
      </c>
      <c r="N311" s="22">
        <v>35</v>
      </c>
      <c r="O311" s="26">
        <v>999</v>
      </c>
      <c r="P311" s="22">
        <v>0.08</v>
      </c>
      <c r="Q311" s="30">
        <v>540</v>
      </c>
      <c r="R311" s="33">
        <f>Table1_1[[#This Row],[Units Sold]]*Table1_1[[#This Row],[Unit Price]]*1-Table1_1[[#This Row],[Discount]]</f>
        <v>34964.92</v>
      </c>
      <c r="S311" s="33">
        <f>Table1_1[[#This Row],[Units Sold]]*Table1_1[[#This Row],[Unit Cost]]</f>
        <v>18900</v>
      </c>
      <c r="T311" s="33">
        <f>Table1_1[[#This Row],[Sales Amount]]-S311</f>
        <v>16064.919999999998</v>
      </c>
      <c r="U311" s="32">
        <f>IFERROR(Table1_1[[#This Row],[Profit/loss]]/Table1_1[[#This Row],[Sales Amount]],0)</f>
        <v>0.45945822269863623</v>
      </c>
    </row>
    <row r="312" spans="1:21" ht="18" x14ac:dyDescent="0.35">
      <c r="A312" s="21" t="s">
        <v>419</v>
      </c>
      <c r="B312" s="36">
        <v>45457</v>
      </c>
      <c r="C312" s="22">
        <f>YEAR(Table1_1[[#This Row],[Order Date]])</f>
        <v>2024</v>
      </c>
      <c r="D312" s="22" t="str">
        <f>TEXT(Table1_1[[#This Row],[Order Date]],"MMMM")</f>
        <v>June</v>
      </c>
      <c r="E312" s="22" t="s">
        <v>26</v>
      </c>
      <c r="F312" s="22" t="s">
        <v>74</v>
      </c>
      <c r="G312" s="22" t="s">
        <v>38</v>
      </c>
      <c r="H312" s="22" t="s">
        <v>19</v>
      </c>
      <c r="I312" s="22" t="s">
        <v>70</v>
      </c>
      <c r="J312" s="22" t="s">
        <v>71</v>
      </c>
      <c r="K312" s="22" t="s">
        <v>80</v>
      </c>
      <c r="L312" s="22" t="s">
        <v>23</v>
      </c>
      <c r="M312" s="22" t="s">
        <v>24</v>
      </c>
      <c r="N312" s="22">
        <v>35</v>
      </c>
      <c r="O312" s="26">
        <v>1299</v>
      </c>
      <c r="P312" s="22">
        <v>0.1</v>
      </c>
      <c r="Q312" s="30">
        <v>720</v>
      </c>
      <c r="R312" s="33">
        <f>Table1_1[[#This Row],[Units Sold]]*Table1_1[[#This Row],[Unit Price]]*1-Table1_1[[#This Row],[Discount]]</f>
        <v>45464.9</v>
      </c>
      <c r="S312" s="33">
        <f>Table1_1[[#This Row],[Units Sold]]*Table1_1[[#This Row],[Unit Cost]]</f>
        <v>25200</v>
      </c>
      <c r="T312" s="33">
        <f>Table1_1[[#This Row],[Sales Amount]]-S312</f>
        <v>20264.900000000001</v>
      </c>
      <c r="U312" s="32">
        <f>IFERROR(Table1_1[[#This Row],[Profit/loss]]/Table1_1[[#This Row],[Sales Amount]],0)</f>
        <v>0.44572626355716172</v>
      </c>
    </row>
    <row r="313" spans="1:21" ht="18" x14ac:dyDescent="0.35">
      <c r="A313" s="21" t="s">
        <v>420</v>
      </c>
      <c r="B313" s="36">
        <v>45457</v>
      </c>
      <c r="C313" s="22">
        <f>YEAR(Table1_1[[#This Row],[Order Date]])</f>
        <v>2024</v>
      </c>
      <c r="D313" s="22" t="str">
        <f>TEXT(Table1_1[[#This Row],[Order Date]],"MMMM")</f>
        <v>June</v>
      </c>
      <c r="E313" s="22" t="s">
        <v>26</v>
      </c>
      <c r="F313" s="22" t="s">
        <v>27</v>
      </c>
      <c r="G313" s="22" t="s">
        <v>38</v>
      </c>
      <c r="H313" s="22" t="s">
        <v>29</v>
      </c>
      <c r="I313" s="22" t="s">
        <v>54</v>
      </c>
      <c r="J313" s="22" t="s">
        <v>129</v>
      </c>
      <c r="K313" s="22" t="s">
        <v>130</v>
      </c>
      <c r="L313" s="22" t="s">
        <v>23</v>
      </c>
      <c r="M313" s="22" t="s">
        <v>24</v>
      </c>
      <c r="N313" s="22">
        <v>26</v>
      </c>
      <c r="O313" s="26">
        <v>27890</v>
      </c>
      <c r="P313" s="22">
        <v>0.12</v>
      </c>
      <c r="Q313" s="30">
        <v>18800</v>
      </c>
      <c r="R313" s="33">
        <f>Table1_1[[#This Row],[Units Sold]]*Table1_1[[#This Row],[Unit Price]]*1-Table1_1[[#This Row],[Discount]]</f>
        <v>725139.88</v>
      </c>
      <c r="S313" s="33">
        <f>Table1_1[[#This Row],[Units Sold]]*Table1_1[[#This Row],[Unit Cost]]</f>
        <v>488800</v>
      </c>
      <c r="T313" s="33">
        <f>Table1_1[[#This Row],[Sales Amount]]-S313</f>
        <v>236339.88</v>
      </c>
      <c r="U313" s="32">
        <f>IFERROR(Table1_1[[#This Row],[Profit/loss]]/Table1_1[[#This Row],[Sales Amount]],0)</f>
        <v>0.3259231584394448</v>
      </c>
    </row>
    <row r="314" spans="1:21" ht="18" x14ac:dyDescent="0.35">
      <c r="A314" s="21" t="s">
        <v>421</v>
      </c>
      <c r="B314" s="36">
        <v>45458</v>
      </c>
      <c r="C314" s="22">
        <f>YEAR(Table1_1[[#This Row],[Order Date]])</f>
        <v>2024</v>
      </c>
      <c r="D314" s="22" t="str">
        <f>TEXT(Table1_1[[#This Row],[Order Date]],"MMMM")</f>
        <v>June</v>
      </c>
      <c r="E314" s="22" t="s">
        <v>36</v>
      </c>
      <c r="F314" s="22" t="s">
        <v>44</v>
      </c>
      <c r="G314" s="22" t="s">
        <v>105</v>
      </c>
      <c r="H314" s="22" t="s">
        <v>39</v>
      </c>
      <c r="I314" s="22" t="s">
        <v>40</v>
      </c>
      <c r="J314" s="22" t="s">
        <v>41</v>
      </c>
      <c r="K314" s="22" t="s">
        <v>1624</v>
      </c>
      <c r="L314" s="22" t="s">
        <v>33</v>
      </c>
      <c r="M314" s="22" t="s">
        <v>34</v>
      </c>
      <c r="N314" s="22">
        <v>38</v>
      </c>
      <c r="O314" s="26">
        <v>48990</v>
      </c>
      <c r="P314" s="22">
        <v>0.05</v>
      </c>
      <c r="Q314" s="30">
        <v>30100</v>
      </c>
      <c r="R314" s="33">
        <f>Table1_1[[#This Row],[Units Sold]]*Table1_1[[#This Row],[Unit Price]]*1-Table1_1[[#This Row],[Discount]]</f>
        <v>1861619.95</v>
      </c>
      <c r="S314" s="33">
        <f>Table1_1[[#This Row],[Units Sold]]*Table1_1[[#This Row],[Unit Cost]]</f>
        <v>1143800</v>
      </c>
      <c r="T314" s="33">
        <f>Table1_1[[#This Row],[Sales Amount]]-S314</f>
        <v>717819.95</v>
      </c>
      <c r="U314" s="32">
        <f>IFERROR(Table1_1[[#This Row],[Profit/loss]]/Table1_1[[#This Row],[Sales Amount]],0)</f>
        <v>0.38558887919094331</v>
      </c>
    </row>
    <row r="315" spans="1:21" ht="18" x14ac:dyDescent="0.35">
      <c r="A315" s="21" t="s">
        <v>422</v>
      </c>
      <c r="B315" s="36">
        <v>45458</v>
      </c>
      <c r="C315" s="22">
        <f>YEAR(Table1_1[[#This Row],[Order Date]])</f>
        <v>2024</v>
      </c>
      <c r="D315" s="22" t="str">
        <f>TEXT(Table1_1[[#This Row],[Order Date]],"MMMM")</f>
        <v>June</v>
      </c>
      <c r="E315" s="22" t="s">
        <v>82</v>
      </c>
      <c r="F315" s="22" t="s">
        <v>100</v>
      </c>
      <c r="G315" s="22" t="s">
        <v>50</v>
      </c>
      <c r="H315" s="22" t="s">
        <v>19</v>
      </c>
      <c r="I315" s="22" t="s">
        <v>30</v>
      </c>
      <c r="J315" s="22" t="s">
        <v>31</v>
      </c>
      <c r="K315" s="22" t="s">
        <v>85</v>
      </c>
      <c r="L315" s="22" t="s">
        <v>23</v>
      </c>
      <c r="M315" s="22" t="s">
        <v>66</v>
      </c>
      <c r="N315" s="22">
        <v>22</v>
      </c>
      <c r="O315" s="26">
        <v>43500</v>
      </c>
      <c r="P315" s="22">
        <v>0.2</v>
      </c>
      <c r="Q315" s="30">
        <v>29520</v>
      </c>
      <c r="R315" s="33">
        <f>Table1_1[[#This Row],[Units Sold]]*Table1_1[[#This Row],[Unit Price]]*1-Table1_1[[#This Row],[Discount]]</f>
        <v>956999.8</v>
      </c>
      <c r="S315" s="33">
        <f>Table1_1[[#This Row],[Units Sold]]*Table1_1[[#This Row],[Unit Cost]]</f>
        <v>649440</v>
      </c>
      <c r="T315" s="33">
        <f>Table1_1[[#This Row],[Sales Amount]]-S315</f>
        <v>307559.80000000005</v>
      </c>
      <c r="U315" s="32">
        <f>IFERROR(Table1_1[[#This Row],[Profit/loss]]/Table1_1[[#This Row],[Sales Amount]],0)</f>
        <v>0.32137916852229231</v>
      </c>
    </row>
    <row r="316" spans="1:21" ht="18" x14ac:dyDescent="0.35">
      <c r="A316" s="21" t="s">
        <v>423</v>
      </c>
      <c r="B316" s="36">
        <v>45458</v>
      </c>
      <c r="C316" s="22">
        <f>YEAR(Table1_1[[#This Row],[Order Date]])</f>
        <v>2024</v>
      </c>
      <c r="D316" s="22" t="str">
        <f>TEXT(Table1_1[[#This Row],[Order Date]],"MMMM")</f>
        <v>June</v>
      </c>
      <c r="E316" s="22" t="s">
        <v>48</v>
      </c>
      <c r="F316" s="22" t="s">
        <v>93</v>
      </c>
      <c r="G316" s="22" t="s">
        <v>28</v>
      </c>
      <c r="H316" s="22" t="s">
        <v>19</v>
      </c>
      <c r="I316" s="22" t="s">
        <v>30</v>
      </c>
      <c r="J316" s="22" t="s">
        <v>61</v>
      </c>
      <c r="K316" s="22" t="s">
        <v>186</v>
      </c>
      <c r="L316" s="22" t="s">
        <v>33</v>
      </c>
      <c r="M316" s="22" t="s">
        <v>66</v>
      </c>
      <c r="N316" s="22">
        <v>40</v>
      </c>
      <c r="O316" s="26">
        <v>6999</v>
      </c>
      <c r="P316" s="22">
        <v>0.12</v>
      </c>
      <c r="Q316" s="30">
        <v>4320</v>
      </c>
      <c r="R316" s="33">
        <f>Table1_1[[#This Row],[Units Sold]]*Table1_1[[#This Row],[Unit Price]]*1-Table1_1[[#This Row],[Discount]]</f>
        <v>279959.88</v>
      </c>
      <c r="S316" s="33">
        <f>Table1_1[[#This Row],[Units Sold]]*Table1_1[[#This Row],[Unit Cost]]</f>
        <v>172800</v>
      </c>
      <c r="T316" s="33">
        <f>Table1_1[[#This Row],[Sales Amount]]-S316</f>
        <v>107159.88</v>
      </c>
      <c r="U316" s="32">
        <f>IFERROR(Table1_1[[#This Row],[Profit/loss]]/Table1_1[[#This Row],[Sales Amount]],0)</f>
        <v>0.382768702429791</v>
      </c>
    </row>
    <row r="317" spans="1:21" ht="18" x14ac:dyDescent="0.35">
      <c r="A317" s="21" t="s">
        <v>424</v>
      </c>
      <c r="B317" s="36">
        <v>45459</v>
      </c>
      <c r="C317" s="22">
        <f>YEAR(Table1_1[[#This Row],[Order Date]])</f>
        <v>2024</v>
      </c>
      <c r="D317" s="22" t="str">
        <f>TEXT(Table1_1[[#This Row],[Order Date]],"MMMM")</f>
        <v>June</v>
      </c>
      <c r="E317" s="22" t="s">
        <v>36</v>
      </c>
      <c r="F317" s="22" t="s">
        <v>37</v>
      </c>
      <c r="G317" s="22" t="s">
        <v>69</v>
      </c>
      <c r="H317" s="22" t="s">
        <v>39</v>
      </c>
      <c r="I317" s="22" t="s">
        <v>54</v>
      </c>
      <c r="J317" s="22" t="s">
        <v>55</v>
      </c>
      <c r="K317" s="22" t="s">
        <v>56</v>
      </c>
      <c r="L317" s="22" t="s">
        <v>57</v>
      </c>
      <c r="M317" s="22" t="s">
        <v>24</v>
      </c>
      <c r="N317" s="22">
        <v>26</v>
      </c>
      <c r="O317" s="26">
        <v>7299</v>
      </c>
      <c r="P317" s="22">
        <v>0.18</v>
      </c>
      <c r="Q317" s="30">
        <v>5010</v>
      </c>
      <c r="R317" s="33">
        <f>Table1_1[[#This Row],[Units Sold]]*Table1_1[[#This Row],[Unit Price]]*1-Table1_1[[#This Row],[Discount]]</f>
        <v>189773.82</v>
      </c>
      <c r="S317" s="33">
        <f>Table1_1[[#This Row],[Units Sold]]*Table1_1[[#This Row],[Unit Cost]]</f>
        <v>130260</v>
      </c>
      <c r="T317" s="33">
        <f>Table1_1[[#This Row],[Sales Amount]]-S317</f>
        <v>59513.820000000007</v>
      </c>
      <c r="U317" s="32">
        <f>IFERROR(Table1_1[[#This Row],[Profit/loss]]/Table1_1[[#This Row],[Sales Amount]],0)</f>
        <v>0.3136039523259847</v>
      </c>
    </row>
    <row r="318" spans="1:21" ht="18" x14ac:dyDescent="0.35">
      <c r="A318" s="21" t="s">
        <v>425</v>
      </c>
      <c r="B318" s="36">
        <v>45459</v>
      </c>
      <c r="C318" s="22">
        <f>YEAR(Table1_1[[#This Row],[Order Date]])</f>
        <v>2024</v>
      </c>
      <c r="D318" s="22" t="str">
        <f>TEXT(Table1_1[[#This Row],[Order Date]],"MMMM")</f>
        <v>June</v>
      </c>
      <c r="E318" s="22" t="s">
        <v>48</v>
      </c>
      <c r="F318" s="22" t="s">
        <v>136</v>
      </c>
      <c r="G318" s="22" t="s">
        <v>101</v>
      </c>
      <c r="H318" s="22" t="s">
        <v>39</v>
      </c>
      <c r="I318" s="22" t="s">
        <v>40</v>
      </c>
      <c r="J318" s="22" t="s">
        <v>76</v>
      </c>
      <c r="K318" s="22" t="s">
        <v>113</v>
      </c>
      <c r="L318" s="22" t="s">
        <v>23</v>
      </c>
      <c r="M318" s="22" t="s">
        <v>66</v>
      </c>
      <c r="N318" s="22">
        <v>36</v>
      </c>
      <c r="O318" s="26">
        <v>22999</v>
      </c>
      <c r="P318" s="22">
        <v>0.18</v>
      </c>
      <c r="Q318" s="30">
        <v>15100</v>
      </c>
      <c r="R318" s="33">
        <f>Table1_1[[#This Row],[Units Sold]]*Table1_1[[#This Row],[Unit Price]]*1-Table1_1[[#This Row],[Discount]]</f>
        <v>827963.82</v>
      </c>
      <c r="S318" s="33">
        <f>Table1_1[[#This Row],[Units Sold]]*Table1_1[[#This Row],[Unit Cost]]</f>
        <v>543600</v>
      </c>
      <c r="T318" s="33">
        <f>Table1_1[[#This Row],[Sales Amount]]-S318</f>
        <v>284363.81999999995</v>
      </c>
      <c r="U318" s="32">
        <f>IFERROR(Table1_1[[#This Row],[Profit/loss]]/Table1_1[[#This Row],[Sales Amount]],0)</f>
        <v>0.34344957247044922</v>
      </c>
    </row>
    <row r="319" spans="1:21" ht="18" x14ac:dyDescent="0.35">
      <c r="A319" s="21" t="s">
        <v>426</v>
      </c>
      <c r="B319" s="36">
        <v>45460</v>
      </c>
      <c r="C319" s="22">
        <f>YEAR(Table1_1[[#This Row],[Order Date]])</f>
        <v>2024</v>
      </c>
      <c r="D319" s="22" t="str">
        <f>TEXT(Table1_1[[#This Row],[Order Date]],"MMMM")</f>
        <v>June</v>
      </c>
      <c r="E319" s="22" t="s">
        <v>82</v>
      </c>
      <c r="F319" s="22" t="s">
        <v>87</v>
      </c>
      <c r="G319" s="22" t="s">
        <v>84</v>
      </c>
      <c r="H319" s="22" t="s">
        <v>29</v>
      </c>
      <c r="I319" s="22" t="s">
        <v>30</v>
      </c>
      <c r="J319" s="22" t="s">
        <v>61</v>
      </c>
      <c r="K319" s="22" t="s">
        <v>186</v>
      </c>
      <c r="L319" s="22" t="s">
        <v>57</v>
      </c>
      <c r="M319" s="22" t="s">
        <v>78</v>
      </c>
      <c r="N319" s="22">
        <v>25</v>
      </c>
      <c r="O319" s="26">
        <v>6999</v>
      </c>
      <c r="P319" s="22">
        <v>0.2</v>
      </c>
      <c r="Q319" s="30">
        <v>4320</v>
      </c>
      <c r="R319" s="33">
        <f>Table1_1[[#This Row],[Units Sold]]*Table1_1[[#This Row],[Unit Price]]*1-Table1_1[[#This Row],[Discount]]</f>
        <v>174974.8</v>
      </c>
      <c r="S319" s="33">
        <f>Table1_1[[#This Row],[Units Sold]]*Table1_1[[#This Row],[Unit Cost]]</f>
        <v>108000</v>
      </c>
      <c r="T319" s="33">
        <f>Table1_1[[#This Row],[Sales Amount]]-S319</f>
        <v>66974.799999999988</v>
      </c>
      <c r="U319" s="32">
        <f>IFERROR(Table1_1[[#This Row],[Profit/loss]]/Table1_1[[#This Row],[Sales Amount]],0)</f>
        <v>0.38276826148679693</v>
      </c>
    </row>
    <row r="320" spans="1:21" ht="18" x14ac:dyDescent="0.35">
      <c r="A320" s="21" t="s">
        <v>427</v>
      </c>
      <c r="B320" s="36">
        <v>45461</v>
      </c>
      <c r="C320" s="22">
        <f>YEAR(Table1_1[[#This Row],[Order Date]])</f>
        <v>2024</v>
      </c>
      <c r="D320" s="22" t="str">
        <f>TEXT(Table1_1[[#This Row],[Order Date]],"MMMM")</f>
        <v>June</v>
      </c>
      <c r="E320" s="22" t="s">
        <v>48</v>
      </c>
      <c r="F320" s="22" t="s">
        <v>93</v>
      </c>
      <c r="G320" s="22" t="s">
        <v>75</v>
      </c>
      <c r="H320" s="22" t="s">
        <v>19</v>
      </c>
      <c r="I320" s="22" t="s">
        <v>30</v>
      </c>
      <c r="J320" s="22" t="s">
        <v>31</v>
      </c>
      <c r="K320" s="22" t="s">
        <v>85</v>
      </c>
      <c r="L320" s="22" t="s">
        <v>33</v>
      </c>
      <c r="M320" s="22" t="s">
        <v>78</v>
      </c>
      <c r="N320" s="22">
        <v>17</v>
      </c>
      <c r="O320" s="26">
        <v>43500</v>
      </c>
      <c r="P320" s="22">
        <v>0.05</v>
      </c>
      <c r="Q320" s="30">
        <v>29520</v>
      </c>
      <c r="R320" s="33">
        <f>Table1_1[[#This Row],[Units Sold]]*Table1_1[[#This Row],[Unit Price]]*1-Table1_1[[#This Row],[Discount]]</f>
        <v>739499.95</v>
      </c>
      <c r="S320" s="33">
        <f>Table1_1[[#This Row],[Units Sold]]*Table1_1[[#This Row],[Unit Cost]]</f>
        <v>501840</v>
      </c>
      <c r="T320" s="33">
        <f>Table1_1[[#This Row],[Sales Amount]]-S320</f>
        <v>237659.94999999995</v>
      </c>
      <c r="U320" s="32">
        <f>IFERROR(Table1_1[[#This Row],[Profit/loss]]/Table1_1[[#This Row],[Sales Amount]],0)</f>
        <v>0.32137926446107262</v>
      </c>
    </row>
    <row r="321" spans="1:21" ht="18" x14ac:dyDescent="0.35">
      <c r="A321" s="21" t="s">
        <v>428</v>
      </c>
      <c r="B321" s="36">
        <v>45461</v>
      </c>
      <c r="C321" s="22">
        <f>YEAR(Table1_1[[#This Row],[Order Date]])</f>
        <v>2024</v>
      </c>
      <c r="D321" s="22" t="str">
        <f>TEXT(Table1_1[[#This Row],[Order Date]],"MMMM")</f>
        <v>June</v>
      </c>
      <c r="E321" s="22" t="s">
        <v>26</v>
      </c>
      <c r="F321" s="22" t="s">
        <v>27</v>
      </c>
      <c r="G321" s="22" t="s">
        <v>18</v>
      </c>
      <c r="H321" s="22" t="s">
        <v>39</v>
      </c>
      <c r="I321" s="22" t="s">
        <v>20</v>
      </c>
      <c r="J321" s="22" t="s">
        <v>21</v>
      </c>
      <c r="K321" s="22" t="s">
        <v>22</v>
      </c>
      <c r="L321" s="22" t="s">
        <v>23</v>
      </c>
      <c r="M321" s="22" t="s">
        <v>24</v>
      </c>
      <c r="N321" s="22">
        <v>2</v>
      </c>
      <c r="O321" s="26">
        <v>4499</v>
      </c>
      <c r="P321" s="22">
        <v>0.12</v>
      </c>
      <c r="Q321" s="30">
        <v>2910</v>
      </c>
      <c r="R321" s="33">
        <f>Table1_1[[#This Row],[Units Sold]]*Table1_1[[#This Row],[Unit Price]]*1-Table1_1[[#This Row],[Discount]]</f>
        <v>8997.8799999999992</v>
      </c>
      <c r="S321" s="33">
        <f>Table1_1[[#This Row],[Units Sold]]*Table1_1[[#This Row],[Unit Cost]]</f>
        <v>5820</v>
      </c>
      <c r="T321" s="33">
        <f>Table1_1[[#This Row],[Sales Amount]]-S321</f>
        <v>3177.8799999999992</v>
      </c>
      <c r="U321" s="32">
        <f>IFERROR(Table1_1[[#This Row],[Profit/loss]]/Table1_1[[#This Row],[Sales Amount]],0)</f>
        <v>0.35318097151773525</v>
      </c>
    </row>
    <row r="322" spans="1:21" ht="18" x14ac:dyDescent="0.35">
      <c r="A322" s="21" t="s">
        <v>429</v>
      </c>
      <c r="B322" s="36">
        <v>45461</v>
      </c>
      <c r="C322" s="22">
        <f>YEAR(Table1_1[[#This Row],[Order Date]])</f>
        <v>2024</v>
      </c>
      <c r="D322" s="22" t="str">
        <f>TEXT(Table1_1[[#This Row],[Order Date]],"MMMM")</f>
        <v>June</v>
      </c>
      <c r="E322" s="22" t="s">
        <v>48</v>
      </c>
      <c r="F322" s="22" t="s">
        <v>93</v>
      </c>
      <c r="G322" s="22" t="s">
        <v>38</v>
      </c>
      <c r="H322" s="22" t="s">
        <v>29</v>
      </c>
      <c r="I322" s="22" t="s">
        <v>30</v>
      </c>
      <c r="J322" s="22" t="s">
        <v>61</v>
      </c>
      <c r="K322" s="22" t="s">
        <v>186</v>
      </c>
      <c r="L322" s="22" t="s">
        <v>33</v>
      </c>
      <c r="M322" s="22" t="s">
        <v>24</v>
      </c>
      <c r="N322" s="22">
        <v>38</v>
      </c>
      <c r="O322" s="26">
        <v>6999</v>
      </c>
      <c r="P322" s="22">
        <v>0.12</v>
      </c>
      <c r="Q322" s="30">
        <v>4320</v>
      </c>
      <c r="R322" s="33">
        <f>Table1_1[[#This Row],[Units Sold]]*Table1_1[[#This Row],[Unit Price]]*1-Table1_1[[#This Row],[Discount]]</f>
        <v>265961.88</v>
      </c>
      <c r="S322" s="33">
        <f>Table1_1[[#This Row],[Units Sold]]*Table1_1[[#This Row],[Unit Cost]]</f>
        <v>164160</v>
      </c>
      <c r="T322" s="33">
        <f>Table1_1[[#This Row],[Sales Amount]]-S322</f>
        <v>101801.88</v>
      </c>
      <c r="U322" s="32">
        <f>IFERROR(Table1_1[[#This Row],[Profit/loss]]/Table1_1[[#This Row],[Sales Amount]],0)</f>
        <v>0.38276868850528506</v>
      </c>
    </row>
    <row r="323" spans="1:21" ht="18" x14ac:dyDescent="0.35">
      <c r="A323" s="21" t="s">
        <v>430</v>
      </c>
      <c r="B323" s="36">
        <v>45462</v>
      </c>
      <c r="C323" s="22">
        <f>YEAR(Table1_1[[#This Row],[Order Date]])</f>
        <v>2024</v>
      </c>
      <c r="D323" s="22" t="str">
        <f>TEXT(Table1_1[[#This Row],[Order Date]],"MMMM")</f>
        <v>June</v>
      </c>
      <c r="E323" s="22" t="s">
        <v>48</v>
      </c>
      <c r="F323" s="22" t="s">
        <v>49</v>
      </c>
      <c r="G323" s="22" t="s">
        <v>28</v>
      </c>
      <c r="H323" s="22" t="s">
        <v>39</v>
      </c>
      <c r="I323" s="22" t="s">
        <v>40</v>
      </c>
      <c r="J323" s="22" t="s">
        <v>64</v>
      </c>
      <c r="K323" s="22" t="s">
        <v>1619</v>
      </c>
      <c r="L323" s="22" t="s">
        <v>23</v>
      </c>
      <c r="M323" s="22" t="s">
        <v>34</v>
      </c>
      <c r="N323" s="22">
        <v>27</v>
      </c>
      <c r="O323" s="26">
        <v>1930</v>
      </c>
      <c r="P323" s="22">
        <v>0.05</v>
      </c>
      <c r="Q323" s="30">
        <v>1120</v>
      </c>
      <c r="R323" s="33">
        <f>Table1_1[[#This Row],[Units Sold]]*Table1_1[[#This Row],[Unit Price]]*1-Table1_1[[#This Row],[Discount]]</f>
        <v>52109.95</v>
      </c>
      <c r="S323" s="33">
        <f>Table1_1[[#This Row],[Units Sold]]*Table1_1[[#This Row],[Unit Cost]]</f>
        <v>30240</v>
      </c>
      <c r="T323" s="33">
        <f>Table1_1[[#This Row],[Sales Amount]]-S323</f>
        <v>21869.949999999997</v>
      </c>
      <c r="U323" s="32">
        <f>IFERROR(Table1_1[[#This Row],[Profit/loss]]/Table1_1[[#This Row],[Sales Amount]],0)</f>
        <v>0.41968856235709301</v>
      </c>
    </row>
    <row r="324" spans="1:21" ht="18" x14ac:dyDescent="0.35">
      <c r="A324" s="21" t="s">
        <v>431</v>
      </c>
      <c r="B324" s="36">
        <v>45463</v>
      </c>
      <c r="C324" s="22">
        <f>YEAR(Table1_1[[#This Row],[Order Date]])</f>
        <v>2024</v>
      </c>
      <c r="D324" s="22" t="str">
        <f>TEXT(Table1_1[[#This Row],[Order Date]],"MMMM")</f>
        <v>June</v>
      </c>
      <c r="E324" s="22" t="s">
        <v>26</v>
      </c>
      <c r="F324" s="22" t="s">
        <v>163</v>
      </c>
      <c r="G324" s="22" t="s">
        <v>84</v>
      </c>
      <c r="H324" s="22" t="s">
        <v>39</v>
      </c>
      <c r="I324" s="22" t="s">
        <v>70</v>
      </c>
      <c r="J324" s="22" t="s">
        <v>71</v>
      </c>
      <c r="K324" s="22" t="s">
        <v>72</v>
      </c>
      <c r="L324" s="22" t="s">
        <v>33</v>
      </c>
      <c r="M324" s="22" t="s">
        <v>24</v>
      </c>
      <c r="N324" s="22">
        <v>38</v>
      </c>
      <c r="O324" s="26">
        <v>3499</v>
      </c>
      <c r="P324" s="22">
        <v>0.08</v>
      </c>
      <c r="Q324" s="30">
        <v>2190</v>
      </c>
      <c r="R324" s="33">
        <f>Table1_1[[#This Row],[Units Sold]]*Table1_1[[#This Row],[Unit Price]]*1-Table1_1[[#This Row],[Discount]]</f>
        <v>132961.92000000001</v>
      </c>
      <c r="S324" s="33">
        <f>Table1_1[[#This Row],[Units Sold]]*Table1_1[[#This Row],[Unit Cost]]</f>
        <v>83220</v>
      </c>
      <c r="T324" s="33">
        <f>Table1_1[[#This Row],[Sales Amount]]-S324</f>
        <v>49741.920000000013</v>
      </c>
      <c r="U324" s="32">
        <f>IFERROR(Table1_1[[#This Row],[Profit/loss]]/Table1_1[[#This Row],[Sales Amount]],0)</f>
        <v>0.37410651109731274</v>
      </c>
    </row>
    <row r="325" spans="1:21" ht="18" x14ac:dyDescent="0.35">
      <c r="A325" s="21" t="s">
        <v>432</v>
      </c>
      <c r="B325" s="36">
        <v>45464</v>
      </c>
      <c r="C325" s="22">
        <f>YEAR(Table1_1[[#This Row],[Order Date]])</f>
        <v>2024</v>
      </c>
      <c r="D325" s="22" t="str">
        <f>TEXT(Table1_1[[#This Row],[Order Date]],"MMMM")</f>
        <v>June</v>
      </c>
      <c r="E325" s="22" t="s">
        <v>26</v>
      </c>
      <c r="F325" s="22" t="s">
        <v>53</v>
      </c>
      <c r="G325" s="22" t="s">
        <v>28</v>
      </c>
      <c r="H325" s="22" t="s">
        <v>29</v>
      </c>
      <c r="I325" s="22" t="s">
        <v>40</v>
      </c>
      <c r="J325" s="22" t="s">
        <v>76</v>
      </c>
      <c r="K325" s="22" t="s">
        <v>113</v>
      </c>
      <c r="L325" s="22" t="s">
        <v>57</v>
      </c>
      <c r="M325" s="22" t="s">
        <v>24</v>
      </c>
      <c r="N325" s="22">
        <v>30</v>
      </c>
      <c r="O325" s="26">
        <v>22999</v>
      </c>
      <c r="P325" s="22">
        <v>0.1</v>
      </c>
      <c r="Q325" s="30">
        <v>15100</v>
      </c>
      <c r="R325" s="33">
        <f>Table1_1[[#This Row],[Units Sold]]*Table1_1[[#This Row],[Unit Price]]*1-Table1_1[[#This Row],[Discount]]</f>
        <v>689969.9</v>
      </c>
      <c r="S325" s="33">
        <f>Table1_1[[#This Row],[Units Sold]]*Table1_1[[#This Row],[Unit Cost]]</f>
        <v>453000</v>
      </c>
      <c r="T325" s="33">
        <f>Table1_1[[#This Row],[Sales Amount]]-S325</f>
        <v>236969.90000000002</v>
      </c>
      <c r="U325" s="32">
        <f>IFERROR(Table1_1[[#This Row],[Profit/loss]]/Table1_1[[#This Row],[Sales Amount]],0)</f>
        <v>0.34344962004864271</v>
      </c>
    </row>
    <row r="326" spans="1:21" ht="18" x14ac:dyDescent="0.35">
      <c r="A326" s="21" t="s">
        <v>433</v>
      </c>
      <c r="B326" s="36">
        <v>45464</v>
      </c>
      <c r="C326" s="22">
        <f>YEAR(Table1_1[[#This Row],[Order Date]])</f>
        <v>2024</v>
      </c>
      <c r="D326" s="22" t="str">
        <f>TEXT(Table1_1[[#This Row],[Order Date]],"MMMM")</f>
        <v>June</v>
      </c>
      <c r="E326" s="22" t="s">
        <v>82</v>
      </c>
      <c r="F326" s="22" t="s">
        <v>100</v>
      </c>
      <c r="G326" s="22" t="s">
        <v>105</v>
      </c>
      <c r="H326" s="22" t="s">
        <v>39</v>
      </c>
      <c r="I326" s="22" t="s">
        <v>30</v>
      </c>
      <c r="J326" s="22" t="s">
        <v>61</v>
      </c>
      <c r="K326" s="22" t="s">
        <v>186</v>
      </c>
      <c r="L326" s="22" t="s">
        <v>23</v>
      </c>
      <c r="M326" s="22" t="s">
        <v>66</v>
      </c>
      <c r="N326" s="22">
        <v>20</v>
      </c>
      <c r="O326" s="26">
        <v>6999</v>
      </c>
      <c r="P326" s="22">
        <v>0.15</v>
      </c>
      <c r="Q326" s="30">
        <v>4320</v>
      </c>
      <c r="R326" s="33">
        <f>Table1_1[[#This Row],[Units Sold]]*Table1_1[[#This Row],[Unit Price]]*1-Table1_1[[#This Row],[Discount]]</f>
        <v>139979.85</v>
      </c>
      <c r="S326" s="33">
        <f>Table1_1[[#This Row],[Units Sold]]*Table1_1[[#This Row],[Unit Cost]]</f>
        <v>86400</v>
      </c>
      <c r="T326" s="33">
        <f>Table1_1[[#This Row],[Sales Amount]]-S326</f>
        <v>53579.850000000006</v>
      </c>
      <c r="U326" s="32">
        <f>IFERROR(Table1_1[[#This Row],[Profit/loss]]/Table1_1[[#This Row],[Sales Amount]],0)</f>
        <v>0.38276830558112473</v>
      </c>
    </row>
    <row r="327" spans="1:21" ht="18" x14ac:dyDescent="0.35">
      <c r="A327" s="21" t="s">
        <v>434</v>
      </c>
      <c r="B327" s="36">
        <v>45465</v>
      </c>
      <c r="C327" s="22">
        <f>YEAR(Table1_1[[#This Row],[Order Date]])</f>
        <v>2024</v>
      </c>
      <c r="D327" s="22" t="str">
        <f>TEXT(Table1_1[[#This Row],[Order Date]],"MMMM")</f>
        <v>June</v>
      </c>
      <c r="E327" s="22" t="s">
        <v>82</v>
      </c>
      <c r="F327" s="22" t="s">
        <v>100</v>
      </c>
      <c r="G327" s="22" t="s">
        <v>60</v>
      </c>
      <c r="H327" s="22" t="s">
        <v>39</v>
      </c>
      <c r="I327" s="22" t="s">
        <v>30</v>
      </c>
      <c r="J327" s="22" t="s">
        <v>31</v>
      </c>
      <c r="K327" s="22" t="s">
        <v>85</v>
      </c>
      <c r="L327" s="22" t="s">
        <v>57</v>
      </c>
      <c r="M327" s="22" t="s">
        <v>34</v>
      </c>
      <c r="N327" s="22">
        <v>19</v>
      </c>
      <c r="O327" s="26">
        <v>43500</v>
      </c>
      <c r="P327" s="22">
        <v>0.18</v>
      </c>
      <c r="Q327" s="30">
        <v>29520</v>
      </c>
      <c r="R327" s="33">
        <f>Table1_1[[#This Row],[Units Sold]]*Table1_1[[#This Row],[Unit Price]]*1-Table1_1[[#This Row],[Discount]]</f>
        <v>826499.82</v>
      </c>
      <c r="S327" s="33">
        <f>Table1_1[[#This Row],[Units Sold]]*Table1_1[[#This Row],[Unit Cost]]</f>
        <v>560880</v>
      </c>
      <c r="T327" s="33">
        <f>Table1_1[[#This Row],[Sales Amount]]-S327</f>
        <v>265619.81999999995</v>
      </c>
      <c r="U327" s="32">
        <f>IFERROR(Table1_1[[#This Row],[Profit/loss]]/Table1_1[[#This Row],[Sales Amount]],0)</f>
        <v>0.32137916255081578</v>
      </c>
    </row>
    <row r="328" spans="1:21" ht="18" x14ac:dyDescent="0.35">
      <c r="A328" s="21" t="s">
        <v>435</v>
      </c>
      <c r="B328" s="36">
        <v>45466</v>
      </c>
      <c r="C328" s="22">
        <f>YEAR(Table1_1[[#This Row],[Order Date]])</f>
        <v>2024</v>
      </c>
      <c r="D328" s="22" t="str">
        <f>TEXT(Table1_1[[#This Row],[Order Date]],"MMMM")</f>
        <v>June</v>
      </c>
      <c r="E328" s="22" t="s">
        <v>48</v>
      </c>
      <c r="F328" s="22" t="s">
        <v>93</v>
      </c>
      <c r="G328" s="22" t="s">
        <v>105</v>
      </c>
      <c r="H328" s="22" t="s">
        <v>39</v>
      </c>
      <c r="I328" s="22" t="s">
        <v>54</v>
      </c>
      <c r="J328" s="22" t="s">
        <v>90</v>
      </c>
      <c r="K328" s="22" t="s">
        <v>1621</v>
      </c>
      <c r="L328" s="22" t="s">
        <v>57</v>
      </c>
      <c r="M328" s="22" t="s">
        <v>24</v>
      </c>
      <c r="N328" s="22">
        <v>3</v>
      </c>
      <c r="O328" s="26">
        <v>31990</v>
      </c>
      <c r="P328" s="22">
        <v>0.15</v>
      </c>
      <c r="Q328" s="30">
        <v>21800</v>
      </c>
      <c r="R328" s="33">
        <f>Table1_1[[#This Row],[Units Sold]]*Table1_1[[#This Row],[Unit Price]]*1-Table1_1[[#This Row],[Discount]]</f>
        <v>95969.85</v>
      </c>
      <c r="S328" s="33">
        <f>Table1_1[[#This Row],[Units Sold]]*Table1_1[[#This Row],[Unit Cost]]</f>
        <v>65400</v>
      </c>
      <c r="T328" s="33">
        <f>Table1_1[[#This Row],[Sales Amount]]-S328</f>
        <v>30569.850000000006</v>
      </c>
      <c r="U328" s="32">
        <f>IFERROR(Table1_1[[#This Row],[Profit/loss]]/Table1_1[[#This Row],[Sales Amount]],0)</f>
        <v>0.31853597770549819</v>
      </c>
    </row>
    <row r="329" spans="1:21" ht="18" x14ac:dyDescent="0.35">
      <c r="A329" s="21" t="s">
        <v>436</v>
      </c>
      <c r="B329" s="36">
        <v>45467</v>
      </c>
      <c r="C329" s="22">
        <f>YEAR(Table1_1[[#This Row],[Order Date]])</f>
        <v>2024</v>
      </c>
      <c r="D329" s="22" t="str">
        <f>TEXT(Table1_1[[#This Row],[Order Date]],"MMMM")</f>
        <v>June</v>
      </c>
      <c r="E329" s="22" t="s">
        <v>48</v>
      </c>
      <c r="F329" s="22" t="s">
        <v>93</v>
      </c>
      <c r="G329" s="22" t="s">
        <v>84</v>
      </c>
      <c r="H329" s="22" t="s">
        <v>19</v>
      </c>
      <c r="I329" s="22" t="s">
        <v>20</v>
      </c>
      <c r="J329" s="22" t="s">
        <v>21</v>
      </c>
      <c r="K329" s="22" t="s">
        <v>115</v>
      </c>
      <c r="L329" s="22" t="s">
        <v>23</v>
      </c>
      <c r="M329" s="22" t="s">
        <v>24</v>
      </c>
      <c r="N329" s="22">
        <v>23</v>
      </c>
      <c r="O329" s="26">
        <v>6499</v>
      </c>
      <c r="P329" s="22">
        <v>0.1</v>
      </c>
      <c r="Q329" s="30">
        <v>4210</v>
      </c>
      <c r="R329" s="33">
        <f>Table1_1[[#This Row],[Units Sold]]*Table1_1[[#This Row],[Unit Price]]*1-Table1_1[[#This Row],[Discount]]</f>
        <v>149476.9</v>
      </c>
      <c r="S329" s="33">
        <f>Table1_1[[#This Row],[Units Sold]]*Table1_1[[#This Row],[Unit Cost]]</f>
        <v>96830</v>
      </c>
      <c r="T329" s="33">
        <f>Table1_1[[#This Row],[Sales Amount]]-S329</f>
        <v>52646.899999999994</v>
      </c>
      <c r="U329" s="32">
        <f>IFERROR(Table1_1[[#This Row],[Profit/loss]]/Table1_1[[#This Row],[Sales Amount]],0)</f>
        <v>0.352207598632297</v>
      </c>
    </row>
    <row r="330" spans="1:21" ht="18" x14ac:dyDescent="0.35">
      <c r="A330" s="21" t="s">
        <v>437</v>
      </c>
      <c r="B330" s="36">
        <v>45467</v>
      </c>
      <c r="C330" s="22">
        <f>YEAR(Table1_1[[#This Row],[Order Date]])</f>
        <v>2024</v>
      </c>
      <c r="D330" s="22" t="str">
        <f>TEXT(Table1_1[[#This Row],[Order Date]],"MMMM")</f>
        <v>June</v>
      </c>
      <c r="E330" s="22" t="s">
        <v>16</v>
      </c>
      <c r="F330" s="22" t="s">
        <v>17</v>
      </c>
      <c r="G330" s="22" t="s">
        <v>28</v>
      </c>
      <c r="H330" s="22" t="s">
        <v>39</v>
      </c>
      <c r="I330" s="22" t="s">
        <v>40</v>
      </c>
      <c r="J330" s="22" t="s">
        <v>41</v>
      </c>
      <c r="K330" s="22" t="s">
        <v>1628</v>
      </c>
      <c r="L330" s="22" t="s">
        <v>33</v>
      </c>
      <c r="M330" s="22" t="s">
        <v>24</v>
      </c>
      <c r="N330" s="22">
        <v>32</v>
      </c>
      <c r="O330" s="26">
        <v>48500</v>
      </c>
      <c r="P330" s="22">
        <v>0.08</v>
      </c>
      <c r="Q330" s="30">
        <v>30200</v>
      </c>
      <c r="R330" s="33">
        <f>Table1_1[[#This Row],[Units Sold]]*Table1_1[[#This Row],[Unit Price]]*1-Table1_1[[#This Row],[Discount]]</f>
        <v>1551999.92</v>
      </c>
      <c r="S330" s="33">
        <f>Table1_1[[#This Row],[Units Sold]]*Table1_1[[#This Row],[Unit Cost]]</f>
        <v>966400</v>
      </c>
      <c r="T330" s="33">
        <f>Table1_1[[#This Row],[Sales Amount]]-S330</f>
        <v>585599.91999999993</v>
      </c>
      <c r="U330" s="32">
        <f>IFERROR(Table1_1[[#This Row],[Profit/loss]]/Table1_1[[#This Row],[Sales Amount]],0)</f>
        <v>0.3773195555319358</v>
      </c>
    </row>
    <row r="331" spans="1:21" ht="18" x14ac:dyDescent="0.35">
      <c r="A331" s="21" t="s">
        <v>438</v>
      </c>
      <c r="B331" s="36">
        <v>45468</v>
      </c>
      <c r="C331" s="22">
        <f>YEAR(Table1_1[[#This Row],[Order Date]])</f>
        <v>2024</v>
      </c>
      <c r="D331" s="22" t="str">
        <f>TEXT(Table1_1[[#This Row],[Order Date]],"MMMM")</f>
        <v>June</v>
      </c>
      <c r="E331" s="22" t="s">
        <v>16</v>
      </c>
      <c r="F331" s="22" t="s">
        <v>98</v>
      </c>
      <c r="G331" s="22" t="s">
        <v>69</v>
      </c>
      <c r="H331" s="22" t="s">
        <v>19</v>
      </c>
      <c r="I331" s="22" t="s">
        <v>40</v>
      </c>
      <c r="J331" s="22" t="s">
        <v>64</v>
      </c>
      <c r="K331" s="22" t="s">
        <v>1619</v>
      </c>
      <c r="L331" s="22" t="s">
        <v>23</v>
      </c>
      <c r="M331" s="22" t="s">
        <v>24</v>
      </c>
      <c r="N331" s="22">
        <v>3</v>
      </c>
      <c r="O331" s="26">
        <v>1930</v>
      </c>
      <c r="P331" s="22">
        <v>0.12</v>
      </c>
      <c r="Q331" s="30">
        <v>1120</v>
      </c>
      <c r="R331" s="33">
        <f>Table1_1[[#This Row],[Units Sold]]*Table1_1[[#This Row],[Unit Price]]*1-Table1_1[[#This Row],[Discount]]</f>
        <v>5789.88</v>
      </c>
      <c r="S331" s="33">
        <f>Table1_1[[#This Row],[Units Sold]]*Table1_1[[#This Row],[Unit Cost]]</f>
        <v>3360</v>
      </c>
      <c r="T331" s="33">
        <f>Table1_1[[#This Row],[Sales Amount]]-S331</f>
        <v>2429.88</v>
      </c>
      <c r="U331" s="32">
        <f>IFERROR(Table1_1[[#This Row],[Profit/loss]]/Table1_1[[#This Row],[Sales Amount]],0)</f>
        <v>0.41967709175319695</v>
      </c>
    </row>
    <row r="332" spans="1:21" ht="18" x14ac:dyDescent="0.35">
      <c r="A332" s="21" t="s">
        <v>439</v>
      </c>
      <c r="B332" s="36">
        <v>45468</v>
      </c>
      <c r="C332" s="22">
        <f>YEAR(Table1_1[[#This Row],[Order Date]])</f>
        <v>2024</v>
      </c>
      <c r="D332" s="22" t="str">
        <f>TEXT(Table1_1[[#This Row],[Order Date]],"MMMM")</f>
        <v>June</v>
      </c>
      <c r="E332" s="22" t="s">
        <v>36</v>
      </c>
      <c r="F332" s="22" t="s">
        <v>121</v>
      </c>
      <c r="G332" s="22" t="s">
        <v>28</v>
      </c>
      <c r="H332" s="22" t="s">
        <v>19</v>
      </c>
      <c r="I332" s="22" t="s">
        <v>20</v>
      </c>
      <c r="J332" s="22" t="s">
        <v>45</v>
      </c>
      <c r="K332" s="22" t="s">
        <v>196</v>
      </c>
      <c r="L332" s="22" t="s">
        <v>23</v>
      </c>
      <c r="M332" s="22" t="s">
        <v>66</v>
      </c>
      <c r="N332" s="22">
        <v>33</v>
      </c>
      <c r="O332" s="26">
        <v>2499</v>
      </c>
      <c r="P332" s="22">
        <v>0.08</v>
      </c>
      <c r="Q332" s="30">
        <v>1510</v>
      </c>
      <c r="R332" s="33">
        <f>Table1_1[[#This Row],[Units Sold]]*Table1_1[[#This Row],[Unit Price]]*1-Table1_1[[#This Row],[Discount]]</f>
        <v>82466.92</v>
      </c>
      <c r="S332" s="33">
        <f>Table1_1[[#This Row],[Units Sold]]*Table1_1[[#This Row],[Unit Cost]]</f>
        <v>49830</v>
      </c>
      <c r="T332" s="33">
        <f>Table1_1[[#This Row],[Sales Amount]]-S332</f>
        <v>32636.92</v>
      </c>
      <c r="U332" s="32">
        <f>IFERROR(Table1_1[[#This Row],[Profit/loss]]/Table1_1[[#This Row],[Sales Amount]],0)</f>
        <v>0.39575771715495134</v>
      </c>
    </row>
    <row r="333" spans="1:21" ht="18" x14ac:dyDescent="0.35">
      <c r="A333" s="21" t="s">
        <v>440</v>
      </c>
      <c r="B333" s="36">
        <v>45468</v>
      </c>
      <c r="C333" s="22">
        <f>YEAR(Table1_1[[#This Row],[Order Date]])</f>
        <v>2024</v>
      </c>
      <c r="D333" s="22" t="str">
        <f>TEXT(Table1_1[[#This Row],[Order Date]],"MMMM")</f>
        <v>June</v>
      </c>
      <c r="E333" s="22" t="s">
        <v>26</v>
      </c>
      <c r="F333" s="22" t="s">
        <v>74</v>
      </c>
      <c r="G333" s="22" t="s">
        <v>18</v>
      </c>
      <c r="H333" s="22" t="s">
        <v>29</v>
      </c>
      <c r="I333" s="22" t="s">
        <v>30</v>
      </c>
      <c r="J333" s="22" t="s">
        <v>31</v>
      </c>
      <c r="K333" s="22" t="s">
        <v>106</v>
      </c>
      <c r="L333" s="22" t="s">
        <v>23</v>
      </c>
      <c r="M333" s="22" t="s">
        <v>24</v>
      </c>
      <c r="N333" s="22">
        <v>28</v>
      </c>
      <c r="O333" s="26">
        <v>52990</v>
      </c>
      <c r="P333" s="22">
        <v>0.18</v>
      </c>
      <c r="Q333" s="30">
        <v>35100</v>
      </c>
      <c r="R333" s="33">
        <f>Table1_1[[#This Row],[Units Sold]]*Table1_1[[#This Row],[Unit Price]]*1-Table1_1[[#This Row],[Discount]]</f>
        <v>1483719.82</v>
      </c>
      <c r="S333" s="33">
        <f>Table1_1[[#This Row],[Units Sold]]*Table1_1[[#This Row],[Unit Cost]]</f>
        <v>982800</v>
      </c>
      <c r="T333" s="33">
        <f>Table1_1[[#This Row],[Sales Amount]]-S333</f>
        <v>500919.82000000007</v>
      </c>
      <c r="U333" s="32">
        <f>IFERROR(Table1_1[[#This Row],[Profit/loss]]/Table1_1[[#This Row],[Sales Amount]],0)</f>
        <v>0.33761078961660029</v>
      </c>
    </row>
    <row r="334" spans="1:21" ht="18" x14ac:dyDescent="0.35">
      <c r="A334" s="21" t="s">
        <v>441</v>
      </c>
      <c r="B334" s="36">
        <v>45469</v>
      </c>
      <c r="C334" s="22">
        <f>YEAR(Table1_1[[#This Row],[Order Date]])</f>
        <v>2024</v>
      </c>
      <c r="D334" s="22" t="str">
        <f>TEXT(Table1_1[[#This Row],[Order Date]],"MMMM")</f>
        <v>June</v>
      </c>
      <c r="E334" s="22" t="s">
        <v>48</v>
      </c>
      <c r="F334" s="22" t="s">
        <v>49</v>
      </c>
      <c r="G334" s="22" t="s">
        <v>18</v>
      </c>
      <c r="H334" s="22" t="s">
        <v>39</v>
      </c>
      <c r="I334" s="22" t="s">
        <v>30</v>
      </c>
      <c r="J334" s="22" t="s">
        <v>31</v>
      </c>
      <c r="K334" s="22" t="s">
        <v>32</v>
      </c>
      <c r="L334" s="22" t="s">
        <v>57</v>
      </c>
      <c r="M334" s="22" t="s">
        <v>66</v>
      </c>
      <c r="N334" s="22">
        <v>11</v>
      </c>
      <c r="O334" s="26">
        <v>38990</v>
      </c>
      <c r="P334" s="22">
        <v>0.05</v>
      </c>
      <c r="Q334" s="30">
        <v>25400</v>
      </c>
      <c r="R334" s="33">
        <f>Table1_1[[#This Row],[Units Sold]]*Table1_1[[#This Row],[Unit Price]]*1-Table1_1[[#This Row],[Discount]]</f>
        <v>428889.95</v>
      </c>
      <c r="S334" s="33">
        <f>Table1_1[[#This Row],[Units Sold]]*Table1_1[[#This Row],[Unit Cost]]</f>
        <v>279400</v>
      </c>
      <c r="T334" s="33">
        <f>Table1_1[[#This Row],[Sales Amount]]-S334</f>
        <v>149489.95000000001</v>
      </c>
      <c r="U334" s="32">
        <f>IFERROR(Table1_1[[#This Row],[Profit/loss]]/Table1_1[[#This Row],[Sales Amount]],0)</f>
        <v>0.34855083454391972</v>
      </c>
    </row>
    <row r="335" spans="1:21" ht="18" x14ac:dyDescent="0.35">
      <c r="A335" s="21" t="s">
        <v>442</v>
      </c>
      <c r="B335" s="36">
        <v>45469</v>
      </c>
      <c r="C335" s="22">
        <f>YEAR(Table1_1[[#This Row],[Order Date]])</f>
        <v>2024</v>
      </c>
      <c r="D335" s="22" t="str">
        <f>TEXT(Table1_1[[#This Row],[Order Date]],"MMMM")</f>
        <v>June</v>
      </c>
      <c r="E335" s="22" t="s">
        <v>26</v>
      </c>
      <c r="F335" s="22" t="s">
        <v>53</v>
      </c>
      <c r="G335" s="22" t="s">
        <v>18</v>
      </c>
      <c r="H335" s="22" t="s">
        <v>39</v>
      </c>
      <c r="I335" s="22" t="s">
        <v>40</v>
      </c>
      <c r="J335" s="22" t="s">
        <v>76</v>
      </c>
      <c r="K335" s="22" t="s">
        <v>113</v>
      </c>
      <c r="L335" s="22" t="s">
        <v>23</v>
      </c>
      <c r="M335" s="22" t="s">
        <v>78</v>
      </c>
      <c r="N335" s="22">
        <v>9</v>
      </c>
      <c r="O335" s="26">
        <v>22999</v>
      </c>
      <c r="P335" s="22">
        <v>0.12</v>
      </c>
      <c r="Q335" s="30">
        <v>15100</v>
      </c>
      <c r="R335" s="33">
        <f>Table1_1[[#This Row],[Units Sold]]*Table1_1[[#This Row],[Unit Price]]*1-Table1_1[[#This Row],[Discount]]</f>
        <v>206990.88</v>
      </c>
      <c r="S335" s="33">
        <f>Table1_1[[#This Row],[Units Sold]]*Table1_1[[#This Row],[Unit Cost]]</f>
        <v>135900</v>
      </c>
      <c r="T335" s="33">
        <f>Table1_1[[#This Row],[Sales Amount]]-S335</f>
        <v>71090.880000000005</v>
      </c>
      <c r="U335" s="32">
        <f>IFERROR(Table1_1[[#This Row],[Profit/loss]]/Table1_1[[#This Row],[Sales Amount]],0)</f>
        <v>0.3434493345793786</v>
      </c>
    </row>
    <row r="336" spans="1:21" ht="18" x14ac:dyDescent="0.35">
      <c r="A336" s="21" t="s">
        <v>443</v>
      </c>
      <c r="B336" s="36">
        <v>45470</v>
      </c>
      <c r="C336" s="22">
        <f>YEAR(Table1_1[[#This Row],[Order Date]])</f>
        <v>2024</v>
      </c>
      <c r="D336" s="22" t="str">
        <f>TEXT(Table1_1[[#This Row],[Order Date]],"MMMM")</f>
        <v>June</v>
      </c>
      <c r="E336" s="22" t="s">
        <v>26</v>
      </c>
      <c r="F336" s="22" t="s">
        <v>74</v>
      </c>
      <c r="G336" s="22" t="s">
        <v>75</v>
      </c>
      <c r="H336" s="22" t="s">
        <v>29</v>
      </c>
      <c r="I336" s="22" t="s">
        <v>20</v>
      </c>
      <c r="J336" s="22" t="s">
        <v>21</v>
      </c>
      <c r="K336" s="22" t="s">
        <v>51</v>
      </c>
      <c r="L336" s="22" t="s">
        <v>57</v>
      </c>
      <c r="M336" s="22" t="s">
        <v>34</v>
      </c>
      <c r="N336" s="22">
        <v>11</v>
      </c>
      <c r="O336" s="26">
        <v>5999</v>
      </c>
      <c r="P336" s="22">
        <v>0.1</v>
      </c>
      <c r="Q336" s="30">
        <v>3890</v>
      </c>
      <c r="R336" s="33">
        <f>Table1_1[[#This Row],[Units Sold]]*Table1_1[[#This Row],[Unit Price]]*1-Table1_1[[#This Row],[Discount]]</f>
        <v>65988.899999999994</v>
      </c>
      <c r="S336" s="33">
        <f>Table1_1[[#This Row],[Units Sold]]*Table1_1[[#This Row],[Unit Cost]]</f>
        <v>42790</v>
      </c>
      <c r="T336" s="33">
        <f>Table1_1[[#This Row],[Sales Amount]]-S336</f>
        <v>23198.899999999994</v>
      </c>
      <c r="U336" s="32">
        <f>IFERROR(Table1_1[[#This Row],[Profit/loss]]/Table1_1[[#This Row],[Sales Amount]],0)</f>
        <v>0.35155761044660538</v>
      </c>
    </row>
    <row r="337" spans="1:21" ht="18" x14ac:dyDescent="0.35">
      <c r="A337" s="21" t="s">
        <v>444</v>
      </c>
      <c r="B337" s="36">
        <v>45470</v>
      </c>
      <c r="C337" s="22">
        <f>YEAR(Table1_1[[#This Row],[Order Date]])</f>
        <v>2024</v>
      </c>
      <c r="D337" s="22" t="str">
        <f>TEXT(Table1_1[[#This Row],[Order Date]],"MMMM")</f>
        <v>June</v>
      </c>
      <c r="E337" s="22" t="s">
        <v>36</v>
      </c>
      <c r="F337" s="22" t="s">
        <v>121</v>
      </c>
      <c r="G337" s="22" t="s">
        <v>60</v>
      </c>
      <c r="H337" s="22" t="s">
        <v>39</v>
      </c>
      <c r="I337" s="22" t="s">
        <v>30</v>
      </c>
      <c r="J337" s="22" t="s">
        <v>61</v>
      </c>
      <c r="K337" s="22" t="s">
        <v>96</v>
      </c>
      <c r="L337" s="22" t="s">
        <v>33</v>
      </c>
      <c r="M337" s="22" t="s">
        <v>66</v>
      </c>
      <c r="N337" s="22">
        <v>18</v>
      </c>
      <c r="O337" s="26">
        <v>25110</v>
      </c>
      <c r="P337" s="22">
        <v>0.15</v>
      </c>
      <c r="Q337" s="30">
        <v>16730</v>
      </c>
      <c r="R337" s="33">
        <f>Table1_1[[#This Row],[Units Sold]]*Table1_1[[#This Row],[Unit Price]]*1-Table1_1[[#This Row],[Discount]]</f>
        <v>451979.85</v>
      </c>
      <c r="S337" s="33">
        <f>Table1_1[[#This Row],[Units Sold]]*Table1_1[[#This Row],[Unit Cost]]</f>
        <v>301140</v>
      </c>
      <c r="T337" s="33">
        <f>Table1_1[[#This Row],[Sales Amount]]-S337</f>
        <v>150839.84999999998</v>
      </c>
      <c r="U337" s="32">
        <f>IFERROR(Table1_1[[#This Row],[Profit/loss]]/Table1_1[[#This Row],[Sales Amount]],0)</f>
        <v>0.33373135992677544</v>
      </c>
    </row>
    <row r="338" spans="1:21" ht="18" x14ac:dyDescent="0.35">
      <c r="A338" s="21" t="s">
        <v>445</v>
      </c>
      <c r="B338" s="36">
        <v>45471</v>
      </c>
      <c r="C338" s="22">
        <f>YEAR(Table1_1[[#This Row],[Order Date]])</f>
        <v>2024</v>
      </c>
      <c r="D338" s="22" t="str">
        <f>TEXT(Table1_1[[#This Row],[Order Date]],"MMMM")</f>
        <v>June</v>
      </c>
      <c r="E338" s="22" t="s">
        <v>36</v>
      </c>
      <c r="F338" s="22" t="s">
        <v>37</v>
      </c>
      <c r="G338" s="22" t="s">
        <v>50</v>
      </c>
      <c r="H338" s="22" t="s">
        <v>39</v>
      </c>
      <c r="I338" s="22" t="s">
        <v>30</v>
      </c>
      <c r="J338" s="22" t="s">
        <v>61</v>
      </c>
      <c r="K338" s="22" t="s">
        <v>96</v>
      </c>
      <c r="L338" s="22" t="s">
        <v>57</v>
      </c>
      <c r="M338" s="22" t="s">
        <v>66</v>
      </c>
      <c r="N338" s="22">
        <v>20</v>
      </c>
      <c r="O338" s="26">
        <v>25110</v>
      </c>
      <c r="P338" s="22">
        <v>0.1</v>
      </c>
      <c r="Q338" s="30">
        <v>16730</v>
      </c>
      <c r="R338" s="33">
        <f>Table1_1[[#This Row],[Units Sold]]*Table1_1[[#This Row],[Unit Price]]*1-Table1_1[[#This Row],[Discount]]</f>
        <v>502199.9</v>
      </c>
      <c r="S338" s="33">
        <f>Table1_1[[#This Row],[Units Sold]]*Table1_1[[#This Row],[Unit Cost]]</f>
        <v>334600</v>
      </c>
      <c r="T338" s="33">
        <f>Table1_1[[#This Row],[Sales Amount]]-S338</f>
        <v>167599.90000000002</v>
      </c>
      <c r="U338" s="32">
        <f>IFERROR(Table1_1[[#This Row],[Profit/loss]]/Table1_1[[#This Row],[Sales Amount]],0)</f>
        <v>0.33373144837344654</v>
      </c>
    </row>
    <row r="339" spans="1:21" ht="18" x14ac:dyDescent="0.35">
      <c r="A339" s="21" t="s">
        <v>446</v>
      </c>
      <c r="B339" s="36">
        <v>45471</v>
      </c>
      <c r="C339" s="22">
        <f>YEAR(Table1_1[[#This Row],[Order Date]])</f>
        <v>2024</v>
      </c>
      <c r="D339" s="22" t="str">
        <f>TEXT(Table1_1[[#This Row],[Order Date]],"MMMM")</f>
        <v>June</v>
      </c>
      <c r="E339" s="22" t="s">
        <v>16</v>
      </c>
      <c r="F339" s="22" t="s">
        <v>126</v>
      </c>
      <c r="G339" s="22" t="s">
        <v>60</v>
      </c>
      <c r="H339" s="22" t="s">
        <v>39</v>
      </c>
      <c r="I339" s="22" t="s">
        <v>20</v>
      </c>
      <c r="J339" s="22" t="s">
        <v>45</v>
      </c>
      <c r="K339" s="22" t="s">
        <v>1622</v>
      </c>
      <c r="L339" s="22" t="s">
        <v>57</v>
      </c>
      <c r="M339" s="22" t="s">
        <v>24</v>
      </c>
      <c r="N339" s="22">
        <v>19</v>
      </c>
      <c r="O339" s="26">
        <v>1599</v>
      </c>
      <c r="P339" s="22">
        <v>0.1</v>
      </c>
      <c r="Q339" s="30">
        <v>920</v>
      </c>
      <c r="R339" s="33">
        <f>Table1_1[[#This Row],[Units Sold]]*Table1_1[[#This Row],[Unit Price]]*1-Table1_1[[#This Row],[Discount]]</f>
        <v>30380.9</v>
      </c>
      <c r="S339" s="33">
        <f>Table1_1[[#This Row],[Units Sold]]*Table1_1[[#This Row],[Unit Cost]]</f>
        <v>17480</v>
      </c>
      <c r="T339" s="33">
        <f>Table1_1[[#This Row],[Sales Amount]]-S339</f>
        <v>12900.900000000001</v>
      </c>
      <c r="U339" s="32">
        <f>IFERROR(Table1_1[[#This Row],[Profit/loss]]/Table1_1[[#This Row],[Sales Amount]],0)</f>
        <v>0.42463850643002676</v>
      </c>
    </row>
    <row r="340" spans="1:21" ht="18" x14ac:dyDescent="0.35">
      <c r="A340" s="21" t="s">
        <v>447</v>
      </c>
      <c r="B340" s="36">
        <v>45472</v>
      </c>
      <c r="C340" s="22">
        <f>YEAR(Table1_1[[#This Row],[Order Date]])</f>
        <v>2024</v>
      </c>
      <c r="D340" s="22" t="str">
        <f>TEXT(Table1_1[[#This Row],[Order Date]],"MMMM")</f>
        <v>June</v>
      </c>
      <c r="E340" s="22" t="s">
        <v>26</v>
      </c>
      <c r="F340" s="22" t="s">
        <v>27</v>
      </c>
      <c r="G340" s="22" t="s">
        <v>101</v>
      </c>
      <c r="H340" s="22" t="s">
        <v>29</v>
      </c>
      <c r="I340" s="22" t="s">
        <v>20</v>
      </c>
      <c r="J340" s="22" t="s">
        <v>21</v>
      </c>
      <c r="K340" s="22" t="s">
        <v>22</v>
      </c>
      <c r="L340" s="22" t="s">
        <v>23</v>
      </c>
      <c r="M340" s="22" t="s">
        <v>24</v>
      </c>
      <c r="N340" s="22">
        <v>21</v>
      </c>
      <c r="O340" s="26">
        <v>4499</v>
      </c>
      <c r="P340" s="22">
        <v>0.12</v>
      </c>
      <c r="Q340" s="30">
        <v>2910</v>
      </c>
      <c r="R340" s="33">
        <f>Table1_1[[#This Row],[Units Sold]]*Table1_1[[#This Row],[Unit Price]]*1-Table1_1[[#This Row],[Discount]]</f>
        <v>94478.88</v>
      </c>
      <c r="S340" s="33">
        <f>Table1_1[[#This Row],[Units Sold]]*Table1_1[[#This Row],[Unit Cost]]</f>
        <v>61110</v>
      </c>
      <c r="T340" s="33">
        <f>Table1_1[[#This Row],[Sales Amount]]-S340</f>
        <v>33368.880000000005</v>
      </c>
      <c r="U340" s="32">
        <f>IFERROR(Table1_1[[#This Row],[Profit/loss]]/Table1_1[[#This Row],[Sales Amount]],0)</f>
        <v>0.35318877615822714</v>
      </c>
    </row>
    <row r="341" spans="1:21" ht="18" x14ac:dyDescent="0.35">
      <c r="A341" s="21" t="s">
        <v>448</v>
      </c>
      <c r="B341" s="36">
        <v>45473</v>
      </c>
      <c r="C341" s="22">
        <f>YEAR(Table1_1[[#This Row],[Order Date]])</f>
        <v>2024</v>
      </c>
      <c r="D341" s="22" t="str">
        <f>TEXT(Table1_1[[#This Row],[Order Date]],"MMMM")</f>
        <v>June</v>
      </c>
      <c r="E341" s="22" t="s">
        <v>36</v>
      </c>
      <c r="F341" s="22" t="s">
        <v>44</v>
      </c>
      <c r="G341" s="22" t="s">
        <v>105</v>
      </c>
      <c r="H341" s="22" t="s">
        <v>39</v>
      </c>
      <c r="I341" s="22" t="s">
        <v>20</v>
      </c>
      <c r="J341" s="22" t="s">
        <v>21</v>
      </c>
      <c r="K341" s="22" t="s">
        <v>115</v>
      </c>
      <c r="L341" s="22" t="s">
        <v>23</v>
      </c>
      <c r="M341" s="22" t="s">
        <v>24</v>
      </c>
      <c r="N341" s="22">
        <v>1</v>
      </c>
      <c r="O341" s="26">
        <v>6499</v>
      </c>
      <c r="P341" s="22">
        <v>0.1</v>
      </c>
      <c r="Q341" s="30">
        <v>4210</v>
      </c>
      <c r="R341" s="33">
        <f>Table1_1[[#This Row],[Units Sold]]*Table1_1[[#This Row],[Unit Price]]*1-Table1_1[[#This Row],[Discount]]</f>
        <v>6498.9</v>
      </c>
      <c r="S341" s="33">
        <f>Table1_1[[#This Row],[Units Sold]]*Table1_1[[#This Row],[Unit Cost]]</f>
        <v>4210</v>
      </c>
      <c r="T341" s="33">
        <f>Table1_1[[#This Row],[Sales Amount]]-S341</f>
        <v>2288.8999999999996</v>
      </c>
      <c r="U341" s="32">
        <f>IFERROR(Table1_1[[#This Row],[Profit/loss]]/Table1_1[[#This Row],[Sales Amount]],0)</f>
        <v>0.35219806428780254</v>
      </c>
    </row>
    <row r="342" spans="1:21" ht="18" x14ac:dyDescent="0.35">
      <c r="A342" s="21" t="s">
        <v>449</v>
      </c>
      <c r="B342" s="36">
        <v>45475</v>
      </c>
      <c r="C342" s="22">
        <f>YEAR(Table1_1[[#This Row],[Order Date]])</f>
        <v>2024</v>
      </c>
      <c r="D342" s="22" t="str">
        <f>TEXT(Table1_1[[#This Row],[Order Date]],"MMMM")</f>
        <v>July</v>
      </c>
      <c r="E342" s="22" t="s">
        <v>26</v>
      </c>
      <c r="F342" s="22" t="s">
        <v>163</v>
      </c>
      <c r="G342" s="22" t="s">
        <v>28</v>
      </c>
      <c r="H342" s="22" t="s">
        <v>19</v>
      </c>
      <c r="I342" s="22" t="s">
        <v>54</v>
      </c>
      <c r="J342" s="22" t="s">
        <v>90</v>
      </c>
      <c r="K342" s="22" t="s">
        <v>1631</v>
      </c>
      <c r="L342" s="22" t="s">
        <v>33</v>
      </c>
      <c r="M342" s="22" t="s">
        <v>24</v>
      </c>
      <c r="N342" s="22">
        <v>25</v>
      </c>
      <c r="O342" s="26">
        <v>29010</v>
      </c>
      <c r="P342" s="22">
        <v>0.15</v>
      </c>
      <c r="Q342" s="30">
        <v>19150</v>
      </c>
      <c r="R342" s="33">
        <f>Table1_1[[#This Row],[Units Sold]]*Table1_1[[#This Row],[Unit Price]]*1-Table1_1[[#This Row],[Discount]]</f>
        <v>725249.85</v>
      </c>
      <c r="S342" s="33">
        <f>Table1_1[[#This Row],[Units Sold]]*Table1_1[[#This Row],[Unit Cost]]</f>
        <v>478750</v>
      </c>
      <c r="T342" s="33">
        <f>Table1_1[[#This Row],[Sales Amount]]-S342</f>
        <v>246499.84999999998</v>
      </c>
      <c r="U342" s="32">
        <f>IFERROR(Table1_1[[#This Row],[Profit/loss]]/Table1_1[[#This Row],[Sales Amount]],0)</f>
        <v>0.33988266250589366</v>
      </c>
    </row>
    <row r="343" spans="1:21" ht="18" x14ac:dyDescent="0.35">
      <c r="A343" s="21" t="s">
        <v>450</v>
      </c>
      <c r="B343" s="36">
        <v>45475</v>
      </c>
      <c r="C343" s="22">
        <f>YEAR(Table1_1[[#This Row],[Order Date]])</f>
        <v>2024</v>
      </c>
      <c r="D343" s="22" t="str">
        <f>TEXT(Table1_1[[#This Row],[Order Date]],"MMMM")</f>
        <v>July</v>
      </c>
      <c r="E343" s="22" t="s">
        <v>36</v>
      </c>
      <c r="F343" s="22" t="s">
        <v>121</v>
      </c>
      <c r="G343" s="22" t="s">
        <v>69</v>
      </c>
      <c r="H343" s="22" t="s">
        <v>29</v>
      </c>
      <c r="I343" s="22" t="s">
        <v>70</v>
      </c>
      <c r="J343" s="22" t="s">
        <v>71</v>
      </c>
      <c r="K343" s="22" t="s">
        <v>72</v>
      </c>
      <c r="L343" s="22" t="s">
        <v>57</v>
      </c>
      <c r="M343" s="22" t="s">
        <v>34</v>
      </c>
      <c r="N343" s="22">
        <v>35</v>
      </c>
      <c r="O343" s="26">
        <v>3499</v>
      </c>
      <c r="P343" s="22">
        <v>0.18</v>
      </c>
      <c r="Q343" s="30">
        <v>2190</v>
      </c>
      <c r="R343" s="33">
        <f>Table1_1[[#This Row],[Units Sold]]*Table1_1[[#This Row],[Unit Price]]*1-Table1_1[[#This Row],[Discount]]</f>
        <v>122464.82</v>
      </c>
      <c r="S343" s="33">
        <f>Table1_1[[#This Row],[Units Sold]]*Table1_1[[#This Row],[Unit Cost]]</f>
        <v>76650</v>
      </c>
      <c r="T343" s="33">
        <f>Table1_1[[#This Row],[Sales Amount]]-S343</f>
        <v>45814.820000000007</v>
      </c>
      <c r="U343" s="32">
        <f>IFERROR(Table1_1[[#This Row],[Profit/loss]]/Table1_1[[#This Row],[Sales Amount]],0)</f>
        <v>0.37410596773832683</v>
      </c>
    </row>
    <row r="344" spans="1:21" ht="18" x14ac:dyDescent="0.35">
      <c r="A344" s="21" t="s">
        <v>451</v>
      </c>
      <c r="B344" s="36">
        <v>45475</v>
      </c>
      <c r="C344" s="22">
        <f>YEAR(Table1_1[[#This Row],[Order Date]])</f>
        <v>2024</v>
      </c>
      <c r="D344" s="22" t="str">
        <f>TEXT(Table1_1[[#This Row],[Order Date]],"MMMM")</f>
        <v>July</v>
      </c>
      <c r="E344" s="22" t="s">
        <v>16</v>
      </c>
      <c r="F344" s="22" t="s">
        <v>17</v>
      </c>
      <c r="G344" s="22" t="s">
        <v>84</v>
      </c>
      <c r="H344" s="22" t="s">
        <v>19</v>
      </c>
      <c r="I344" s="22" t="s">
        <v>20</v>
      </c>
      <c r="J344" s="22" t="s">
        <v>45</v>
      </c>
      <c r="K344" s="22" t="s">
        <v>196</v>
      </c>
      <c r="L344" s="22" t="s">
        <v>57</v>
      </c>
      <c r="M344" s="22" t="s">
        <v>66</v>
      </c>
      <c r="N344" s="22">
        <v>39</v>
      </c>
      <c r="O344" s="26">
        <v>2499</v>
      </c>
      <c r="P344" s="22">
        <v>0.08</v>
      </c>
      <c r="Q344" s="30">
        <v>1510</v>
      </c>
      <c r="R344" s="33">
        <f>Table1_1[[#This Row],[Units Sold]]*Table1_1[[#This Row],[Unit Price]]*1-Table1_1[[#This Row],[Discount]]</f>
        <v>97460.92</v>
      </c>
      <c r="S344" s="33">
        <f>Table1_1[[#This Row],[Units Sold]]*Table1_1[[#This Row],[Unit Cost]]</f>
        <v>58890</v>
      </c>
      <c r="T344" s="33">
        <f>Table1_1[[#This Row],[Sales Amount]]-S344</f>
        <v>38570.92</v>
      </c>
      <c r="U344" s="32">
        <f>IFERROR(Table1_1[[#This Row],[Profit/loss]]/Table1_1[[#This Row],[Sales Amount]],0)</f>
        <v>0.39575780733446803</v>
      </c>
    </row>
    <row r="345" spans="1:21" ht="18" x14ac:dyDescent="0.35">
      <c r="A345" s="21" t="s">
        <v>452</v>
      </c>
      <c r="B345" s="36">
        <v>45476</v>
      </c>
      <c r="C345" s="22">
        <f>YEAR(Table1_1[[#This Row],[Order Date]])</f>
        <v>2024</v>
      </c>
      <c r="D345" s="22" t="str">
        <f>TEXT(Table1_1[[#This Row],[Order Date]],"MMMM")</f>
        <v>July</v>
      </c>
      <c r="E345" s="22" t="s">
        <v>16</v>
      </c>
      <c r="F345" s="22" t="s">
        <v>126</v>
      </c>
      <c r="G345" s="22" t="s">
        <v>75</v>
      </c>
      <c r="H345" s="22" t="s">
        <v>39</v>
      </c>
      <c r="I345" s="22" t="s">
        <v>30</v>
      </c>
      <c r="J345" s="22" t="s">
        <v>61</v>
      </c>
      <c r="K345" s="22" t="s">
        <v>62</v>
      </c>
      <c r="L345" s="22" t="s">
        <v>57</v>
      </c>
      <c r="M345" s="22" t="s">
        <v>24</v>
      </c>
      <c r="N345" s="22">
        <v>6</v>
      </c>
      <c r="O345" s="26">
        <v>12490</v>
      </c>
      <c r="P345" s="22">
        <v>0.15</v>
      </c>
      <c r="Q345" s="30">
        <v>7900</v>
      </c>
      <c r="R345" s="33">
        <f>Table1_1[[#This Row],[Units Sold]]*Table1_1[[#This Row],[Unit Price]]*1-Table1_1[[#This Row],[Discount]]</f>
        <v>74939.850000000006</v>
      </c>
      <c r="S345" s="33">
        <f>Table1_1[[#This Row],[Units Sold]]*Table1_1[[#This Row],[Unit Cost]]</f>
        <v>47400</v>
      </c>
      <c r="T345" s="33">
        <f>Table1_1[[#This Row],[Sales Amount]]-S345</f>
        <v>27539.850000000006</v>
      </c>
      <c r="U345" s="32">
        <f>IFERROR(Table1_1[[#This Row],[Profit/loss]]/Table1_1[[#This Row],[Sales Amount]],0)</f>
        <v>0.36749272916879344</v>
      </c>
    </row>
    <row r="346" spans="1:21" ht="18" x14ac:dyDescent="0.35">
      <c r="A346" s="21" t="s">
        <v>453</v>
      </c>
      <c r="B346" s="36">
        <v>45476</v>
      </c>
      <c r="C346" s="22">
        <f>YEAR(Table1_1[[#This Row],[Order Date]])</f>
        <v>2024</v>
      </c>
      <c r="D346" s="22" t="str">
        <f>TEXT(Table1_1[[#This Row],[Order Date]],"MMMM")</f>
        <v>July</v>
      </c>
      <c r="E346" s="22" t="s">
        <v>82</v>
      </c>
      <c r="F346" s="22" t="s">
        <v>100</v>
      </c>
      <c r="G346" s="22" t="s">
        <v>105</v>
      </c>
      <c r="H346" s="22" t="s">
        <v>39</v>
      </c>
      <c r="I346" s="22" t="s">
        <v>54</v>
      </c>
      <c r="J346" s="22" t="s">
        <v>55</v>
      </c>
      <c r="K346" s="22" t="s">
        <v>148</v>
      </c>
      <c r="L346" s="22" t="s">
        <v>33</v>
      </c>
      <c r="M346" s="22" t="s">
        <v>24</v>
      </c>
      <c r="N346" s="22">
        <v>32</v>
      </c>
      <c r="O346" s="26">
        <v>4680</v>
      </c>
      <c r="P346" s="22">
        <v>0.05</v>
      </c>
      <c r="Q346" s="30">
        <v>3250</v>
      </c>
      <c r="R346" s="33">
        <f>Table1_1[[#This Row],[Units Sold]]*Table1_1[[#This Row],[Unit Price]]*1-Table1_1[[#This Row],[Discount]]</f>
        <v>149759.95000000001</v>
      </c>
      <c r="S346" s="33">
        <f>Table1_1[[#This Row],[Units Sold]]*Table1_1[[#This Row],[Unit Cost]]</f>
        <v>104000</v>
      </c>
      <c r="T346" s="33">
        <f>Table1_1[[#This Row],[Sales Amount]]-S346</f>
        <v>45759.950000000012</v>
      </c>
      <c r="U346" s="32">
        <f>IFERROR(Table1_1[[#This Row],[Profit/loss]]/Table1_1[[#This Row],[Sales Amount]],0)</f>
        <v>0.30555532370303279</v>
      </c>
    </row>
    <row r="347" spans="1:21" ht="18" x14ac:dyDescent="0.35">
      <c r="A347" s="21" t="s">
        <v>454</v>
      </c>
      <c r="B347" s="36">
        <v>45476</v>
      </c>
      <c r="C347" s="22">
        <f>YEAR(Table1_1[[#This Row],[Order Date]])</f>
        <v>2024</v>
      </c>
      <c r="D347" s="22" t="str">
        <f>TEXT(Table1_1[[#This Row],[Order Date]],"MMMM")</f>
        <v>July</v>
      </c>
      <c r="E347" s="22" t="s">
        <v>16</v>
      </c>
      <c r="F347" s="22" t="s">
        <v>17</v>
      </c>
      <c r="G347" s="22" t="s">
        <v>75</v>
      </c>
      <c r="H347" s="22" t="s">
        <v>39</v>
      </c>
      <c r="I347" s="22" t="s">
        <v>70</v>
      </c>
      <c r="J347" s="22" t="s">
        <v>71</v>
      </c>
      <c r="K347" s="22" t="s">
        <v>72</v>
      </c>
      <c r="L347" s="22" t="s">
        <v>57</v>
      </c>
      <c r="M347" s="22" t="s">
        <v>66</v>
      </c>
      <c r="N347" s="22">
        <v>20</v>
      </c>
      <c r="O347" s="26">
        <v>3499</v>
      </c>
      <c r="P347" s="22">
        <v>0.08</v>
      </c>
      <c r="Q347" s="30">
        <v>2190</v>
      </c>
      <c r="R347" s="33">
        <f>Table1_1[[#This Row],[Units Sold]]*Table1_1[[#This Row],[Unit Price]]*1-Table1_1[[#This Row],[Discount]]</f>
        <v>69979.92</v>
      </c>
      <c r="S347" s="33">
        <f>Table1_1[[#This Row],[Units Sold]]*Table1_1[[#This Row],[Unit Cost]]</f>
        <v>43800</v>
      </c>
      <c r="T347" s="33">
        <f>Table1_1[[#This Row],[Sales Amount]]-S347</f>
        <v>26179.919999999998</v>
      </c>
      <c r="U347" s="32">
        <f>IFERROR(Table1_1[[#This Row],[Profit/loss]]/Table1_1[[#This Row],[Sales Amount]],0)</f>
        <v>0.37410617217053121</v>
      </c>
    </row>
    <row r="348" spans="1:21" ht="18" x14ac:dyDescent="0.35">
      <c r="A348" s="21" t="s">
        <v>455</v>
      </c>
      <c r="B348" s="36">
        <v>45476</v>
      </c>
      <c r="C348" s="22">
        <f>YEAR(Table1_1[[#This Row],[Order Date]])</f>
        <v>2024</v>
      </c>
      <c r="D348" s="22" t="str">
        <f>TEXT(Table1_1[[#This Row],[Order Date]],"MMMM")</f>
        <v>July</v>
      </c>
      <c r="E348" s="22" t="s">
        <v>82</v>
      </c>
      <c r="F348" s="22" t="s">
        <v>87</v>
      </c>
      <c r="G348" s="22" t="s">
        <v>84</v>
      </c>
      <c r="H348" s="22" t="s">
        <v>19</v>
      </c>
      <c r="I348" s="22" t="s">
        <v>40</v>
      </c>
      <c r="J348" s="22" t="s">
        <v>76</v>
      </c>
      <c r="K348" s="22" t="s">
        <v>1626</v>
      </c>
      <c r="L348" s="22" t="s">
        <v>23</v>
      </c>
      <c r="M348" s="22" t="s">
        <v>24</v>
      </c>
      <c r="N348" s="22">
        <v>32</v>
      </c>
      <c r="O348" s="26">
        <v>25999</v>
      </c>
      <c r="P348" s="22">
        <v>0.2</v>
      </c>
      <c r="Q348" s="30">
        <v>17800</v>
      </c>
      <c r="R348" s="33">
        <f>Table1_1[[#This Row],[Units Sold]]*Table1_1[[#This Row],[Unit Price]]*1-Table1_1[[#This Row],[Discount]]</f>
        <v>831967.8</v>
      </c>
      <c r="S348" s="33">
        <f>Table1_1[[#This Row],[Units Sold]]*Table1_1[[#This Row],[Unit Cost]]</f>
        <v>569600</v>
      </c>
      <c r="T348" s="33">
        <f>Table1_1[[#This Row],[Sales Amount]]-S348</f>
        <v>262367.80000000005</v>
      </c>
      <c r="U348" s="32">
        <f>IFERROR(Table1_1[[#This Row],[Profit/loss]]/Table1_1[[#This Row],[Sales Amount]],0)</f>
        <v>0.31535811842717953</v>
      </c>
    </row>
    <row r="349" spans="1:21" ht="18" x14ac:dyDescent="0.35">
      <c r="A349" s="21" t="s">
        <v>456</v>
      </c>
      <c r="B349" s="36">
        <v>45476</v>
      </c>
      <c r="C349" s="22">
        <f>YEAR(Table1_1[[#This Row],[Order Date]])</f>
        <v>2024</v>
      </c>
      <c r="D349" s="22" t="str">
        <f>TEXT(Table1_1[[#This Row],[Order Date]],"MMMM")</f>
        <v>July</v>
      </c>
      <c r="E349" s="22" t="s">
        <v>36</v>
      </c>
      <c r="F349" s="22" t="s">
        <v>44</v>
      </c>
      <c r="G349" s="22" t="s">
        <v>60</v>
      </c>
      <c r="H349" s="22" t="s">
        <v>19</v>
      </c>
      <c r="I349" s="22" t="s">
        <v>40</v>
      </c>
      <c r="J349" s="22" t="s">
        <v>76</v>
      </c>
      <c r="K349" s="22" t="s">
        <v>1626</v>
      </c>
      <c r="L349" s="22" t="s">
        <v>33</v>
      </c>
      <c r="M349" s="22" t="s">
        <v>34</v>
      </c>
      <c r="N349" s="22">
        <v>18</v>
      </c>
      <c r="O349" s="26">
        <v>25999</v>
      </c>
      <c r="P349" s="22">
        <v>0.18</v>
      </c>
      <c r="Q349" s="30">
        <v>17800</v>
      </c>
      <c r="R349" s="33">
        <f>Table1_1[[#This Row],[Units Sold]]*Table1_1[[#This Row],[Unit Price]]*1-Table1_1[[#This Row],[Discount]]</f>
        <v>467981.82</v>
      </c>
      <c r="S349" s="33">
        <f>Table1_1[[#This Row],[Units Sold]]*Table1_1[[#This Row],[Unit Cost]]</f>
        <v>320400</v>
      </c>
      <c r="T349" s="33">
        <f>Table1_1[[#This Row],[Sales Amount]]-S349</f>
        <v>147581.82</v>
      </c>
      <c r="U349" s="32">
        <f>IFERROR(Table1_1[[#This Row],[Profit/loss]]/Table1_1[[#This Row],[Sales Amount]],0)</f>
        <v>0.31535801967691823</v>
      </c>
    </row>
    <row r="350" spans="1:21" ht="18" x14ac:dyDescent="0.35">
      <c r="A350" s="21" t="s">
        <v>457</v>
      </c>
      <c r="B350" s="36">
        <v>45478</v>
      </c>
      <c r="C350" s="22">
        <f>YEAR(Table1_1[[#This Row],[Order Date]])</f>
        <v>2024</v>
      </c>
      <c r="D350" s="22" t="str">
        <f>TEXT(Table1_1[[#This Row],[Order Date]],"MMMM")</f>
        <v>July</v>
      </c>
      <c r="E350" s="22" t="s">
        <v>48</v>
      </c>
      <c r="F350" s="22" t="s">
        <v>49</v>
      </c>
      <c r="G350" s="22" t="s">
        <v>18</v>
      </c>
      <c r="H350" s="22" t="s">
        <v>19</v>
      </c>
      <c r="I350" s="22" t="s">
        <v>40</v>
      </c>
      <c r="J350" s="22" t="s">
        <v>41</v>
      </c>
      <c r="K350" s="22" t="s">
        <v>1628</v>
      </c>
      <c r="L350" s="22" t="s">
        <v>57</v>
      </c>
      <c r="M350" s="22" t="s">
        <v>24</v>
      </c>
      <c r="N350" s="22">
        <v>30</v>
      </c>
      <c r="O350" s="26">
        <v>48500</v>
      </c>
      <c r="P350" s="22">
        <v>0.18</v>
      </c>
      <c r="Q350" s="30">
        <v>30200</v>
      </c>
      <c r="R350" s="33">
        <f>Table1_1[[#This Row],[Units Sold]]*Table1_1[[#This Row],[Unit Price]]*1-Table1_1[[#This Row],[Discount]]</f>
        <v>1454999.82</v>
      </c>
      <c r="S350" s="33">
        <f>Table1_1[[#This Row],[Units Sold]]*Table1_1[[#This Row],[Unit Cost]]</f>
        <v>906000</v>
      </c>
      <c r="T350" s="33">
        <f>Table1_1[[#This Row],[Sales Amount]]-S350</f>
        <v>548999.82000000007</v>
      </c>
      <c r="U350" s="32">
        <f>IFERROR(Table1_1[[#This Row],[Profit/loss]]/Table1_1[[#This Row],[Sales Amount]],0)</f>
        <v>0.37731951059622815</v>
      </c>
    </row>
    <row r="351" spans="1:21" ht="18" x14ac:dyDescent="0.35">
      <c r="A351" s="21" t="s">
        <v>458</v>
      </c>
      <c r="B351" s="36">
        <v>45478</v>
      </c>
      <c r="C351" s="22">
        <f>YEAR(Table1_1[[#This Row],[Order Date]])</f>
        <v>2024</v>
      </c>
      <c r="D351" s="22" t="str">
        <f>TEXT(Table1_1[[#This Row],[Order Date]],"MMMM")</f>
        <v>July</v>
      </c>
      <c r="E351" s="22" t="s">
        <v>36</v>
      </c>
      <c r="F351" s="22" t="s">
        <v>59</v>
      </c>
      <c r="G351" s="22" t="s">
        <v>28</v>
      </c>
      <c r="H351" s="22" t="s">
        <v>29</v>
      </c>
      <c r="I351" s="22" t="s">
        <v>70</v>
      </c>
      <c r="J351" s="22" t="s">
        <v>71</v>
      </c>
      <c r="K351" s="22" t="s">
        <v>88</v>
      </c>
      <c r="L351" s="22" t="s">
        <v>33</v>
      </c>
      <c r="M351" s="22" t="s">
        <v>24</v>
      </c>
      <c r="N351" s="22">
        <v>40</v>
      </c>
      <c r="O351" s="26">
        <v>999</v>
      </c>
      <c r="P351" s="22">
        <v>0.2</v>
      </c>
      <c r="Q351" s="30">
        <v>540</v>
      </c>
      <c r="R351" s="33">
        <f>Table1_1[[#This Row],[Units Sold]]*Table1_1[[#This Row],[Unit Price]]*1-Table1_1[[#This Row],[Discount]]</f>
        <v>39959.800000000003</v>
      </c>
      <c r="S351" s="33">
        <f>Table1_1[[#This Row],[Units Sold]]*Table1_1[[#This Row],[Unit Cost]]</f>
        <v>21600</v>
      </c>
      <c r="T351" s="33">
        <f>Table1_1[[#This Row],[Sales Amount]]-S351</f>
        <v>18359.800000000003</v>
      </c>
      <c r="U351" s="32">
        <f>IFERROR(Table1_1[[#This Row],[Profit/loss]]/Table1_1[[#This Row],[Sales Amount]],0)</f>
        <v>0.45945675403780806</v>
      </c>
    </row>
    <row r="352" spans="1:21" ht="18" x14ac:dyDescent="0.35">
      <c r="A352" s="21" t="s">
        <v>459</v>
      </c>
      <c r="B352" s="36">
        <v>45479</v>
      </c>
      <c r="C352" s="22">
        <f>YEAR(Table1_1[[#This Row],[Order Date]])</f>
        <v>2024</v>
      </c>
      <c r="D352" s="22" t="str">
        <f>TEXT(Table1_1[[#This Row],[Order Date]],"MMMM")</f>
        <v>July</v>
      </c>
      <c r="E352" s="22" t="s">
        <v>82</v>
      </c>
      <c r="F352" s="22" t="s">
        <v>183</v>
      </c>
      <c r="G352" s="22" t="s">
        <v>50</v>
      </c>
      <c r="H352" s="22" t="s">
        <v>19</v>
      </c>
      <c r="I352" s="22" t="s">
        <v>40</v>
      </c>
      <c r="J352" s="22" t="s">
        <v>64</v>
      </c>
      <c r="K352" s="22" t="s">
        <v>1627</v>
      </c>
      <c r="L352" s="22" t="s">
        <v>57</v>
      </c>
      <c r="M352" s="22" t="s">
        <v>24</v>
      </c>
      <c r="N352" s="22">
        <v>8</v>
      </c>
      <c r="O352" s="26">
        <v>4490</v>
      </c>
      <c r="P352" s="22">
        <v>0.12</v>
      </c>
      <c r="Q352" s="30">
        <v>2950</v>
      </c>
      <c r="R352" s="33">
        <f>Table1_1[[#This Row],[Units Sold]]*Table1_1[[#This Row],[Unit Price]]*1-Table1_1[[#This Row],[Discount]]</f>
        <v>35919.879999999997</v>
      </c>
      <c r="S352" s="33">
        <f>Table1_1[[#This Row],[Units Sold]]*Table1_1[[#This Row],[Unit Cost]]</f>
        <v>23600</v>
      </c>
      <c r="T352" s="33">
        <f>Table1_1[[#This Row],[Sales Amount]]-S352</f>
        <v>12319.879999999997</v>
      </c>
      <c r="U352" s="32">
        <f>IFERROR(Table1_1[[#This Row],[Profit/loss]]/Table1_1[[#This Row],[Sales Amount]],0)</f>
        <v>0.34298221486263314</v>
      </c>
    </row>
    <row r="353" spans="1:21" ht="18" x14ac:dyDescent="0.35">
      <c r="A353" s="21" t="s">
        <v>460</v>
      </c>
      <c r="B353" s="36">
        <v>45480</v>
      </c>
      <c r="C353" s="22">
        <f>YEAR(Table1_1[[#This Row],[Order Date]])</f>
        <v>2024</v>
      </c>
      <c r="D353" s="22" t="str">
        <f>TEXT(Table1_1[[#This Row],[Order Date]],"MMMM")</f>
        <v>July</v>
      </c>
      <c r="E353" s="22" t="s">
        <v>16</v>
      </c>
      <c r="F353" s="22" t="s">
        <v>126</v>
      </c>
      <c r="G353" s="22" t="s">
        <v>69</v>
      </c>
      <c r="H353" s="22" t="s">
        <v>19</v>
      </c>
      <c r="I353" s="22" t="s">
        <v>40</v>
      </c>
      <c r="J353" s="22" t="s">
        <v>64</v>
      </c>
      <c r="K353" s="22" t="s">
        <v>1619</v>
      </c>
      <c r="L353" s="22" t="s">
        <v>57</v>
      </c>
      <c r="M353" s="22" t="s">
        <v>78</v>
      </c>
      <c r="N353" s="22">
        <v>18</v>
      </c>
      <c r="O353" s="26">
        <v>1930</v>
      </c>
      <c r="P353" s="22">
        <v>0.18</v>
      </c>
      <c r="Q353" s="30">
        <v>1120</v>
      </c>
      <c r="R353" s="33">
        <f>Table1_1[[#This Row],[Units Sold]]*Table1_1[[#This Row],[Unit Price]]*1-Table1_1[[#This Row],[Discount]]</f>
        <v>34739.82</v>
      </c>
      <c r="S353" s="33">
        <f>Table1_1[[#This Row],[Units Sold]]*Table1_1[[#This Row],[Unit Cost]]</f>
        <v>20160</v>
      </c>
      <c r="T353" s="33">
        <f>Table1_1[[#This Row],[Sales Amount]]-S353</f>
        <v>14579.82</v>
      </c>
      <c r="U353" s="32">
        <f>IFERROR(Table1_1[[#This Row],[Profit/loss]]/Table1_1[[#This Row],[Sales Amount]],0)</f>
        <v>0.41968611236327646</v>
      </c>
    </row>
    <row r="354" spans="1:21" ht="18" x14ac:dyDescent="0.35">
      <c r="A354" s="21" t="s">
        <v>461</v>
      </c>
      <c r="B354" s="36">
        <v>45480</v>
      </c>
      <c r="C354" s="22">
        <f>YEAR(Table1_1[[#This Row],[Order Date]])</f>
        <v>2024</v>
      </c>
      <c r="D354" s="22" t="str">
        <f>TEXT(Table1_1[[#This Row],[Order Date]],"MMMM")</f>
        <v>July</v>
      </c>
      <c r="E354" s="22" t="s">
        <v>48</v>
      </c>
      <c r="F354" s="22" t="s">
        <v>136</v>
      </c>
      <c r="G354" s="22" t="s">
        <v>28</v>
      </c>
      <c r="H354" s="22" t="s">
        <v>29</v>
      </c>
      <c r="I354" s="22" t="s">
        <v>20</v>
      </c>
      <c r="J354" s="22" t="s">
        <v>21</v>
      </c>
      <c r="K354" s="22" t="s">
        <v>51</v>
      </c>
      <c r="L354" s="22" t="s">
        <v>23</v>
      </c>
      <c r="M354" s="22" t="s">
        <v>66</v>
      </c>
      <c r="N354" s="22">
        <v>27</v>
      </c>
      <c r="O354" s="26">
        <v>5999</v>
      </c>
      <c r="P354" s="22">
        <v>0.2</v>
      </c>
      <c r="Q354" s="30">
        <v>3890</v>
      </c>
      <c r="R354" s="33">
        <f>Table1_1[[#This Row],[Units Sold]]*Table1_1[[#This Row],[Unit Price]]*1-Table1_1[[#This Row],[Discount]]</f>
        <v>161972.79999999999</v>
      </c>
      <c r="S354" s="33">
        <f>Table1_1[[#This Row],[Units Sold]]*Table1_1[[#This Row],[Unit Cost]]</f>
        <v>105030</v>
      </c>
      <c r="T354" s="33">
        <f>Table1_1[[#This Row],[Sales Amount]]-S354</f>
        <v>56942.799999999988</v>
      </c>
      <c r="U354" s="32">
        <f>IFERROR(Table1_1[[#This Row],[Profit/loss]]/Table1_1[[#This Row],[Sales Amount]],0)</f>
        <v>0.35155779241946794</v>
      </c>
    </row>
    <row r="355" spans="1:21" ht="18" x14ac:dyDescent="0.35">
      <c r="A355" s="21" t="s">
        <v>462</v>
      </c>
      <c r="B355" s="36">
        <v>45480</v>
      </c>
      <c r="C355" s="22">
        <f>YEAR(Table1_1[[#This Row],[Order Date]])</f>
        <v>2024</v>
      </c>
      <c r="D355" s="22" t="str">
        <f>TEXT(Table1_1[[#This Row],[Order Date]],"MMMM")</f>
        <v>July</v>
      </c>
      <c r="E355" s="22" t="s">
        <v>26</v>
      </c>
      <c r="F355" s="22" t="s">
        <v>53</v>
      </c>
      <c r="G355" s="22" t="s">
        <v>38</v>
      </c>
      <c r="H355" s="22" t="s">
        <v>19</v>
      </c>
      <c r="I355" s="22" t="s">
        <v>20</v>
      </c>
      <c r="J355" s="22" t="s">
        <v>45</v>
      </c>
      <c r="K355" s="22" t="s">
        <v>1618</v>
      </c>
      <c r="L355" s="22" t="s">
        <v>33</v>
      </c>
      <c r="M355" s="22" t="s">
        <v>78</v>
      </c>
      <c r="N355" s="22">
        <v>31</v>
      </c>
      <c r="O355" s="26">
        <v>1899</v>
      </c>
      <c r="P355" s="22">
        <v>0.18</v>
      </c>
      <c r="Q355" s="30">
        <v>1080</v>
      </c>
      <c r="R355" s="33">
        <f>Table1_1[[#This Row],[Units Sold]]*Table1_1[[#This Row],[Unit Price]]*1-Table1_1[[#This Row],[Discount]]</f>
        <v>58868.82</v>
      </c>
      <c r="S355" s="33">
        <f>Table1_1[[#This Row],[Units Sold]]*Table1_1[[#This Row],[Unit Cost]]</f>
        <v>33480</v>
      </c>
      <c r="T355" s="33">
        <f>Table1_1[[#This Row],[Sales Amount]]-S355</f>
        <v>25388.82</v>
      </c>
      <c r="U355" s="32">
        <f>IFERROR(Table1_1[[#This Row],[Profit/loss]]/Table1_1[[#This Row],[Sales Amount]],0)</f>
        <v>0.43127788190760408</v>
      </c>
    </row>
    <row r="356" spans="1:21" ht="18" x14ac:dyDescent="0.35">
      <c r="A356" s="21" t="s">
        <v>463</v>
      </c>
      <c r="B356" s="36">
        <v>45481</v>
      </c>
      <c r="C356" s="22">
        <f>YEAR(Table1_1[[#This Row],[Order Date]])</f>
        <v>2024</v>
      </c>
      <c r="D356" s="22" t="str">
        <f>TEXT(Table1_1[[#This Row],[Order Date]],"MMMM")</f>
        <v>July</v>
      </c>
      <c r="E356" s="22" t="s">
        <v>16</v>
      </c>
      <c r="F356" s="22" t="s">
        <v>111</v>
      </c>
      <c r="G356" s="22" t="s">
        <v>105</v>
      </c>
      <c r="H356" s="22" t="s">
        <v>39</v>
      </c>
      <c r="I356" s="22" t="s">
        <v>20</v>
      </c>
      <c r="J356" s="22" t="s">
        <v>45</v>
      </c>
      <c r="K356" s="22" t="s">
        <v>1618</v>
      </c>
      <c r="L356" s="22" t="s">
        <v>23</v>
      </c>
      <c r="M356" s="22" t="s">
        <v>34</v>
      </c>
      <c r="N356" s="22">
        <v>21</v>
      </c>
      <c r="O356" s="26">
        <v>1899</v>
      </c>
      <c r="P356" s="22">
        <v>0.08</v>
      </c>
      <c r="Q356" s="30">
        <v>1080</v>
      </c>
      <c r="R356" s="33">
        <f>Table1_1[[#This Row],[Units Sold]]*Table1_1[[#This Row],[Unit Price]]*1-Table1_1[[#This Row],[Discount]]</f>
        <v>39878.92</v>
      </c>
      <c r="S356" s="33">
        <f>Table1_1[[#This Row],[Units Sold]]*Table1_1[[#This Row],[Unit Cost]]</f>
        <v>22680</v>
      </c>
      <c r="T356" s="33">
        <f>Table1_1[[#This Row],[Sales Amount]]-S356</f>
        <v>17198.919999999998</v>
      </c>
      <c r="U356" s="32">
        <f>IFERROR(Table1_1[[#This Row],[Profit/loss]]/Table1_1[[#This Row],[Sales Amount]],0)</f>
        <v>0.43127847995883539</v>
      </c>
    </row>
    <row r="357" spans="1:21" ht="18" x14ac:dyDescent="0.35">
      <c r="A357" s="21" t="s">
        <v>464</v>
      </c>
      <c r="B357" s="36">
        <v>45481</v>
      </c>
      <c r="C357" s="22">
        <f>YEAR(Table1_1[[#This Row],[Order Date]])</f>
        <v>2024</v>
      </c>
      <c r="D357" s="22" t="str">
        <f>TEXT(Table1_1[[#This Row],[Order Date]],"MMMM")</f>
        <v>July</v>
      </c>
      <c r="E357" s="22" t="s">
        <v>26</v>
      </c>
      <c r="F357" s="22" t="s">
        <v>163</v>
      </c>
      <c r="G357" s="22" t="s">
        <v>50</v>
      </c>
      <c r="H357" s="22" t="s">
        <v>19</v>
      </c>
      <c r="I357" s="22" t="s">
        <v>20</v>
      </c>
      <c r="J357" s="22" t="s">
        <v>21</v>
      </c>
      <c r="K357" s="22" t="s">
        <v>51</v>
      </c>
      <c r="L357" s="22" t="s">
        <v>23</v>
      </c>
      <c r="M357" s="22" t="s">
        <v>78</v>
      </c>
      <c r="N357" s="22">
        <v>31</v>
      </c>
      <c r="O357" s="26">
        <v>5999</v>
      </c>
      <c r="P357" s="22">
        <v>0.08</v>
      </c>
      <c r="Q357" s="30">
        <v>3890</v>
      </c>
      <c r="R357" s="33">
        <f>Table1_1[[#This Row],[Units Sold]]*Table1_1[[#This Row],[Unit Price]]*1-Table1_1[[#This Row],[Discount]]</f>
        <v>185968.92</v>
      </c>
      <c r="S357" s="33">
        <f>Table1_1[[#This Row],[Units Sold]]*Table1_1[[#This Row],[Unit Cost]]</f>
        <v>120590</v>
      </c>
      <c r="T357" s="33">
        <f>Table1_1[[#This Row],[Sales Amount]]-S357</f>
        <v>65378.920000000013</v>
      </c>
      <c r="U357" s="32">
        <f>IFERROR(Table1_1[[#This Row],[Profit/loss]]/Table1_1[[#This Row],[Sales Amount]],0)</f>
        <v>0.35155831415270899</v>
      </c>
    </row>
    <row r="358" spans="1:21" ht="18" x14ac:dyDescent="0.35">
      <c r="A358" s="21" t="s">
        <v>465</v>
      </c>
      <c r="B358" s="36">
        <v>45481</v>
      </c>
      <c r="C358" s="22">
        <f>YEAR(Table1_1[[#This Row],[Order Date]])</f>
        <v>2024</v>
      </c>
      <c r="D358" s="22" t="str">
        <f>TEXT(Table1_1[[#This Row],[Order Date]],"MMMM")</f>
        <v>July</v>
      </c>
      <c r="E358" s="22" t="s">
        <v>82</v>
      </c>
      <c r="F358" s="22" t="s">
        <v>87</v>
      </c>
      <c r="G358" s="22" t="s">
        <v>50</v>
      </c>
      <c r="H358" s="22" t="s">
        <v>39</v>
      </c>
      <c r="I358" s="22" t="s">
        <v>70</v>
      </c>
      <c r="J358" s="22" t="s">
        <v>71</v>
      </c>
      <c r="K358" s="22" t="s">
        <v>72</v>
      </c>
      <c r="L358" s="22" t="s">
        <v>57</v>
      </c>
      <c r="M358" s="22" t="s">
        <v>24</v>
      </c>
      <c r="N358" s="22">
        <v>26</v>
      </c>
      <c r="O358" s="26">
        <v>3499</v>
      </c>
      <c r="P358" s="22">
        <v>0.08</v>
      </c>
      <c r="Q358" s="30">
        <v>2190</v>
      </c>
      <c r="R358" s="33">
        <f>Table1_1[[#This Row],[Units Sold]]*Table1_1[[#This Row],[Unit Price]]*1-Table1_1[[#This Row],[Discount]]</f>
        <v>90973.92</v>
      </c>
      <c r="S358" s="33">
        <f>Table1_1[[#This Row],[Units Sold]]*Table1_1[[#This Row],[Unit Cost]]</f>
        <v>56940</v>
      </c>
      <c r="T358" s="33">
        <f>Table1_1[[#This Row],[Sales Amount]]-S358</f>
        <v>34033.919999999998</v>
      </c>
      <c r="U358" s="32">
        <f>IFERROR(Table1_1[[#This Row],[Profit/loss]]/Table1_1[[#This Row],[Sales Amount]],0)</f>
        <v>0.37410633728875264</v>
      </c>
    </row>
    <row r="359" spans="1:21" ht="18" x14ac:dyDescent="0.35">
      <c r="A359" s="21" t="s">
        <v>466</v>
      </c>
      <c r="B359" s="36">
        <v>45482</v>
      </c>
      <c r="C359" s="22">
        <f>YEAR(Table1_1[[#This Row],[Order Date]])</f>
        <v>2024</v>
      </c>
      <c r="D359" s="22" t="str">
        <f>TEXT(Table1_1[[#This Row],[Order Date]],"MMMM")</f>
        <v>July</v>
      </c>
      <c r="E359" s="22" t="s">
        <v>16</v>
      </c>
      <c r="F359" s="22" t="s">
        <v>111</v>
      </c>
      <c r="G359" s="22" t="s">
        <v>60</v>
      </c>
      <c r="H359" s="22" t="s">
        <v>39</v>
      </c>
      <c r="I359" s="22" t="s">
        <v>20</v>
      </c>
      <c r="J359" s="22" t="s">
        <v>21</v>
      </c>
      <c r="K359" s="22" t="s">
        <v>115</v>
      </c>
      <c r="L359" s="22" t="s">
        <v>33</v>
      </c>
      <c r="M359" s="22" t="s">
        <v>24</v>
      </c>
      <c r="N359" s="22">
        <v>28</v>
      </c>
      <c r="O359" s="26">
        <v>6499</v>
      </c>
      <c r="P359" s="22">
        <v>0.05</v>
      </c>
      <c r="Q359" s="30">
        <v>4210</v>
      </c>
      <c r="R359" s="33">
        <f>Table1_1[[#This Row],[Units Sold]]*Table1_1[[#This Row],[Unit Price]]*1-Table1_1[[#This Row],[Discount]]</f>
        <v>181971.95</v>
      </c>
      <c r="S359" s="33">
        <f>Table1_1[[#This Row],[Units Sold]]*Table1_1[[#This Row],[Unit Cost]]</f>
        <v>117880</v>
      </c>
      <c r="T359" s="33">
        <f>Table1_1[[#This Row],[Sales Amount]]-S359</f>
        <v>64091.950000000012</v>
      </c>
      <c r="U359" s="32">
        <f>IFERROR(Table1_1[[#This Row],[Profit/loss]]/Table1_1[[#This Row],[Sales Amount]],0)</f>
        <v>0.35220785401266519</v>
      </c>
    </row>
    <row r="360" spans="1:21" ht="18" x14ac:dyDescent="0.35">
      <c r="A360" s="21" t="s">
        <v>467</v>
      </c>
      <c r="B360" s="36">
        <v>45482</v>
      </c>
      <c r="C360" s="22">
        <f>YEAR(Table1_1[[#This Row],[Order Date]])</f>
        <v>2024</v>
      </c>
      <c r="D360" s="22" t="str">
        <f>TEXT(Table1_1[[#This Row],[Order Date]],"MMMM")</f>
        <v>July</v>
      </c>
      <c r="E360" s="22" t="s">
        <v>36</v>
      </c>
      <c r="F360" s="22" t="s">
        <v>121</v>
      </c>
      <c r="G360" s="22" t="s">
        <v>75</v>
      </c>
      <c r="H360" s="22" t="s">
        <v>29</v>
      </c>
      <c r="I360" s="22" t="s">
        <v>20</v>
      </c>
      <c r="J360" s="22" t="s">
        <v>45</v>
      </c>
      <c r="K360" s="22" t="s">
        <v>196</v>
      </c>
      <c r="L360" s="22" t="s">
        <v>23</v>
      </c>
      <c r="M360" s="22" t="s">
        <v>78</v>
      </c>
      <c r="N360" s="22">
        <v>11</v>
      </c>
      <c r="O360" s="26">
        <v>2499</v>
      </c>
      <c r="P360" s="22">
        <v>0.1</v>
      </c>
      <c r="Q360" s="30">
        <v>1510</v>
      </c>
      <c r="R360" s="33">
        <f>Table1_1[[#This Row],[Units Sold]]*Table1_1[[#This Row],[Unit Price]]*1-Table1_1[[#This Row],[Discount]]</f>
        <v>27488.9</v>
      </c>
      <c r="S360" s="33">
        <f>Table1_1[[#This Row],[Units Sold]]*Table1_1[[#This Row],[Unit Cost]]</f>
        <v>16610</v>
      </c>
      <c r="T360" s="33">
        <f>Table1_1[[#This Row],[Sales Amount]]-S360</f>
        <v>10878.900000000001</v>
      </c>
      <c r="U360" s="32">
        <f>IFERROR(Table1_1[[#This Row],[Profit/loss]]/Table1_1[[#This Row],[Sales Amount]],0)</f>
        <v>0.39575610519155008</v>
      </c>
    </row>
    <row r="361" spans="1:21" ht="18" x14ac:dyDescent="0.35">
      <c r="A361" s="21" t="s">
        <v>468</v>
      </c>
      <c r="B361" s="36">
        <v>45482</v>
      </c>
      <c r="C361" s="22">
        <f>YEAR(Table1_1[[#This Row],[Order Date]])</f>
        <v>2024</v>
      </c>
      <c r="D361" s="22" t="str">
        <f>TEXT(Table1_1[[#This Row],[Order Date]],"MMMM")</f>
        <v>July</v>
      </c>
      <c r="E361" s="22" t="s">
        <v>36</v>
      </c>
      <c r="F361" s="22" t="s">
        <v>44</v>
      </c>
      <c r="G361" s="22" t="s">
        <v>18</v>
      </c>
      <c r="H361" s="22" t="s">
        <v>19</v>
      </c>
      <c r="I361" s="22" t="s">
        <v>54</v>
      </c>
      <c r="J361" s="22" t="s">
        <v>90</v>
      </c>
      <c r="K361" s="22" t="s">
        <v>1621</v>
      </c>
      <c r="L361" s="22" t="s">
        <v>57</v>
      </c>
      <c r="M361" s="22" t="s">
        <v>24</v>
      </c>
      <c r="N361" s="22">
        <v>5</v>
      </c>
      <c r="O361" s="26">
        <v>31990</v>
      </c>
      <c r="P361" s="22">
        <v>0.15</v>
      </c>
      <c r="Q361" s="30">
        <v>21800</v>
      </c>
      <c r="R361" s="33">
        <f>Table1_1[[#This Row],[Units Sold]]*Table1_1[[#This Row],[Unit Price]]*1-Table1_1[[#This Row],[Discount]]</f>
        <v>159949.85</v>
      </c>
      <c r="S361" s="33">
        <f>Table1_1[[#This Row],[Units Sold]]*Table1_1[[#This Row],[Unit Cost]]</f>
        <v>109000</v>
      </c>
      <c r="T361" s="33">
        <f>Table1_1[[#This Row],[Sales Amount]]-S361</f>
        <v>50949.850000000006</v>
      </c>
      <c r="U361" s="32">
        <f>IFERROR(Table1_1[[#This Row],[Profit/loss]]/Table1_1[[#This Row],[Sales Amount]],0)</f>
        <v>0.31853640375405168</v>
      </c>
    </row>
    <row r="362" spans="1:21" ht="18" x14ac:dyDescent="0.35">
      <c r="A362" s="21" t="s">
        <v>469</v>
      </c>
      <c r="B362" s="36">
        <v>45482</v>
      </c>
      <c r="C362" s="22">
        <f>YEAR(Table1_1[[#This Row],[Order Date]])</f>
        <v>2024</v>
      </c>
      <c r="D362" s="22" t="str">
        <f>TEXT(Table1_1[[#This Row],[Order Date]],"MMMM")</f>
        <v>July</v>
      </c>
      <c r="E362" s="22" t="s">
        <v>82</v>
      </c>
      <c r="F362" s="22" t="s">
        <v>83</v>
      </c>
      <c r="G362" s="22" t="s">
        <v>105</v>
      </c>
      <c r="H362" s="22" t="s">
        <v>19</v>
      </c>
      <c r="I362" s="22" t="s">
        <v>70</v>
      </c>
      <c r="J362" s="22" t="s">
        <v>71</v>
      </c>
      <c r="K362" s="22" t="s">
        <v>88</v>
      </c>
      <c r="L362" s="22" t="s">
        <v>33</v>
      </c>
      <c r="M362" s="22" t="s">
        <v>66</v>
      </c>
      <c r="N362" s="22">
        <v>2</v>
      </c>
      <c r="O362" s="26">
        <v>999</v>
      </c>
      <c r="P362" s="22">
        <v>0.08</v>
      </c>
      <c r="Q362" s="30">
        <v>540</v>
      </c>
      <c r="R362" s="33">
        <f>Table1_1[[#This Row],[Units Sold]]*Table1_1[[#This Row],[Unit Price]]*1-Table1_1[[#This Row],[Discount]]</f>
        <v>1997.92</v>
      </c>
      <c r="S362" s="33">
        <f>Table1_1[[#This Row],[Units Sold]]*Table1_1[[#This Row],[Unit Cost]]</f>
        <v>1080</v>
      </c>
      <c r="T362" s="33">
        <f>Table1_1[[#This Row],[Sales Amount]]-S362</f>
        <v>917.92000000000007</v>
      </c>
      <c r="U362" s="32">
        <f>IFERROR(Table1_1[[#This Row],[Profit/loss]]/Table1_1[[#This Row],[Sales Amount]],0)</f>
        <v>0.45943781532794109</v>
      </c>
    </row>
    <row r="363" spans="1:21" ht="18" x14ac:dyDescent="0.35">
      <c r="A363" s="21" t="s">
        <v>470</v>
      </c>
      <c r="B363" s="36">
        <v>45483</v>
      </c>
      <c r="C363" s="22">
        <f>YEAR(Table1_1[[#This Row],[Order Date]])</f>
        <v>2024</v>
      </c>
      <c r="D363" s="22" t="str">
        <f>TEXT(Table1_1[[#This Row],[Order Date]],"MMMM")</f>
        <v>July</v>
      </c>
      <c r="E363" s="22" t="s">
        <v>48</v>
      </c>
      <c r="F363" s="22" t="s">
        <v>93</v>
      </c>
      <c r="G363" s="22" t="s">
        <v>60</v>
      </c>
      <c r="H363" s="22" t="s">
        <v>39</v>
      </c>
      <c r="I363" s="22" t="s">
        <v>30</v>
      </c>
      <c r="J363" s="22" t="s">
        <v>61</v>
      </c>
      <c r="K363" s="22" t="s">
        <v>96</v>
      </c>
      <c r="L363" s="22" t="s">
        <v>57</v>
      </c>
      <c r="M363" s="22" t="s">
        <v>24</v>
      </c>
      <c r="N363" s="22">
        <v>19</v>
      </c>
      <c r="O363" s="26">
        <v>25110</v>
      </c>
      <c r="P363" s="22">
        <v>0.1</v>
      </c>
      <c r="Q363" s="30">
        <v>16730</v>
      </c>
      <c r="R363" s="33">
        <f>Table1_1[[#This Row],[Units Sold]]*Table1_1[[#This Row],[Unit Price]]*1-Table1_1[[#This Row],[Discount]]</f>
        <v>477089.9</v>
      </c>
      <c r="S363" s="33">
        <f>Table1_1[[#This Row],[Units Sold]]*Table1_1[[#This Row],[Unit Cost]]</f>
        <v>317870</v>
      </c>
      <c r="T363" s="33">
        <f>Table1_1[[#This Row],[Sales Amount]]-S363</f>
        <v>159219.90000000002</v>
      </c>
      <c r="U363" s="32">
        <f>IFERROR(Table1_1[[#This Row],[Profit/loss]]/Table1_1[[#This Row],[Sales Amount]],0)</f>
        <v>0.33373144139081545</v>
      </c>
    </row>
    <row r="364" spans="1:21" ht="18" x14ac:dyDescent="0.35">
      <c r="A364" s="21" t="s">
        <v>471</v>
      </c>
      <c r="B364" s="36">
        <v>45483</v>
      </c>
      <c r="C364" s="22">
        <f>YEAR(Table1_1[[#This Row],[Order Date]])</f>
        <v>2024</v>
      </c>
      <c r="D364" s="22" t="str">
        <f>TEXT(Table1_1[[#This Row],[Order Date]],"MMMM")</f>
        <v>July</v>
      </c>
      <c r="E364" s="22" t="s">
        <v>26</v>
      </c>
      <c r="F364" s="22" t="s">
        <v>163</v>
      </c>
      <c r="G364" s="22" t="s">
        <v>75</v>
      </c>
      <c r="H364" s="22" t="s">
        <v>19</v>
      </c>
      <c r="I364" s="22" t="s">
        <v>40</v>
      </c>
      <c r="J364" s="22" t="s">
        <v>76</v>
      </c>
      <c r="K364" s="22" t="s">
        <v>1620</v>
      </c>
      <c r="L364" s="22" t="s">
        <v>57</v>
      </c>
      <c r="M364" s="22" t="s">
        <v>24</v>
      </c>
      <c r="N364" s="22">
        <v>25</v>
      </c>
      <c r="O364" s="26">
        <v>52990</v>
      </c>
      <c r="P364" s="22">
        <v>0.05</v>
      </c>
      <c r="Q364" s="30">
        <v>39500</v>
      </c>
      <c r="R364" s="33">
        <f>Table1_1[[#This Row],[Units Sold]]*Table1_1[[#This Row],[Unit Price]]*1-Table1_1[[#This Row],[Discount]]</f>
        <v>1324749.95</v>
      </c>
      <c r="S364" s="33">
        <f>Table1_1[[#This Row],[Units Sold]]*Table1_1[[#This Row],[Unit Cost]]</f>
        <v>987500</v>
      </c>
      <c r="T364" s="33">
        <f>Table1_1[[#This Row],[Sales Amount]]-S364</f>
        <v>337249.94999999995</v>
      </c>
      <c r="U364" s="32">
        <f>IFERROR(Table1_1[[#This Row],[Profit/loss]]/Table1_1[[#This Row],[Sales Amount]],0)</f>
        <v>0.25457630702307249</v>
      </c>
    </row>
    <row r="365" spans="1:21" ht="18" x14ac:dyDescent="0.35">
      <c r="A365" s="21" t="s">
        <v>472</v>
      </c>
      <c r="B365" s="36">
        <v>45483</v>
      </c>
      <c r="C365" s="22">
        <f>YEAR(Table1_1[[#This Row],[Order Date]])</f>
        <v>2024</v>
      </c>
      <c r="D365" s="22" t="str">
        <f>TEXT(Table1_1[[#This Row],[Order Date]],"MMMM")</f>
        <v>July</v>
      </c>
      <c r="E365" s="22" t="s">
        <v>26</v>
      </c>
      <c r="F365" s="22" t="s">
        <v>74</v>
      </c>
      <c r="G365" s="22" t="s">
        <v>69</v>
      </c>
      <c r="H365" s="22" t="s">
        <v>19</v>
      </c>
      <c r="I365" s="22" t="s">
        <v>20</v>
      </c>
      <c r="J365" s="22" t="s">
        <v>45</v>
      </c>
      <c r="K365" s="22" t="s">
        <v>1618</v>
      </c>
      <c r="L365" s="22" t="s">
        <v>33</v>
      </c>
      <c r="M365" s="22" t="s">
        <v>78</v>
      </c>
      <c r="N365" s="22">
        <v>13</v>
      </c>
      <c r="O365" s="26">
        <v>1899</v>
      </c>
      <c r="P365" s="22">
        <v>0.18</v>
      </c>
      <c r="Q365" s="30">
        <v>1080</v>
      </c>
      <c r="R365" s="33">
        <f>Table1_1[[#This Row],[Units Sold]]*Table1_1[[#This Row],[Unit Price]]*1-Table1_1[[#This Row],[Discount]]</f>
        <v>24686.82</v>
      </c>
      <c r="S365" s="33">
        <f>Table1_1[[#This Row],[Units Sold]]*Table1_1[[#This Row],[Unit Cost]]</f>
        <v>14040</v>
      </c>
      <c r="T365" s="33">
        <f>Table1_1[[#This Row],[Sales Amount]]-S365</f>
        <v>10646.82</v>
      </c>
      <c r="U365" s="32">
        <f>IFERROR(Table1_1[[#This Row],[Profit/loss]]/Table1_1[[#This Row],[Sales Amount]],0)</f>
        <v>0.43127547411938838</v>
      </c>
    </row>
    <row r="366" spans="1:21" ht="18" x14ac:dyDescent="0.35">
      <c r="A366" s="21" t="s">
        <v>473</v>
      </c>
      <c r="B366" s="36">
        <v>45484</v>
      </c>
      <c r="C366" s="22">
        <f>YEAR(Table1_1[[#This Row],[Order Date]])</f>
        <v>2024</v>
      </c>
      <c r="D366" s="22" t="str">
        <f>TEXT(Table1_1[[#This Row],[Order Date]],"MMMM")</f>
        <v>July</v>
      </c>
      <c r="E366" s="22" t="s">
        <v>48</v>
      </c>
      <c r="F366" s="22" t="s">
        <v>136</v>
      </c>
      <c r="G366" s="22" t="s">
        <v>50</v>
      </c>
      <c r="H366" s="22" t="s">
        <v>39</v>
      </c>
      <c r="I366" s="22" t="s">
        <v>30</v>
      </c>
      <c r="J366" s="22" t="s">
        <v>31</v>
      </c>
      <c r="K366" s="22" t="s">
        <v>85</v>
      </c>
      <c r="L366" s="22" t="s">
        <v>33</v>
      </c>
      <c r="M366" s="22" t="s">
        <v>24</v>
      </c>
      <c r="N366" s="22">
        <v>2</v>
      </c>
      <c r="O366" s="26">
        <v>43500</v>
      </c>
      <c r="P366" s="22">
        <v>0.1</v>
      </c>
      <c r="Q366" s="30">
        <v>29520</v>
      </c>
      <c r="R366" s="33">
        <f>Table1_1[[#This Row],[Units Sold]]*Table1_1[[#This Row],[Unit Price]]*1-Table1_1[[#This Row],[Discount]]</f>
        <v>86999.9</v>
      </c>
      <c r="S366" s="33">
        <f>Table1_1[[#This Row],[Units Sold]]*Table1_1[[#This Row],[Unit Cost]]</f>
        <v>59040</v>
      </c>
      <c r="T366" s="33">
        <f>Table1_1[[#This Row],[Sales Amount]]-S366</f>
        <v>27959.899999999994</v>
      </c>
      <c r="U366" s="32">
        <f>IFERROR(Table1_1[[#This Row],[Profit/loss]]/Table1_1[[#This Row],[Sales Amount]],0)</f>
        <v>0.32137853032014974</v>
      </c>
    </row>
    <row r="367" spans="1:21" ht="18" x14ac:dyDescent="0.35">
      <c r="A367" s="21" t="s">
        <v>474</v>
      </c>
      <c r="B367" s="36">
        <v>45484</v>
      </c>
      <c r="C367" s="22">
        <f>YEAR(Table1_1[[#This Row],[Order Date]])</f>
        <v>2024</v>
      </c>
      <c r="D367" s="22" t="str">
        <f>TEXT(Table1_1[[#This Row],[Order Date]],"MMMM")</f>
        <v>July</v>
      </c>
      <c r="E367" s="22" t="s">
        <v>16</v>
      </c>
      <c r="F367" s="22" t="s">
        <v>111</v>
      </c>
      <c r="G367" s="22" t="s">
        <v>38</v>
      </c>
      <c r="H367" s="22" t="s">
        <v>39</v>
      </c>
      <c r="I367" s="22" t="s">
        <v>40</v>
      </c>
      <c r="J367" s="22" t="s">
        <v>41</v>
      </c>
      <c r="K367" s="22" t="s">
        <v>42</v>
      </c>
      <c r="L367" s="22" t="s">
        <v>33</v>
      </c>
      <c r="M367" s="22" t="s">
        <v>34</v>
      </c>
      <c r="N367" s="22">
        <v>29</v>
      </c>
      <c r="O367" s="26">
        <v>55230</v>
      </c>
      <c r="P367" s="22">
        <v>0.1</v>
      </c>
      <c r="Q367" s="30">
        <v>33800</v>
      </c>
      <c r="R367" s="33">
        <f>Table1_1[[#This Row],[Units Sold]]*Table1_1[[#This Row],[Unit Price]]*1-Table1_1[[#This Row],[Discount]]</f>
        <v>1601669.9</v>
      </c>
      <c r="S367" s="33">
        <f>Table1_1[[#This Row],[Units Sold]]*Table1_1[[#This Row],[Unit Cost]]</f>
        <v>980200</v>
      </c>
      <c r="T367" s="33">
        <f>Table1_1[[#This Row],[Sales Amount]]-S367</f>
        <v>621469.89999999991</v>
      </c>
      <c r="U367" s="32">
        <f>IFERROR(Table1_1[[#This Row],[Profit/loss]]/Table1_1[[#This Row],[Sales Amount]],0)</f>
        <v>0.3880137224280733</v>
      </c>
    </row>
    <row r="368" spans="1:21" ht="18" x14ac:dyDescent="0.35">
      <c r="A368" s="21" t="s">
        <v>475</v>
      </c>
      <c r="B368" s="36">
        <v>45485</v>
      </c>
      <c r="C368" s="22">
        <f>YEAR(Table1_1[[#This Row],[Order Date]])</f>
        <v>2024</v>
      </c>
      <c r="D368" s="22" t="str">
        <f>TEXT(Table1_1[[#This Row],[Order Date]],"MMMM")</f>
        <v>July</v>
      </c>
      <c r="E368" s="22" t="s">
        <v>36</v>
      </c>
      <c r="F368" s="22" t="s">
        <v>44</v>
      </c>
      <c r="G368" s="22" t="s">
        <v>28</v>
      </c>
      <c r="H368" s="22" t="s">
        <v>39</v>
      </c>
      <c r="I368" s="22" t="s">
        <v>54</v>
      </c>
      <c r="J368" s="22" t="s">
        <v>129</v>
      </c>
      <c r="K368" s="22" t="s">
        <v>1630</v>
      </c>
      <c r="L368" s="22" t="s">
        <v>57</v>
      </c>
      <c r="M368" s="22" t="s">
        <v>24</v>
      </c>
      <c r="N368" s="22">
        <v>32</v>
      </c>
      <c r="O368" s="26">
        <v>29010</v>
      </c>
      <c r="P368" s="22">
        <v>0.15</v>
      </c>
      <c r="Q368" s="30">
        <v>19100</v>
      </c>
      <c r="R368" s="33">
        <f>Table1_1[[#This Row],[Units Sold]]*Table1_1[[#This Row],[Unit Price]]*1-Table1_1[[#This Row],[Discount]]</f>
        <v>928319.85</v>
      </c>
      <c r="S368" s="33">
        <f>Table1_1[[#This Row],[Units Sold]]*Table1_1[[#This Row],[Unit Cost]]</f>
        <v>611200</v>
      </c>
      <c r="T368" s="33">
        <f>Table1_1[[#This Row],[Sales Amount]]-S368</f>
        <v>317119.84999999998</v>
      </c>
      <c r="U368" s="32">
        <f>IFERROR(Table1_1[[#This Row],[Profit/loss]]/Table1_1[[#This Row],[Sales Amount]],0)</f>
        <v>0.34160623625574738</v>
      </c>
    </row>
    <row r="369" spans="1:21" ht="18" x14ac:dyDescent="0.35">
      <c r="A369" s="21" t="s">
        <v>476</v>
      </c>
      <c r="B369" s="36">
        <v>45486</v>
      </c>
      <c r="C369" s="22">
        <f>YEAR(Table1_1[[#This Row],[Order Date]])</f>
        <v>2024</v>
      </c>
      <c r="D369" s="22" t="str">
        <f>TEXT(Table1_1[[#This Row],[Order Date]],"MMMM")</f>
        <v>July</v>
      </c>
      <c r="E369" s="22" t="s">
        <v>16</v>
      </c>
      <c r="F369" s="22" t="s">
        <v>111</v>
      </c>
      <c r="G369" s="22" t="s">
        <v>18</v>
      </c>
      <c r="H369" s="22" t="s">
        <v>29</v>
      </c>
      <c r="I369" s="22" t="s">
        <v>30</v>
      </c>
      <c r="J369" s="22" t="s">
        <v>31</v>
      </c>
      <c r="K369" s="22" t="s">
        <v>85</v>
      </c>
      <c r="L369" s="22" t="s">
        <v>57</v>
      </c>
      <c r="M369" s="22" t="s">
        <v>78</v>
      </c>
      <c r="N369" s="22">
        <v>40</v>
      </c>
      <c r="O369" s="26">
        <v>43500</v>
      </c>
      <c r="P369" s="22">
        <v>0.18</v>
      </c>
      <c r="Q369" s="30">
        <v>29520</v>
      </c>
      <c r="R369" s="33">
        <f>Table1_1[[#This Row],[Units Sold]]*Table1_1[[#This Row],[Unit Price]]*1-Table1_1[[#This Row],[Discount]]</f>
        <v>1739999.82</v>
      </c>
      <c r="S369" s="33">
        <f>Table1_1[[#This Row],[Units Sold]]*Table1_1[[#This Row],[Unit Cost]]</f>
        <v>1180800</v>
      </c>
      <c r="T369" s="33">
        <f>Table1_1[[#This Row],[Sales Amount]]-S369</f>
        <v>559199.82000000007</v>
      </c>
      <c r="U369" s="32">
        <f>IFERROR(Table1_1[[#This Row],[Profit/loss]]/Table1_1[[#This Row],[Sales Amount]],0)</f>
        <v>0.32137924014268004</v>
      </c>
    </row>
    <row r="370" spans="1:21" ht="18" x14ac:dyDescent="0.35">
      <c r="A370" s="21" t="s">
        <v>477</v>
      </c>
      <c r="B370" s="36">
        <v>45486</v>
      </c>
      <c r="C370" s="22">
        <f>YEAR(Table1_1[[#This Row],[Order Date]])</f>
        <v>2024</v>
      </c>
      <c r="D370" s="22" t="str">
        <f>TEXT(Table1_1[[#This Row],[Order Date]],"MMMM")</f>
        <v>July</v>
      </c>
      <c r="E370" s="22" t="s">
        <v>48</v>
      </c>
      <c r="F370" s="22" t="s">
        <v>136</v>
      </c>
      <c r="G370" s="22" t="s">
        <v>84</v>
      </c>
      <c r="H370" s="22" t="s">
        <v>19</v>
      </c>
      <c r="I370" s="22" t="s">
        <v>70</v>
      </c>
      <c r="J370" s="22" t="s">
        <v>71</v>
      </c>
      <c r="K370" s="22" t="s">
        <v>88</v>
      </c>
      <c r="L370" s="22" t="s">
        <v>23</v>
      </c>
      <c r="M370" s="22" t="s">
        <v>34</v>
      </c>
      <c r="N370" s="22">
        <v>12</v>
      </c>
      <c r="O370" s="26">
        <v>999</v>
      </c>
      <c r="P370" s="22">
        <v>0.15</v>
      </c>
      <c r="Q370" s="30">
        <v>540</v>
      </c>
      <c r="R370" s="33">
        <f>Table1_1[[#This Row],[Units Sold]]*Table1_1[[#This Row],[Unit Price]]*1-Table1_1[[#This Row],[Discount]]</f>
        <v>11987.85</v>
      </c>
      <c r="S370" s="33">
        <f>Table1_1[[#This Row],[Units Sold]]*Table1_1[[#This Row],[Unit Cost]]</f>
        <v>6480</v>
      </c>
      <c r="T370" s="33">
        <f>Table1_1[[#This Row],[Sales Amount]]-S370</f>
        <v>5507.85</v>
      </c>
      <c r="U370" s="32">
        <f>IFERROR(Table1_1[[#This Row],[Profit/loss]]/Table1_1[[#This Row],[Sales Amount]],0)</f>
        <v>0.45945269585455273</v>
      </c>
    </row>
    <row r="371" spans="1:21" ht="18" x14ac:dyDescent="0.35">
      <c r="A371" s="21" t="s">
        <v>478</v>
      </c>
      <c r="B371" s="36">
        <v>45486</v>
      </c>
      <c r="C371" s="22">
        <f>YEAR(Table1_1[[#This Row],[Order Date]])</f>
        <v>2024</v>
      </c>
      <c r="D371" s="22" t="str">
        <f>TEXT(Table1_1[[#This Row],[Order Date]],"MMMM")</f>
        <v>July</v>
      </c>
      <c r="E371" s="22" t="s">
        <v>48</v>
      </c>
      <c r="F371" s="22" t="s">
        <v>49</v>
      </c>
      <c r="G371" s="22" t="s">
        <v>69</v>
      </c>
      <c r="H371" s="22" t="s">
        <v>39</v>
      </c>
      <c r="I371" s="22" t="s">
        <v>30</v>
      </c>
      <c r="J371" s="22" t="s">
        <v>31</v>
      </c>
      <c r="K371" s="22" t="s">
        <v>85</v>
      </c>
      <c r="L371" s="22" t="s">
        <v>33</v>
      </c>
      <c r="M371" s="22" t="s">
        <v>24</v>
      </c>
      <c r="N371" s="22">
        <v>25</v>
      </c>
      <c r="O371" s="26">
        <v>43500</v>
      </c>
      <c r="P371" s="22">
        <v>0.08</v>
      </c>
      <c r="Q371" s="30">
        <v>29520</v>
      </c>
      <c r="R371" s="33">
        <f>Table1_1[[#This Row],[Units Sold]]*Table1_1[[#This Row],[Unit Price]]*1-Table1_1[[#This Row],[Discount]]</f>
        <v>1087499.92</v>
      </c>
      <c r="S371" s="33">
        <f>Table1_1[[#This Row],[Units Sold]]*Table1_1[[#This Row],[Unit Cost]]</f>
        <v>738000</v>
      </c>
      <c r="T371" s="33">
        <f>Table1_1[[#This Row],[Sales Amount]]-S371</f>
        <v>349499.91999999993</v>
      </c>
      <c r="U371" s="32">
        <f>IFERROR(Table1_1[[#This Row],[Profit/loss]]/Table1_1[[#This Row],[Sales Amount]],0)</f>
        <v>0.32137926042330189</v>
      </c>
    </row>
    <row r="372" spans="1:21" ht="18" x14ac:dyDescent="0.35">
      <c r="A372" s="21" t="s">
        <v>479</v>
      </c>
      <c r="B372" s="36">
        <v>45486</v>
      </c>
      <c r="C372" s="22">
        <f>YEAR(Table1_1[[#This Row],[Order Date]])</f>
        <v>2024</v>
      </c>
      <c r="D372" s="22" t="str">
        <f>TEXT(Table1_1[[#This Row],[Order Date]],"MMMM")</f>
        <v>July</v>
      </c>
      <c r="E372" s="22" t="s">
        <v>36</v>
      </c>
      <c r="F372" s="22" t="s">
        <v>121</v>
      </c>
      <c r="G372" s="22" t="s">
        <v>28</v>
      </c>
      <c r="H372" s="22" t="s">
        <v>39</v>
      </c>
      <c r="I372" s="22" t="s">
        <v>70</v>
      </c>
      <c r="J372" s="22" t="s">
        <v>71</v>
      </c>
      <c r="K372" s="22" t="s">
        <v>80</v>
      </c>
      <c r="L372" s="22" t="s">
        <v>33</v>
      </c>
      <c r="M372" s="22" t="s">
        <v>24</v>
      </c>
      <c r="N372" s="22">
        <v>21</v>
      </c>
      <c r="O372" s="26">
        <v>1299</v>
      </c>
      <c r="P372" s="22">
        <v>0.1</v>
      </c>
      <c r="Q372" s="30">
        <v>720</v>
      </c>
      <c r="R372" s="33">
        <f>Table1_1[[#This Row],[Units Sold]]*Table1_1[[#This Row],[Unit Price]]*1-Table1_1[[#This Row],[Discount]]</f>
        <v>27278.9</v>
      </c>
      <c r="S372" s="33">
        <f>Table1_1[[#This Row],[Units Sold]]*Table1_1[[#This Row],[Unit Cost]]</f>
        <v>15120</v>
      </c>
      <c r="T372" s="33">
        <f>Table1_1[[#This Row],[Sales Amount]]-S372</f>
        <v>12158.900000000001</v>
      </c>
      <c r="U372" s="32">
        <f>IFERROR(Table1_1[[#This Row],[Profit/loss]]/Table1_1[[#This Row],[Sales Amount]],0)</f>
        <v>0.44572545080630088</v>
      </c>
    </row>
    <row r="373" spans="1:21" ht="18" x14ac:dyDescent="0.35">
      <c r="A373" s="21" t="s">
        <v>480</v>
      </c>
      <c r="B373" s="36">
        <v>45487</v>
      </c>
      <c r="C373" s="22">
        <f>YEAR(Table1_1[[#This Row],[Order Date]])</f>
        <v>2024</v>
      </c>
      <c r="D373" s="22" t="str">
        <f>TEXT(Table1_1[[#This Row],[Order Date]],"MMMM")</f>
        <v>July</v>
      </c>
      <c r="E373" s="22" t="s">
        <v>26</v>
      </c>
      <c r="F373" s="22" t="s">
        <v>53</v>
      </c>
      <c r="G373" s="22" t="s">
        <v>18</v>
      </c>
      <c r="H373" s="22" t="s">
        <v>39</v>
      </c>
      <c r="I373" s="22" t="s">
        <v>20</v>
      </c>
      <c r="J373" s="22" t="s">
        <v>21</v>
      </c>
      <c r="K373" s="22" t="s">
        <v>115</v>
      </c>
      <c r="L373" s="22" t="s">
        <v>33</v>
      </c>
      <c r="M373" s="22" t="s">
        <v>24</v>
      </c>
      <c r="N373" s="22">
        <v>40</v>
      </c>
      <c r="O373" s="26">
        <v>6499</v>
      </c>
      <c r="P373" s="22">
        <v>0.2</v>
      </c>
      <c r="Q373" s="30">
        <v>4210</v>
      </c>
      <c r="R373" s="33">
        <f>Table1_1[[#This Row],[Units Sold]]*Table1_1[[#This Row],[Unit Price]]*1-Table1_1[[#This Row],[Discount]]</f>
        <v>259959.8</v>
      </c>
      <c r="S373" s="33">
        <f>Table1_1[[#This Row],[Units Sold]]*Table1_1[[#This Row],[Unit Cost]]</f>
        <v>168400</v>
      </c>
      <c r="T373" s="33">
        <f>Table1_1[[#This Row],[Sales Amount]]-S373</f>
        <v>91559.799999999988</v>
      </c>
      <c r="U373" s="32">
        <f>IFERROR(Table1_1[[#This Row],[Profit/loss]]/Table1_1[[#This Row],[Sales Amount]],0)</f>
        <v>0.35220753362635299</v>
      </c>
    </row>
    <row r="374" spans="1:21" ht="18" x14ac:dyDescent="0.35">
      <c r="A374" s="21" t="s">
        <v>481</v>
      </c>
      <c r="B374" s="36">
        <v>45487</v>
      </c>
      <c r="C374" s="22">
        <f>YEAR(Table1_1[[#This Row],[Order Date]])</f>
        <v>2024</v>
      </c>
      <c r="D374" s="22" t="str">
        <f>TEXT(Table1_1[[#This Row],[Order Date]],"MMMM")</f>
        <v>July</v>
      </c>
      <c r="E374" s="22" t="s">
        <v>26</v>
      </c>
      <c r="F374" s="22" t="s">
        <v>27</v>
      </c>
      <c r="G374" s="22" t="s">
        <v>101</v>
      </c>
      <c r="H374" s="22" t="s">
        <v>39</v>
      </c>
      <c r="I374" s="22" t="s">
        <v>40</v>
      </c>
      <c r="J374" s="22" t="s">
        <v>76</v>
      </c>
      <c r="K374" s="22" t="s">
        <v>113</v>
      </c>
      <c r="L374" s="22" t="s">
        <v>23</v>
      </c>
      <c r="M374" s="22" t="s">
        <v>66</v>
      </c>
      <c r="N374" s="22">
        <v>17</v>
      </c>
      <c r="O374" s="26">
        <v>22999</v>
      </c>
      <c r="P374" s="22">
        <v>0.15</v>
      </c>
      <c r="Q374" s="30">
        <v>15100</v>
      </c>
      <c r="R374" s="33">
        <f>Table1_1[[#This Row],[Units Sold]]*Table1_1[[#This Row],[Unit Price]]*1-Table1_1[[#This Row],[Discount]]</f>
        <v>390982.85</v>
      </c>
      <c r="S374" s="33">
        <f>Table1_1[[#This Row],[Units Sold]]*Table1_1[[#This Row],[Unit Cost]]</f>
        <v>256700</v>
      </c>
      <c r="T374" s="33">
        <f>Table1_1[[#This Row],[Sales Amount]]-S374</f>
        <v>134282.84999999998</v>
      </c>
      <c r="U374" s="32">
        <f>IFERROR(Table1_1[[#This Row],[Profit/loss]]/Table1_1[[#This Row],[Sales Amount]],0)</f>
        <v>0.34344946332044995</v>
      </c>
    </row>
    <row r="375" spans="1:21" ht="18" x14ac:dyDescent="0.35">
      <c r="A375" s="21" t="s">
        <v>482</v>
      </c>
      <c r="B375" s="36">
        <v>45487</v>
      </c>
      <c r="C375" s="22">
        <f>YEAR(Table1_1[[#This Row],[Order Date]])</f>
        <v>2024</v>
      </c>
      <c r="D375" s="22" t="str">
        <f>TEXT(Table1_1[[#This Row],[Order Date]],"MMMM")</f>
        <v>July</v>
      </c>
      <c r="E375" s="22" t="s">
        <v>48</v>
      </c>
      <c r="F375" s="22" t="s">
        <v>49</v>
      </c>
      <c r="G375" s="22" t="s">
        <v>84</v>
      </c>
      <c r="H375" s="22" t="s">
        <v>19</v>
      </c>
      <c r="I375" s="22" t="s">
        <v>40</v>
      </c>
      <c r="J375" s="22" t="s">
        <v>76</v>
      </c>
      <c r="K375" s="22" t="s">
        <v>113</v>
      </c>
      <c r="L375" s="22" t="s">
        <v>33</v>
      </c>
      <c r="M375" s="22" t="s">
        <v>24</v>
      </c>
      <c r="N375" s="22">
        <v>27</v>
      </c>
      <c r="O375" s="26">
        <v>22999</v>
      </c>
      <c r="P375" s="22">
        <v>0.1</v>
      </c>
      <c r="Q375" s="30">
        <v>15100</v>
      </c>
      <c r="R375" s="33">
        <f>Table1_1[[#This Row],[Units Sold]]*Table1_1[[#This Row],[Unit Price]]*1-Table1_1[[#This Row],[Discount]]</f>
        <v>620972.9</v>
      </c>
      <c r="S375" s="33">
        <f>Table1_1[[#This Row],[Units Sold]]*Table1_1[[#This Row],[Unit Cost]]</f>
        <v>407700</v>
      </c>
      <c r="T375" s="33">
        <f>Table1_1[[#This Row],[Sales Amount]]-S375</f>
        <v>213272.90000000002</v>
      </c>
      <c r="U375" s="32">
        <f>IFERROR(Table1_1[[#This Row],[Profit/loss]]/Table1_1[[#This Row],[Sales Amount]],0)</f>
        <v>0.34344960947571146</v>
      </c>
    </row>
    <row r="376" spans="1:21" ht="18" x14ac:dyDescent="0.35">
      <c r="A376" s="21" t="s">
        <v>483</v>
      </c>
      <c r="B376" s="36">
        <v>45487</v>
      </c>
      <c r="C376" s="22">
        <f>YEAR(Table1_1[[#This Row],[Order Date]])</f>
        <v>2024</v>
      </c>
      <c r="D376" s="22" t="str">
        <f>TEXT(Table1_1[[#This Row],[Order Date]],"MMMM")</f>
        <v>July</v>
      </c>
      <c r="E376" s="22" t="s">
        <v>36</v>
      </c>
      <c r="F376" s="22" t="s">
        <v>121</v>
      </c>
      <c r="G376" s="22" t="s">
        <v>18</v>
      </c>
      <c r="H376" s="22" t="s">
        <v>29</v>
      </c>
      <c r="I376" s="22" t="s">
        <v>30</v>
      </c>
      <c r="J376" s="22" t="s">
        <v>31</v>
      </c>
      <c r="K376" s="22" t="s">
        <v>85</v>
      </c>
      <c r="L376" s="22" t="s">
        <v>23</v>
      </c>
      <c r="M376" s="22" t="s">
        <v>24</v>
      </c>
      <c r="N376" s="22">
        <v>36</v>
      </c>
      <c r="O376" s="26">
        <v>43500</v>
      </c>
      <c r="P376" s="22">
        <v>0.15</v>
      </c>
      <c r="Q376" s="30">
        <v>29520</v>
      </c>
      <c r="R376" s="33">
        <f>Table1_1[[#This Row],[Units Sold]]*Table1_1[[#This Row],[Unit Price]]*1-Table1_1[[#This Row],[Discount]]</f>
        <v>1565999.85</v>
      </c>
      <c r="S376" s="33">
        <f>Table1_1[[#This Row],[Units Sold]]*Table1_1[[#This Row],[Unit Cost]]</f>
        <v>1062720</v>
      </c>
      <c r="T376" s="33">
        <f>Table1_1[[#This Row],[Sales Amount]]-S376</f>
        <v>503279.85000000009</v>
      </c>
      <c r="U376" s="32">
        <f>IFERROR(Table1_1[[#This Row],[Profit/loss]]/Table1_1[[#This Row],[Sales Amount]],0)</f>
        <v>0.32137924534283963</v>
      </c>
    </row>
    <row r="377" spans="1:21" ht="18" x14ac:dyDescent="0.35">
      <c r="A377" s="21" t="s">
        <v>484</v>
      </c>
      <c r="B377" s="36">
        <v>45488</v>
      </c>
      <c r="C377" s="22">
        <f>YEAR(Table1_1[[#This Row],[Order Date]])</f>
        <v>2024</v>
      </c>
      <c r="D377" s="22" t="str">
        <f>TEXT(Table1_1[[#This Row],[Order Date]],"MMMM")</f>
        <v>July</v>
      </c>
      <c r="E377" s="22" t="s">
        <v>82</v>
      </c>
      <c r="F377" s="22" t="s">
        <v>87</v>
      </c>
      <c r="G377" s="22" t="s">
        <v>50</v>
      </c>
      <c r="H377" s="22" t="s">
        <v>39</v>
      </c>
      <c r="I377" s="22" t="s">
        <v>20</v>
      </c>
      <c r="J377" s="22" t="s">
        <v>21</v>
      </c>
      <c r="K377" s="22" t="s">
        <v>115</v>
      </c>
      <c r="L377" s="22" t="s">
        <v>33</v>
      </c>
      <c r="M377" s="22" t="s">
        <v>24</v>
      </c>
      <c r="N377" s="22">
        <v>8</v>
      </c>
      <c r="O377" s="26">
        <v>6499</v>
      </c>
      <c r="P377" s="22">
        <v>0.15</v>
      </c>
      <c r="Q377" s="30">
        <v>4210</v>
      </c>
      <c r="R377" s="33">
        <f>Table1_1[[#This Row],[Units Sold]]*Table1_1[[#This Row],[Unit Price]]*1-Table1_1[[#This Row],[Discount]]</f>
        <v>51991.85</v>
      </c>
      <c r="S377" s="33">
        <f>Table1_1[[#This Row],[Units Sold]]*Table1_1[[#This Row],[Unit Cost]]</f>
        <v>33680</v>
      </c>
      <c r="T377" s="33">
        <f>Table1_1[[#This Row],[Sales Amount]]-S377</f>
        <v>18311.849999999999</v>
      </c>
      <c r="U377" s="32">
        <f>IFERROR(Table1_1[[#This Row],[Profit/loss]]/Table1_1[[#This Row],[Sales Amount]],0)</f>
        <v>0.35220616308132907</v>
      </c>
    </row>
    <row r="378" spans="1:21" ht="18" x14ac:dyDescent="0.35">
      <c r="A378" s="21" t="s">
        <v>485</v>
      </c>
      <c r="B378" s="36">
        <v>45488</v>
      </c>
      <c r="C378" s="22">
        <f>YEAR(Table1_1[[#This Row],[Order Date]])</f>
        <v>2024</v>
      </c>
      <c r="D378" s="22" t="str">
        <f>TEXT(Table1_1[[#This Row],[Order Date]],"MMMM")</f>
        <v>July</v>
      </c>
      <c r="E378" s="22" t="s">
        <v>36</v>
      </c>
      <c r="F378" s="22" t="s">
        <v>44</v>
      </c>
      <c r="G378" s="22" t="s">
        <v>69</v>
      </c>
      <c r="H378" s="22" t="s">
        <v>39</v>
      </c>
      <c r="I378" s="22" t="s">
        <v>20</v>
      </c>
      <c r="J378" s="22" t="s">
        <v>21</v>
      </c>
      <c r="K378" s="22" t="s">
        <v>22</v>
      </c>
      <c r="L378" s="22" t="s">
        <v>33</v>
      </c>
      <c r="M378" s="22" t="s">
        <v>78</v>
      </c>
      <c r="N378" s="22">
        <v>11</v>
      </c>
      <c r="O378" s="26">
        <v>4499</v>
      </c>
      <c r="P378" s="22">
        <v>0.12</v>
      </c>
      <c r="Q378" s="30">
        <v>2910</v>
      </c>
      <c r="R378" s="33">
        <f>Table1_1[[#This Row],[Units Sold]]*Table1_1[[#This Row],[Unit Price]]*1-Table1_1[[#This Row],[Discount]]</f>
        <v>49488.88</v>
      </c>
      <c r="S378" s="33">
        <f>Table1_1[[#This Row],[Units Sold]]*Table1_1[[#This Row],[Unit Cost]]</f>
        <v>32010</v>
      </c>
      <c r="T378" s="33">
        <f>Table1_1[[#This Row],[Sales Amount]]-S378</f>
        <v>17478.879999999997</v>
      </c>
      <c r="U378" s="32">
        <f>IFERROR(Table1_1[[#This Row],[Profit/loss]]/Table1_1[[#This Row],[Sales Amount]],0)</f>
        <v>0.35318802931082699</v>
      </c>
    </row>
    <row r="379" spans="1:21" ht="18" x14ac:dyDescent="0.35">
      <c r="A379" s="21" t="s">
        <v>486</v>
      </c>
      <c r="B379" s="36">
        <v>45489</v>
      </c>
      <c r="C379" s="22">
        <f>YEAR(Table1_1[[#This Row],[Order Date]])</f>
        <v>2024</v>
      </c>
      <c r="D379" s="22" t="str">
        <f>TEXT(Table1_1[[#This Row],[Order Date]],"MMMM")</f>
        <v>July</v>
      </c>
      <c r="E379" s="22" t="s">
        <v>16</v>
      </c>
      <c r="F379" s="22" t="s">
        <v>17</v>
      </c>
      <c r="G379" s="22" t="s">
        <v>18</v>
      </c>
      <c r="H379" s="22" t="s">
        <v>39</v>
      </c>
      <c r="I379" s="22" t="s">
        <v>40</v>
      </c>
      <c r="J379" s="22" t="s">
        <v>76</v>
      </c>
      <c r="K379" s="22" t="s">
        <v>113</v>
      </c>
      <c r="L379" s="22" t="s">
        <v>33</v>
      </c>
      <c r="M379" s="22" t="s">
        <v>66</v>
      </c>
      <c r="N379" s="22">
        <v>1</v>
      </c>
      <c r="O379" s="26">
        <v>22999</v>
      </c>
      <c r="P379" s="22">
        <v>0.05</v>
      </c>
      <c r="Q379" s="30">
        <v>15100</v>
      </c>
      <c r="R379" s="33">
        <f>Table1_1[[#This Row],[Units Sold]]*Table1_1[[#This Row],[Unit Price]]*1-Table1_1[[#This Row],[Discount]]</f>
        <v>22998.95</v>
      </c>
      <c r="S379" s="33">
        <f>Table1_1[[#This Row],[Units Sold]]*Table1_1[[#This Row],[Unit Cost]]</f>
        <v>15100</v>
      </c>
      <c r="T379" s="33">
        <f>Table1_1[[#This Row],[Sales Amount]]-S379</f>
        <v>7898.9500000000007</v>
      </c>
      <c r="U379" s="32">
        <f>IFERROR(Table1_1[[#This Row],[Profit/loss]]/Table1_1[[#This Row],[Sales Amount]],0)</f>
        <v>0.34344828785661957</v>
      </c>
    </row>
    <row r="380" spans="1:21" ht="18" x14ac:dyDescent="0.35">
      <c r="A380" s="21" t="s">
        <v>487</v>
      </c>
      <c r="B380" s="36">
        <v>45489</v>
      </c>
      <c r="C380" s="22">
        <f>YEAR(Table1_1[[#This Row],[Order Date]])</f>
        <v>2024</v>
      </c>
      <c r="D380" s="22" t="str">
        <f>TEXT(Table1_1[[#This Row],[Order Date]],"MMMM")</f>
        <v>July</v>
      </c>
      <c r="E380" s="22" t="s">
        <v>36</v>
      </c>
      <c r="F380" s="22" t="s">
        <v>59</v>
      </c>
      <c r="G380" s="22" t="s">
        <v>60</v>
      </c>
      <c r="H380" s="22" t="s">
        <v>39</v>
      </c>
      <c r="I380" s="22" t="s">
        <v>30</v>
      </c>
      <c r="J380" s="22" t="s">
        <v>31</v>
      </c>
      <c r="K380" s="22" t="s">
        <v>106</v>
      </c>
      <c r="L380" s="22" t="s">
        <v>23</v>
      </c>
      <c r="M380" s="22" t="s">
        <v>24</v>
      </c>
      <c r="N380" s="22">
        <v>15</v>
      </c>
      <c r="O380" s="26">
        <v>52990</v>
      </c>
      <c r="P380" s="22">
        <v>0.12</v>
      </c>
      <c r="Q380" s="30">
        <v>35100</v>
      </c>
      <c r="R380" s="33">
        <f>Table1_1[[#This Row],[Units Sold]]*Table1_1[[#This Row],[Unit Price]]*1-Table1_1[[#This Row],[Discount]]</f>
        <v>794849.88</v>
      </c>
      <c r="S380" s="33">
        <f>Table1_1[[#This Row],[Units Sold]]*Table1_1[[#This Row],[Unit Cost]]</f>
        <v>526500</v>
      </c>
      <c r="T380" s="33">
        <f>Table1_1[[#This Row],[Sales Amount]]-S380</f>
        <v>268349.88</v>
      </c>
      <c r="U380" s="32">
        <f>IFERROR(Table1_1[[#This Row],[Profit/loss]]/Table1_1[[#This Row],[Sales Amount]],0)</f>
        <v>0.33761076997331874</v>
      </c>
    </row>
    <row r="381" spans="1:21" ht="18" x14ac:dyDescent="0.35">
      <c r="A381" s="21" t="s">
        <v>488</v>
      </c>
      <c r="B381" s="36">
        <v>45490</v>
      </c>
      <c r="C381" s="22">
        <f>YEAR(Table1_1[[#This Row],[Order Date]])</f>
        <v>2024</v>
      </c>
      <c r="D381" s="22" t="str">
        <f>TEXT(Table1_1[[#This Row],[Order Date]],"MMMM")</f>
        <v>July</v>
      </c>
      <c r="E381" s="22" t="s">
        <v>82</v>
      </c>
      <c r="F381" s="22" t="s">
        <v>83</v>
      </c>
      <c r="G381" s="22" t="s">
        <v>84</v>
      </c>
      <c r="H381" s="22" t="s">
        <v>29</v>
      </c>
      <c r="I381" s="22" t="s">
        <v>30</v>
      </c>
      <c r="J381" s="22" t="s">
        <v>61</v>
      </c>
      <c r="K381" s="22" t="s">
        <v>96</v>
      </c>
      <c r="L381" s="22" t="s">
        <v>57</v>
      </c>
      <c r="M381" s="22" t="s">
        <v>66</v>
      </c>
      <c r="N381" s="22">
        <v>10</v>
      </c>
      <c r="O381" s="26">
        <v>25110</v>
      </c>
      <c r="P381" s="22">
        <v>0.15</v>
      </c>
      <c r="Q381" s="30">
        <v>16730</v>
      </c>
      <c r="R381" s="33">
        <f>Table1_1[[#This Row],[Units Sold]]*Table1_1[[#This Row],[Unit Price]]*1-Table1_1[[#This Row],[Discount]]</f>
        <v>251099.85</v>
      </c>
      <c r="S381" s="33">
        <f>Table1_1[[#This Row],[Units Sold]]*Table1_1[[#This Row],[Unit Cost]]</f>
        <v>167300</v>
      </c>
      <c r="T381" s="33">
        <f>Table1_1[[#This Row],[Sales Amount]]-S381</f>
        <v>83799.850000000006</v>
      </c>
      <c r="U381" s="32">
        <f>IFERROR(Table1_1[[#This Row],[Profit/loss]]/Table1_1[[#This Row],[Sales Amount]],0)</f>
        <v>0.33373118303336302</v>
      </c>
    </row>
    <row r="382" spans="1:21" ht="18" x14ac:dyDescent="0.35">
      <c r="A382" s="21" t="s">
        <v>489</v>
      </c>
      <c r="B382" s="36">
        <v>45490</v>
      </c>
      <c r="C382" s="22">
        <f>YEAR(Table1_1[[#This Row],[Order Date]])</f>
        <v>2024</v>
      </c>
      <c r="D382" s="22" t="str">
        <f>TEXT(Table1_1[[#This Row],[Order Date]],"MMMM")</f>
        <v>July</v>
      </c>
      <c r="E382" s="22" t="s">
        <v>36</v>
      </c>
      <c r="F382" s="22" t="s">
        <v>121</v>
      </c>
      <c r="G382" s="22" t="s">
        <v>38</v>
      </c>
      <c r="H382" s="22" t="s">
        <v>19</v>
      </c>
      <c r="I382" s="22" t="s">
        <v>54</v>
      </c>
      <c r="J382" s="22" t="s">
        <v>129</v>
      </c>
      <c r="K382" s="22" t="s">
        <v>130</v>
      </c>
      <c r="L382" s="22" t="s">
        <v>57</v>
      </c>
      <c r="M382" s="22" t="s">
        <v>66</v>
      </c>
      <c r="N382" s="22">
        <v>4</v>
      </c>
      <c r="O382" s="26">
        <v>27890</v>
      </c>
      <c r="P382" s="22">
        <v>0.12</v>
      </c>
      <c r="Q382" s="30">
        <v>18800</v>
      </c>
      <c r="R382" s="33">
        <f>Table1_1[[#This Row],[Units Sold]]*Table1_1[[#This Row],[Unit Price]]*1-Table1_1[[#This Row],[Discount]]</f>
        <v>111559.88</v>
      </c>
      <c r="S382" s="33">
        <f>Table1_1[[#This Row],[Units Sold]]*Table1_1[[#This Row],[Unit Cost]]</f>
        <v>75200</v>
      </c>
      <c r="T382" s="33">
        <f>Table1_1[[#This Row],[Sales Amount]]-S382</f>
        <v>36359.880000000005</v>
      </c>
      <c r="U382" s="32">
        <f>IFERROR(Table1_1[[#This Row],[Profit/loss]]/Table1_1[[#This Row],[Sales Amount]],0)</f>
        <v>0.32592254491489236</v>
      </c>
    </row>
    <row r="383" spans="1:21" ht="18" x14ac:dyDescent="0.35">
      <c r="A383" s="21" t="s">
        <v>490</v>
      </c>
      <c r="B383" s="36">
        <v>45490</v>
      </c>
      <c r="C383" s="22">
        <f>YEAR(Table1_1[[#This Row],[Order Date]])</f>
        <v>2024</v>
      </c>
      <c r="D383" s="22" t="str">
        <f>TEXT(Table1_1[[#This Row],[Order Date]],"MMMM")</f>
        <v>July</v>
      </c>
      <c r="E383" s="22" t="s">
        <v>48</v>
      </c>
      <c r="F383" s="22" t="s">
        <v>93</v>
      </c>
      <c r="G383" s="22" t="s">
        <v>101</v>
      </c>
      <c r="H383" s="22" t="s">
        <v>19</v>
      </c>
      <c r="I383" s="22" t="s">
        <v>30</v>
      </c>
      <c r="J383" s="22" t="s">
        <v>31</v>
      </c>
      <c r="K383" s="22" t="s">
        <v>85</v>
      </c>
      <c r="L383" s="22" t="s">
        <v>33</v>
      </c>
      <c r="M383" s="22" t="s">
        <v>24</v>
      </c>
      <c r="N383" s="22">
        <v>4</v>
      </c>
      <c r="O383" s="26">
        <v>43500</v>
      </c>
      <c r="P383" s="22">
        <v>0.12</v>
      </c>
      <c r="Q383" s="30">
        <v>29520</v>
      </c>
      <c r="R383" s="33">
        <f>Table1_1[[#This Row],[Units Sold]]*Table1_1[[#This Row],[Unit Price]]*1-Table1_1[[#This Row],[Discount]]</f>
        <v>173999.88</v>
      </c>
      <c r="S383" s="33">
        <f>Table1_1[[#This Row],[Units Sold]]*Table1_1[[#This Row],[Unit Cost]]</f>
        <v>118080</v>
      </c>
      <c r="T383" s="33">
        <f>Table1_1[[#This Row],[Sales Amount]]-S383</f>
        <v>55919.880000000005</v>
      </c>
      <c r="U383" s="32">
        <f>IFERROR(Table1_1[[#This Row],[Profit/loss]]/Table1_1[[#This Row],[Sales Amount]],0)</f>
        <v>0.32137884233023611</v>
      </c>
    </row>
    <row r="384" spans="1:21" ht="18" x14ac:dyDescent="0.35">
      <c r="A384" s="21" t="s">
        <v>491</v>
      </c>
      <c r="B384" s="36">
        <v>45491</v>
      </c>
      <c r="C384" s="22">
        <f>YEAR(Table1_1[[#This Row],[Order Date]])</f>
        <v>2024</v>
      </c>
      <c r="D384" s="22" t="str">
        <f>TEXT(Table1_1[[#This Row],[Order Date]],"MMMM")</f>
        <v>July</v>
      </c>
      <c r="E384" s="22" t="s">
        <v>48</v>
      </c>
      <c r="F384" s="22" t="s">
        <v>136</v>
      </c>
      <c r="G384" s="22" t="s">
        <v>50</v>
      </c>
      <c r="H384" s="22" t="s">
        <v>29</v>
      </c>
      <c r="I384" s="22" t="s">
        <v>20</v>
      </c>
      <c r="J384" s="22" t="s">
        <v>21</v>
      </c>
      <c r="K384" s="22" t="s">
        <v>51</v>
      </c>
      <c r="L384" s="22" t="s">
        <v>33</v>
      </c>
      <c r="M384" s="22" t="s">
        <v>78</v>
      </c>
      <c r="N384" s="22">
        <v>16</v>
      </c>
      <c r="O384" s="26">
        <v>5999</v>
      </c>
      <c r="P384" s="22">
        <v>0.15</v>
      </c>
      <c r="Q384" s="30">
        <v>3890</v>
      </c>
      <c r="R384" s="33">
        <f>Table1_1[[#This Row],[Units Sold]]*Table1_1[[#This Row],[Unit Price]]*1-Table1_1[[#This Row],[Discount]]</f>
        <v>95983.85</v>
      </c>
      <c r="S384" s="33">
        <f>Table1_1[[#This Row],[Units Sold]]*Table1_1[[#This Row],[Unit Cost]]</f>
        <v>62240</v>
      </c>
      <c r="T384" s="33">
        <f>Table1_1[[#This Row],[Sales Amount]]-S384</f>
        <v>33743.850000000006</v>
      </c>
      <c r="U384" s="32">
        <f>IFERROR(Table1_1[[#This Row],[Profit/loss]]/Table1_1[[#This Row],[Sales Amount]],0)</f>
        <v>0.35155757973867485</v>
      </c>
    </row>
    <row r="385" spans="1:21" ht="18" x14ac:dyDescent="0.35">
      <c r="A385" s="21" t="s">
        <v>492</v>
      </c>
      <c r="B385" s="36">
        <v>45491</v>
      </c>
      <c r="C385" s="22">
        <f>YEAR(Table1_1[[#This Row],[Order Date]])</f>
        <v>2024</v>
      </c>
      <c r="D385" s="22" t="str">
        <f>TEXT(Table1_1[[#This Row],[Order Date]],"MMMM")</f>
        <v>July</v>
      </c>
      <c r="E385" s="22" t="s">
        <v>16</v>
      </c>
      <c r="F385" s="22" t="s">
        <v>17</v>
      </c>
      <c r="G385" s="22" t="s">
        <v>84</v>
      </c>
      <c r="H385" s="22" t="s">
        <v>29</v>
      </c>
      <c r="I385" s="22" t="s">
        <v>30</v>
      </c>
      <c r="J385" s="22" t="s">
        <v>61</v>
      </c>
      <c r="K385" s="22" t="s">
        <v>186</v>
      </c>
      <c r="L385" s="22" t="s">
        <v>23</v>
      </c>
      <c r="M385" s="22" t="s">
        <v>66</v>
      </c>
      <c r="N385" s="22">
        <v>10</v>
      </c>
      <c r="O385" s="26">
        <v>6999</v>
      </c>
      <c r="P385" s="22">
        <v>0.18</v>
      </c>
      <c r="Q385" s="30">
        <v>4320</v>
      </c>
      <c r="R385" s="33">
        <f>Table1_1[[#This Row],[Units Sold]]*Table1_1[[#This Row],[Unit Price]]*1-Table1_1[[#This Row],[Discount]]</f>
        <v>69989.820000000007</v>
      </c>
      <c r="S385" s="33">
        <f>Table1_1[[#This Row],[Units Sold]]*Table1_1[[#This Row],[Unit Cost]]</f>
        <v>43200</v>
      </c>
      <c r="T385" s="33">
        <f>Table1_1[[#This Row],[Sales Amount]]-S385</f>
        <v>26789.820000000007</v>
      </c>
      <c r="U385" s="32">
        <f>IFERROR(Table1_1[[#This Row],[Profit/loss]]/Table1_1[[#This Row],[Sales Amount]],0)</f>
        <v>0.38276737959891888</v>
      </c>
    </row>
    <row r="386" spans="1:21" ht="18" x14ac:dyDescent="0.35">
      <c r="A386" s="21" t="s">
        <v>493</v>
      </c>
      <c r="B386" s="36">
        <v>45491</v>
      </c>
      <c r="C386" s="22">
        <f>YEAR(Table1_1[[#This Row],[Order Date]])</f>
        <v>2024</v>
      </c>
      <c r="D386" s="22" t="str">
        <f>TEXT(Table1_1[[#This Row],[Order Date]],"MMMM")</f>
        <v>July</v>
      </c>
      <c r="E386" s="22" t="s">
        <v>36</v>
      </c>
      <c r="F386" s="22" t="s">
        <v>59</v>
      </c>
      <c r="G386" s="22" t="s">
        <v>28</v>
      </c>
      <c r="H386" s="22" t="s">
        <v>29</v>
      </c>
      <c r="I386" s="22" t="s">
        <v>54</v>
      </c>
      <c r="J386" s="22" t="s">
        <v>129</v>
      </c>
      <c r="K386" s="22" t="s">
        <v>1630</v>
      </c>
      <c r="L386" s="22" t="s">
        <v>57</v>
      </c>
      <c r="M386" s="22" t="s">
        <v>24</v>
      </c>
      <c r="N386" s="22">
        <v>38</v>
      </c>
      <c r="O386" s="26">
        <v>29010</v>
      </c>
      <c r="P386" s="22">
        <v>0.18</v>
      </c>
      <c r="Q386" s="30">
        <v>19100</v>
      </c>
      <c r="R386" s="33">
        <f>Table1_1[[#This Row],[Units Sold]]*Table1_1[[#This Row],[Unit Price]]*1-Table1_1[[#This Row],[Discount]]</f>
        <v>1102379.82</v>
      </c>
      <c r="S386" s="33">
        <f>Table1_1[[#This Row],[Units Sold]]*Table1_1[[#This Row],[Unit Cost]]</f>
        <v>725800</v>
      </c>
      <c r="T386" s="33">
        <f>Table1_1[[#This Row],[Sales Amount]]-S386</f>
        <v>376579.82000000007</v>
      </c>
      <c r="U386" s="32">
        <f>IFERROR(Table1_1[[#This Row],[Profit/loss]]/Table1_1[[#This Row],[Sales Amount]],0)</f>
        <v>0.3416062351359081</v>
      </c>
    </row>
    <row r="387" spans="1:21" ht="18" x14ac:dyDescent="0.35">
      <c r="A387" s="21" t="s">
        <v>494</v>
      </c>
      <c r="B387" s="36">
        <v>45492</v>
      </c>
      <c r="C387" s="22">
        <f>YEAR(Table1_1[[#This Row],[Order Date]])</f>
        <v>2024</v>
      </c>
      <c r="D387" s="22" t="str">
        <f>TEXT(Table1_1[[#This Row],[Order Date]],"MMMM")</f>
        <v>July</v>
      </c>
      <c r="E387" s="22" t="s">
        <v>36</v>
      </c>
      <c r="F387" s="22" t="s">
        <v>59</v>
      </c>
      <c r="G387" s="22" t="s">
        <v>75</v>
      </c>
      <c r="H387" s="22" t="s">
        <v>39</v>
      </c>
      <c r="I387" s="22" t="s">
        <v>30</v>
      </c>
      <c r="J387" s="22" t="s">
        <v>61</v>
      </c>
      <c r="K387" s="22" t="s">
        <v>62</v>
      </c>
      <c r="L387" s="22" t="s">
        <v>23</v>
      </c>
      <c r="M387" s="22" t="s">
        <v>78</v>
      </c>
      <c r="N387" s="22">
        <v>13</v>
      </c>
      <c r="O387" s="26">
        <v>12490</v>
      </c>
      <c r="P387" s="22">
        <v>0.18</v>
      </c>
      <c r="Q387" s="30">
        <v>7900</v>
      </c>
      <c r="R387" s="33">
        <f>Table1_1[[#This Row],[Units Sold]]*Table1_1[[#This Row],[Unit Price]]*1-Table1_1[[#This Row],[Discount]]</f>
        <v>162369.82</v>
      </c>
      <c r="S387" s="33">
        <f>Table1_1[[#This Row],[Units Sold]]*Table1_1[[#This Row],[Unit Cost]]</f>
        <v>102700</v>
      </c>
      <c r="T387" s="33">
        <f>Table1_1[[#This Row],[Sales Amount]]-S387</f>
        <v>59669.820000000007</v>
      </c>
      <c r="U387" s="32">
        <f>IFERROR(Table1_1[[#This Row],[Profit/loss]]/Table1_1[[#This Row],[Sales Amount]],0)</f>
        <v>0.36749329401239716</v>
      </c>
    </row>
    <row r="388" spans="1:21" ht="18" x14ac:dyDescent="0.35">
      <c r="A388" s="21" t="s">
        <v>495</v>
      </c>
      <c r="B388" s="36">
        <v>45492</v>
      </c>
      <c r="C388" s="22">
        <f>YEAR(Table1_1[[#This Row],[Order Date]])</f>
        <v>2024</v>
      </c>
      <c r="D388" s="22" t="str">
        <f>TEXT(Table1_1[[#This Row],[Order Date]],"MMMM")</f>
        <v>July</v>
      </c>
      <c r="E388" s="22" t="s">
        <v>16</v>
      </c>
      <c r="F388" s="22" t="s">
        <v>126</v>
      </c>
      <c r="G388" s="22" t="s">
        <v>69</v>
      </c>
      <c r="H388" s="22" t="s">
        <v>19</v>
      </c>
      <c r="I388" s="22" t="s">
        <v>40</v>
      </c>
      <c r="J388" s="22" t="s">
        <v>76</v>
      </c>
      <c r="K388" s="22" t="s">
        <v>1626</v>
      </c>
      <c r="L388" s="22" t="s">
        <v>23</v>
      </c>
      <c r="M388" s="22" t="s">
        <v>24</v>
      </c>
      <c r="N388" s="22">
        <v>9</v>
      </c>
      <c r="O388" s="26">
        <v>25999</v>
      </c>
      <c r="P388" s="22">
        <v>0.18</v>
      </c>
      <c r="Q388" s="30">
        <v>17800</v>
      </c>
      <c r="R388" s="33">
        <f>Table1_1[[#This Row],[Units Sold]]*Table1_1[[#This Row],[Unit Price]]*1-Table1_1[[#This Row],[Discount]]</f>
        <v>233990.82</v>
      </c>
      <c r="S388" s="33">
        <f>Table1_1[[#This Row],[Units Sold]]*Table1_1[[#This Row],[Unit Cost]]</f>
        <v>160200</v>
      </c>
      <c r="T388" s="33">
        <f>Table1_1[[#This Row],[Sales Amount]]-S388</f>
        <v>73790.820000000007</v>
      </c>
      <c r="U388" s="32">
        <f>IFERROR(Table1_1[[#This Row],[Profit/loss]]/Table1_1[[#This Row],[Sales Amount]],0)</f>
        <v>0.31535775634274887</v>
      </c>
    </row>
    <row r="389" spans="1:21" ht="18" x14ac:dyDescent="0.35">
      <c r="A389" s="21" t="s">
        <v>496</v>
      </c>
      <c r="B389" s="36">
        <v>45492</v>
      </c>
      <c r="C389" s="22">
        <f>YEAR(Table1_1[[#This Row],[Order Date]])</f>
        <v>2024</v>
      </c>
      <c r="D389" s="22" t="str">
        <f>TEXT(Table1_1[[#This Row],[Order Date]],"MMMM")</f>
        <v>July</v>
      </c>
      <c r="E389" s="22" t="s">
        <v>26</v>
      </c>
      <c r="F389" s="22" t="s">
        <v>163</v>
      </c>
      <c r="G389" s="22" t="s">
        <v>28</v>
      </c>
      <c r="H389" s="22" t="s">
        <v>19</v>
      </c>
      <c r="I389" s="22" t="s">
        <v>20</v>
      </c>
      <c r="J389" s="22" t="s">
        <v>21</v>
      </c>
      <c r="K389" s="22" t="s">
        <v>51</v>
      </c>
      <c r="L389" s="22" t="s">
        <v>33</v>
      </c>
      <c r="M389" s="22" t="s">
        <v>24</v>
      </c>
      <c r="N389" s="22">
        <v>4</v>
      </c>
      <c r="O389" s="26">
        <v>5999</v>
      </c>
      <c r="P389" s="22">
        <v>0.1</v>
      </c>
      <c r="Q389" s="30">
        <v>3890</v>
      </c>
      <c r="R389" s="33">
        <f>Table1_1[[#This Row],[Units Sold]]*Table1_1[[#This Row],[Unit Price]]*1-Table1_1[[#This Row],[Discount]]</f>
        <v>23995.9</v>
      </c>
      <c r="S389" s="33">
        <f>Table1_1[[#This Row],[Units Sold]]*Table1_1[[#This Row],[Unit Cost]]</f>
        <v>15560</v>
      </c>
      <c r="T389" s="33">
        <f>Table1_1[[#This Row],[Sales Amount]]-S389</f>
        <v>8435.9000000000015</v>
      </c>
      <c r="U389" s="32">
        <f>IFERROR(Table1_1[[#This Row],[Profit/loss]]/Table1_1[[#This Row],[Sales Amount]],0)</f>
        <v>0.35155589079801136</v>
      </c>
    </row>
    <row r="390" spans="1:21" ht="18" x14ac:dyDescent="0.35">
      <c r="A390" s="21" t="s">
        <v>497</v>
      </c>
      <c r="B390" s="36">
        <v>45493</v>
      </c>
      <c r="C390" s="22">
        <f>YEAR(Table1_1[[#This Row],[Order Date]])</f>
        <v>2024</v>
      </c>
      <c r="D390" s="22" t="str">
        <f>TEXT(Table1_1[[#This Row],[Order Date]],"MMMM")</f>
        <v>July</v>
      </c>
      <c r="E390" s="22" t="s">
        <v>26</v>
      </c>
      <c r="F390" s="22" t="s">
        <v>74</v>
      </c>
      <c r="G390" s="22" t="s">
        <v>69</v>
      </c>
      <c r="H390" s="22" t="s">
        <v>29</v>
      </c>
      <c r="I390" s="22" t="s">
        <v>70</v>
      </c>
      <c r="J390" s="22" t="s">
        <v>71</v>
      </c>
      <c r="K390" s="22" t="s">
        <v>88</v>
      </c>
      <c r="L390" s="22" t="s">
        <v>57</v>
      </c>
      <c r="M390" s="22" t="s">
        <v>24</v>
      </c>
      <c r="N390" s="22">
        <v>12</v>
      </c>
      <c r="O390" s="26">
        <v>999</v>
      </c>
      <c r="P390" s="22">
        <v>0.15</v>
      </c>
      <c r="Q390" s="30">
        <v>540</v>
      </c>
      <c r="R390" s="33">
        <f>Table1_1[[#This Row],[Units Sold]]*Table1_1[[#This Row],[Unit Price]]*1-Table1_1[[#This Row],[Discount]]</f>
        <v>11987.85</v>
      </c>
      <c r="S390" s="33">
        <f>Table1_1[[#This Row],[Units Sold]]*Table1_1[[#This Row],[Unit Cost]]</f>
        <v>6480</v>
      </c>
      <c r="T390" s="33">
        <f>Table1_1[[#This Row],[Sales Amount]]-S390</f>
        <v>5507.85</v>
      </c>
      <c r="U390" s="32">
        <f>IFERROR(Table1_1[[#This Row],[Profit/loss]]/Table1_1[[#This Row],[Sales Amount]],0)</f>
        <v>0.45945269585455273</v>
      </c>
    </row>
    <row r="391" spans="1:21" ht="18" x14ac:dyDescent="0.35">
      <c r="A391" s="21" t="s">
        <v>498</v>
      </c>
      <c r="B391" s="36">
        <v>45494</v>
      </c>
      <c r="C391" s="22">
        <f>YEAR(Table1_1[[#This Row],[Order Date]])</f>
        <v>2024</v>
      </c>
      <c r="D391" s="22" t="str">
        <f>TEXT(Table1_1[[#This Row],[Order Date]],"MMMM")</f>
        <v>July</v>
      </c>
      <c r="E391" s="22" t="s">
        <v>82</v>
      </c>
      <c r="F391" s="22" t="s">
        <v>87</v>
      </c>
      <c r="G391" s="22" t="s">
        <v>105</v>
      </c>
      <c r="H391" s="22" t="s">
        <v>19</v>
      </c>
      <c r="I391" s="22" t="s">
        <v>30</v>
      </c>
      <c r="J391" s="22" t="s">
        <v>31</v>
      </c>
      <c r="K391" s="22" t="s">
        <v>32</v>
      </c>
      <c r="L391" s="22" t="s">
        <v>33</v>
      </c>
      <c r="M391" s="22" t="s">
        <v>78</v>
      </c>
      <c r="N391" s="22">
        <v>35</v>
      </c>
      <c r="O391" s="26">
        <v>38990</v>
      </c>
      <c r="P391" s="22">
        <v>0.12</v>
      </c>
      <c r="Q391" s="30">
        <v>25400</v>
      </c>
      <c r="R391" s="33">
        <f>Table1_1[[#This Row],[Units Sold]]*Table1_1[[#This Row],[Unit Price]]*1-Table1_1[[#This Row],[Discount]]</f>
        <v>1364649.88</v>
      </c>
      <c r="S391" s="33">
        <f>Table1_1[[#This Row],[Units Sold]]*Table1_1[[#This Row],[Unit Cost]]</f>
        <v>889000</v>
      </c>
      <c r="T391" s="33">
        <f>Table1_1[[#This Row],[Sales Amount]]-S391</f>
        <v>475649.87999999989</v>
      </c>
      <c r="U391" s="32">
        <f>IFERROR(Table1_1[[#This Row],[Profit/loss]]/Table1_1[[#This Row],[Sales Amount]],0)</f>
        <v>0.34855085320492601</v>
      </c>
    </row>
    <row r="392" spans="1:21" ht="18" x14ac:dyDescent="0.35">
      <c r="A392" s="21" t="s">
        <v>499</v>
      </c>
      <c r="B392" s="36">
        <v>45494</v>
      </c>
      <c r="C392" s="22">
        <f>YEAR(Table1_1[[#This Row],[Order Date]])</f>
        <v>2024</v>
      </c>
      <c r="D392" s="22" t="str">
        <f>TEXT(Table1_1[[#This Row],[Order Date]],"MMMM")</f>
        <v>July</v>
      </c>
      <c r="E392" s="22" t="s">
        <v>48</v>
      </c>
      <c r="F392" s="22" t="s">
        <v>136</v>
      </c>
      <c r="G392" s="22" t="s">
        <v>84</v>
      </c>
      <c r="H392" s="22" t="s">
        <v>29</v>
      </c>
      <c r="I392" s="22" t="s">
        <v>20</v>
      </c>
      <c r="J392" s="22" t="s">
        <v>45</v>
      </c>
      <c r="K392" s="22" t="s">
        <v>1618</v>
      </c>
      <c r="L392" s="22" t="s">
        <v>33</v>
      </c>
      <c r="M392" s="22" t="s">
        <v>24</v>
      </c>
      <c r="N392" s="22">
        <v>38</v>
      </c>
      <c r="O392" s="26">
        <v>1899</v>
      </c>
      <c r="P392" s="22">
        <v>0.05</v>
      </c>
      <c r="Q392" s="30">
        <v>1080</v>
      </c>
      <c r="R392" s="33">
        <f>Table1_1[[#This Row],[Units Sold]]*Table1_1[[#This Row],[Unit Price]]*1-Table1_1[[#This Row],[Discount]]</f>
        <v>72161.95</v>
      </c>
      <c r="S392" s="33">
        <f>Table1_1[[#This Row],[Units Sold]]*Table1_1[[#This Row],[Unit Cost]]</f>
        <v>41040</v>
      </c>
      <c r="T392" s="33">
        <f>Table1_1[[#This Row],[Sales Amount]]-S392</f>
        <v>31121.949999999997</v>
      </c>
      <c r="U392" s="32">
        <f>IFERROR(Table1_1[[#This Row],[Profit/loss]]/Table1_1[[#This Row],[Sales Amount]],0)</f>
        <v>0.43127922679473046</v>
      </c>
    </row>
    <row r="393" spans="1:21" ht="18" x14ac:dyDescent="0.35">
      <c r="A393" s="21" t="s">
        <v>500</v>
      </c>
      <c r="B393" s="36">
        <v>45494</v>
      </c>
      <c r="C393" s="22">
        <f>YEAR(Table1_1[[#This Row],[Order Date]])</f>
        <v>2024</v>
      </c>
      <c r="D393" s="22" t="str">
        <f>TEXT(Table1_1[[#This Row],[Order Date]],"MMMM")</f>
        <v>July</v>
      </c>
      <c r="E393" s="22" t="s">
        <v>16</v>
      </c>
      <c r="F393" s="22" t="s">
        <v>98</v>
      </c>
      <c r="G393" s="22" t="s">
        <v>69</v>
      </c>
      <c r="H393" s="22" t="s">
        <v>39</v>
      </c>
      <c r="I393" s="22" t="s">
        <v>20</v>
      </c>
      <c r="J393" s="22" t="s">
        <v>21</v>
      </c>
      <c r="K393" s="22" t="s">
        <v>115</v>
      </c>
      <c r="L393" s="22" t="s">
        <v>57</v>
      </c>
      <c r="M393" s="22" t="s">
        <v>78</v>
      </c>
      <c r="N393" s="22">
        <v>13</v>
      </c>
      <c r="O393" s="26">
        <v>6499</v>
      </c>
      <c r="P393" s="22">
        <v>0.12</v>
      </c>
      <c r="Q393" s="30">
        <v>4210</v>
      </c>
      <c r="R393" s="33">
        <f>Table1_1[[#This Row],[Units Sold]]*Table1_1[[#This Row],[Unit Price]]*1-Table1_1[[#This Row],[Discount]]</f>
        <v>84486.88</v>
      </c>
      <c r="S393" s="33">
        <f>Table1_1[[#This Row],[Units Sold]]*Table1_1[[#This Row],[Unit Cost]]</f>
        <v>54730</v>
      </c>
      <c r="T393" s="33">
        <f>Table1_1[[#This Row],[Sales Amount]]-S393</f>
        <v>29756.880000000005</v>
      </c>
      <c r="U393" s="32">
        <f>IFERROR(Table1_1[[#This Row],[Profit/loss]]/Table1_1[[#This Row],[Sales Amount]],0)</f>
        <v>0.3522071119208095</v>
      </c>
    </row>
    <row r="394" spans="1:21" ht="18" x14ac:dyDescent="0.35">
      <c r="A394" s="21" t="s">
        <v>501</v>
      </c>
      <c r="B394" s="36">
        <v>45495</v>
      </c>
      <c r="C394" s="22">
        <f>YEAR(Table1_1[[#This Row],[Order Date]])</f>
        <v>2024</v>
      </c>
      <c r="D394" s="22" t="str">
        <f>TEXT(Table1_1[[#This Row],[Order Date]],"MMMM")</f>
        <v>July</v>
      </c>
      <c r="E394" s="22" t="s">
        <v>36</v>
      </c>
      <c r="F394" s="22" t="s">
        <v>121</v>
      </c>
      <c r="G394" s="22" t="s">
        <v>28</v>
      </c>
      <c r="H394" s="22" t="s">
        <v>19</v>
      </c>
      <c r="I394" s="22" t="s">
        <v>30</v>
      </c>
      <c r="J394" s="22" t="s">
        <v>31</v>
      </c>
      <c r="K394" s="22" t="s">
        <v>85</v>
      </c>
      <c r="L394" s="22" t="s">
        <v>23</v>
      </c>
      <c r="M394" s="22" t="s">
        <v>24</v>
      </c>
      <c r="N394" s="22">
        <v>34</v>
      </c>
      <c r="O394" s="26">
        <v>43500</v>
      </c>
      <c r="P394" s="22">
        <v>0.1</v>
      </c>
      <c r="Q394" s="30">
        <v>29520</v>
      </c>
      <c r="R394" s="33">
        <f>Table1_1[[#This Row],[Units Sold]]*Table1_1[[#This Row],[Unit Price]]*1-Table1_1[[#This Row],[Discount]]</f>
        <v>1478999.9</v>
      </c>
      <c r="S394" s="33">
        <f>Table1_1[[#This Row],[Units Sold]]*Table1_1[[#This Row],[Unit Cost]]</f>
        <v>1003680</v>
      </c>
      <c r="T394" s="33">
        <f>Table1_1[[#This Row],[Sales Amount]]-S394</f>
        <v>475319.89999999991</v>
      </c>
      <c r="U394" s="32">
        <f>IFERROR(Table1_1[[#This Row],[Profit/loss]]/Table1_1[[#This Row],[Sales Amount]],0)</f>
        <v>0.32137926446107262</v>
      </c>
    </row>
    <row r="395" spans="1:21" ht="18" x14ac:dyDescent="0.35">
      <c r="A395" s="21" t="s">
        <v>502</v>
      </c>
      <c r="B395" s="36">
        <v>45495</v>
      </c>
      <c r="C395" s="22">
        <f>YEAR(Table1_1[[#This Row],[Order Date]])</f>
        <v>2024</v>
      </c>
      <c r="D395" s="22" t="str">
        <f>TEXT(Table1_1[[#This Row],[Order Date]],"MMMM")</f>
        <v>July</v>
      </c>
      <c r="E395" s="22" t="s">
        <v>48</v>
      </c>
      <c r="F395" s="22" t="s">
        <v>49</v>
      </c>
      <c r="G395" s="22" t="s">
        <v>50</v>
      </c>
      <c r="H395" s="22" t="s">
        <v>29</v>
      </c>
      <c r="I395" s="22" t="s">
        <v>70</v>
      </c>
      <c r="J395" s="22" t="s">
        <v>71</v>
      </c>
      <c r="K395" s="22" t="s">
        <v>80</v>
      </c>
      <c r="L395" s="22" t="s">
        <v>57</v>
      </c>
      <c r="M395" s="22" t="s">
        <v>24</v>
      </c>
      <c r="N395" s="22">
        <v>3</v>
      </c>
      <c r="O395" s="26">
        <v>1299</v>
      </c>
      <c r="P395" s="22">
        <v>0.2</v>
      </c>
      <c r="Q395" s="30">
        <v>720</v>
      </c>
      <c r="R395" s="33">
        <f>Table1_1[[#This Row],[Units Sold]]*Table1_1[[#This Row],[Unit Price]]*1-Table1_1[[#This Row],[Discount]]</f>
        <v>3896.8</v>
      </c>
      <c r="S395" s="33">
        <f>Table1_1[[#This Row],[Units Sold]]*Table1_1[[#This Row],[Unit Cost]]</f>
        <v>2160</v>
      </c>
      <c r="T395" s="33">
        <f>Table1_1[[#This Row],[Sales Amount]]-S395</f>
        <v>1736.8000000000002</v>
      </c>
      <c r="U395" s="32">
        <f>IFERROR(Table1_1[[#This Row],[Profit/loss]]/Table1_1[[#This Row],[Sales Amount]],0)</f>
        <v>0.44569903510572778</v>
      </c>
    </row>
    <row r="396" spans="1:21" ht="18" x14ac:dyDescent="0.35">
      <c r="A396" s="21" t="s">
        <v>503</v>
      </c>
      <c r="B396" s="36">
        <v>45495</v>
      </c>
      <c r="C396" s="22">
        <f>YEAR(Table1_1[[#This Row],[Order Date]])</f>
        <v>2024</v>
      </c>
      <c r="D396" s="22" t="str">
        <f>TEXT(Table1_1[[#This Row],[Order Date]],"MMMM")</f>
        <v>July</v>
      </c>
      <c r="E396" s="22" t="s">
        <v>26</v>
      </c>
      <c r="F396" s="22" t="s">
        <v>53</v>
      </c>
      <c r="G396" s="22" t="s">
        <v>60</v>
      </c>
      <c r="H396" s="22" t="s">
        <v>39</v>
      </c>
      <c r="I396" s="22" t="s">
        <v>30</v>
      </c>
      <c r="J396" s="22" t="s">
        <v>31</v>
      </c>
      <c r="K396" s="22" t="s">
        <v>106</v>
      </c>
      <c r="L396" s="22" t="s">
        <v>33</v>
      </c>
      <c r="M396" s="22" t="s">
        <v>24</v>
      </c>
      <c r="N396" s="22">
        <v>25</v>
      </c>
      <c r="O396" s="26">
        <v>52990</v>
      </c>
      <c r="P396" s="22">
        <v>0.15</v>
      </c>
      <c r="Q396" s="30">
        <v>35100</v>
      </c>
      <c r="R396" s="33">
        <f>Table1_1[[#This Row],[Units Sold]]*Table1_1[[#This Row],[Unit Price]]*1-Table1_1[[#This Row],[Discount]]</f>
        <v>1324749.8500000001</v>
      </c>
      <c r="S396" s="33">
        <f>Table1_1[[#This Row],[Units Sold]]*Table1_1[[#This Row],[Unit Cost]]</f>
        <v>877500</v>
      </c>
      <c r="T396" s="33">
        <f>Table1_1[[#This Row],[Sales Amount]]-S396</f>
        <v>447249.85000000009</v>
      </c>
      <c r="U396" s="32">
        <f>IFERROR(Table1_1[[#This Row],[Profit/loss]]/Table1_1[[#This Row],[Sales Amount]],0)</f>
        <v>0.33761079497385871</v>
      </c>
    </row>
    <row r="397" spans="1:21" ht="18" x14ac:dyDescent="0.35">
      <c r="A397" s="21" t="s">
        <v>504</v>
      </c>
      <c r="B397" s="36">
        <v>45495</v>
      </c>
      <c r="C397" s="22">
        <f>YEAR(Table1_1[[#This Row],[Order Date]])</f>
        <v>2024</v>
      </c>
      <c r="D397" s="22" t="str">
        <f>TEXT(Table1_1[[#This Row],[Order Date]],"MMMM")</f>
        <v>July</v>
      </c>
      <c r="E397" s="22" t="s">
        <v>82</v>
      </c>
      <c r="F397" s="22" t="s">
        <v>83</v>
      </c>
      <c r="G397" s="22" t="s">
        <v>69</v>
      </c>
      <c r="H397" s="22" t="s">
        <v>29</v>
      </c>
      <c r="I397" s="22" t="s">
        <v>70</v>
      </c>
      <c r="J397" s="22" t="s">
        <v>71</v>
      </c>
      <c r="K397" s="22" t="s">
        <v>80</v>
      </c>
      <c r="L397" s="22" t="s">
        <v>57</v>
      </c>
      <c r="M397" s="22" t="s">
        <v>78</v>
      </c>
      <c r="N397" s="22">
        <v>33</v>
      </c>
      <c r="O397" s="26">
        <v>1299</v>
      </c>
      <c r="P397" s="22">
        <v>0.05</v>
      </c>
      <c r="Q397" s="30">
        <v>720</v>
      </c>
      <c r="R397" s="33">
        <f>Table1_1[[#This Row],[Units Sold]]*Table1_1[[#This Row],[Unit Price]]*1-Table1_1[[#This Row],[Discount]]</f>
        <v>42866.95</v>
      </c>
      <c r="S397" s="33">
        <f>Table1_1[[#This Row],[Units Sold]]*Table1_1[[#This Row],[Unit Cost]]</f>
        <v>23760</v>
      </c>
      <c r="T397" s="33">
        <f>Table1_1[[#This Row],[Sales Amount]]-S397</f>
        <v>19106.949999999997</v>
      </c>
      <c r="U397" s="32">
        <f>IFERROR(Table1_1[[#This Row],[Profit/loss]]/Table1_1[[#This Row],[Sales Amount]],0)</f>
        <v>0.44572683617565512</v>
      </c>
    </row>
    <row r="398" spans="1:21" ht="18" x14ac:dyDescent="0.35">
      <c r="A398" s="21" t="s">
        <v>505</v>
      </c>
      <c r="B398" s="36">
        <v>45496</v>
      </c>
      <c r="C398" s="22">
        <f>YEAR(Table1_1[[#This Row],[Order Date]])</f>
        <v>2024</v>
      </c>
      <c r="D398" s="22" t="str">
        <f>TEXT(Table1_1[[#This Row],[Order Date]],"MMMM")</f>
        <v>July</v>
      </c>
      <c r="E398" s="22" t="s">
        <v>16</v>
      </c>
      <c r="F398" s="22" t="s">
        <v>126</v>
      </c>
      <c r="G398" s="22" t="s">
        <v>60</v>
      </c>
      <c r="H398" s="22" t="s">
        <v>29</v>
      </c>
      <c r="I398" s="22" t="s">
        <v>30</v>
      </c>
      <c r="J398" s="22" t="s">
        <v>61</v>
      </c>
      <c r="K398" s="22" t="s">
        <v>186</v>
      </c>
      <c r="L398" s="22" t="s">
        <v>23</v>
      </c>
      <c r="M398" s="22" t="s">
        <v>66</v>
      </c>
      <c r="N398" s="22">
        <v>4</v>
      </c>
      <c r="O398" s="26">
        <v>6999</v>
      </c>
      <c r="P398" s="22">
        <v>0.15</v>
      </c>
      <c r="Q398" s="30">
        <v>4320</v>
      </c>
      <c r="R398" s="33">
        <f>Table1_1[[#This Row],[Units Sold]]*Table1_1[[#This Row],[Unit Price]]*1-Table1_1[[#This Row],[Discount]]</f>
        <v>27995.85</v>
      </c>
      <c r="S398" s="33">
        <f>Table1_1[[#This Row],[Units Sold]]*Table1_1[[#This Row],[Unit Cost]]</f>
        <v>17280</v>
      </c>
      <c r="T398" s="33">
        <f>Table1_1[[#This Row],[Sales Amount]]-S398</f>
        <v>10715.849999999999</v>
      </c>
      <c r="U398" s="32">
        <f>IFERROR(Table1_1[[#This Row],[Profit/loss]]/Table1_1[[#This Row],[Sales Amount]],0)</f>
        <v>0.38276565991030809</v>
      </c>
    </row>
    <row r="399" spans="1:21" ht="18" x14ac:dyDescent="0.35">
      <c r="A399" s="21" t="s">
        <v>506</v>
      </c>
      <c r="B399" s="36">
        <v>45497</v>
      </c>
      <c r="C399" s="22">
        <f>YEAR(Table1_1[[#This Row],[Order Date]])</f>
        <v>2024</v>
      </c>
      <c r="D399" s="22" t="str">
        <f>TEXT(Table1_1[[#This Row],[Order Date]],"MMMM")</f>
        <v>July</v>
      </c>
      <c r="E399" s="22" t="s">
        <v>82</v>
      </c>
      <c r="F399" s="22" t="s">
        <v>183</v>
      </c>
      <c r="G399" s="22" t="s">
        <v>28</v>
      </c>
      <c r="H399" s="22" t="s">
        <v>29</v>
      </c>
      <c r="I399" s="22" t="s">
        <v>54</v>
      </c>
      <c r="J399" s="22" t="s">
        <v>55</v>
      </c>
      <c r="K399" s="22" t="s">
        <v>148</v>
      </c>
      <c r="L399" s="22" t="s">
        <v>33</v>
      </c>
      <c r="M399" s="22" t="s">
        <v>24</v>
      </c>
      <c r="N399" s="22">
        <v>9</v>
      </c>
      <c r="O399" s="26">
        <v>4680</v>
      </c>
      <c r="P399" s="22">
        <v>0.08</v>
      </c>
      <c r="Q399" s="30">
        <v>3250</v>
      </c>
      <c r="R399" s="33">
        <f>Table1_1[[#This Row],[Units Sold]]*Table1_1[[#This Row],[Unit Price]]*1-Table1_1[[#This Row],[Discount]]</f>
        <v>42119.92</v>
      </c>
      <c r="S399" s="33">
        <f>Table1_1[[#This Row],[Units Sold]]*Table1_1[[#This Row],[Unit Cost]]</f>
        <v>29250</v>
      </c>
      <c r="T399" s="33">
        <f>Table1_1[[#This Row],[Sales Amount]]-S399</f>
        <v>12869.919999999998</v>
      </c>
      <c r="U399" s="32">
        <f>IFERROR(Table1_1[[#This Row],[Profit/loss]]/Table1_1[[#This Row],[Sales Amount]],0)</f>
        <v>0.30555423657024988</v>
      </c>
    </row>
    <row r="400" spans="1:21" ht="18" x14ac:dyDescent="0.35">
      <c r="A400" s="21" t="s">
        <v>507</v>
      </c>
      <c r="B400" s="36">
        <v>45498</v>
      </c>
      <c r="C400" s="22">
        <f>YEAR(Table1_1[[#This Row],[Order Date]])</f>
        <v>2024</v>
      </c>
      <c r="D400" s="22" t="str">
        <f>TEXT(Table1_1[[#This Row],[Order Date]],"MMMM")</f>
        <v>July</v>
      </c>
      <c r="E400" s="22" t="s">
        <v>26</v>
      </c>
      <c r="F400" s="22" t="s">
        <v>163</v>
      </c>
      <c r="G400" s="22" t="s">
        <v>69</v>
      </c>
      <c r="H400" s="22" t="s">
        <v>19</v>
      </c>
      <c r="I400" s="22" t="s">
        <v>20</v>
      </c>
      <c r="J400" s="22" t="s">
        <v>21</v>
      </c>
      <c r="K400" s="22" t="s">
        <v>22</v>
      </c>
      <c r="L400" s="22" t="s">
        <v>23</v>
      </c>
      <c r="M400" s="22" t="s">
        <v>66</v>
      </c>
      <c r="N400" s="22">
        <v>7</v>
      </c>
      <c r="O400" s="26">
        <v>4499</v>
      </c>
      <c r="P400" s="22">
        <v>0.05</v>
      </c>
      <c r="Q400" s="30">
        <v>2910</v>
      </c>
      <c r="R400" s="33">
        <f>Table1_1[[#This Row],[Units Sold]]*Table1_1[[#This Row],[Unit Price]]*1-Table1_1[[#This Row],[Discount]]</f>
        <v>31492.95</v>
      </c>
      <c r="S400" s="33">
        <f>Table1_1[[#This Row],[Units Sold]]*Table1_1[[#This Row],[Unit Cost]]</f>
        <v>20370</v>
      </c>
      <c r="T400" s="33">
        <f>Table1_1[[#This Row],[Sales Amount]]-S400</f>
        <v>11122.95</v>
      </c>
      <c r="U400" s="32">
        <f>IFERROR(Table1_1[[#This Row],[Profit/loss]]/Table1_1[[#This Row],[Sales Amount]],0)</f>
        <v>0.35318857077536403</v>
      </c>
    </row>
    <row r="401" spans="1:21" ht="18" x14ac:dyDescent="0.35">
      <c r="A401" s="21" t="s">
        <v>508</v>
      </c>
      <c r="B401" s="36">
        <v>45498</v>
      </c>
      <c r="C401" s="22">
        <f>YEAR(Table1_1[[#This Row],[Order Date]])</f>
        <v>2024</v>
      </c>
      <c r="D401" s="22" t="str">
        <f>TEXT(Table1_1[[#This Row],[Order Date]],"MMMM")</f>
        <v>July</v>
      </c>
      <c r="E401" s="22" t="s">
        <v>48</v>
      </c>
      <c r="F401" s="22" t="s">
        <v>68</v>
      </c>
      <c r="G401" s="22" t="s">
        <v>50</v>
      </c>
      <c r="H401" s="22" t="s">
        <v>19</v>
      </c>
      <c r="I401" s="22" t="s">
        <v>40</v>
      </c>
      <c r="J401" s="22" t="s">
        <v>64</v>
      </c>
      <c r="K401" s="22" t="s">
        <v>1629</v>
      </c>
      <c r="L401" s="22" t="s">
        <v>23</v>
      </c>
      <c r="M401" s="22" t="s">
        <v>24</v>
      </c>
      <c r="N401" s="22">
        <v>27</v>
      </c>
      <c r="O401" s="26">
        <v>3299</v>
      </c>
      <c r="P401" s="22">
        <v>0.1</v>
      </c>
      <c r="Q401" s="30">
        <v>2050</v>
      </c>
      <c r="R401" s="33">
        <f>Table1_1[[#This Row],[Units Sold]]*Table1_1[[#This Row],[Unit Price]]*1-Table1_1[[#This Row],[Discount]]</f>
        <v>89072.9</v>
      </c>
      <c r="S401" s="33">
        <f>Table1_1[[#This Row],[Units Sold]]*Table1_1[[#This Row],[Unit Cost]]</f>
        <v>55350</v>
      </c>
      <c r="T401" s="33">
        <f>Table1_1[[#This Row],[Sales Amount]]-S401</f>
        <v>33722.899999999994</v>
      </c>
      <c r="U401" s="32">
        <f>IFERROR(Table1_1[[#This Row],[Profit/loss]]/Table1_1[[#This Row],[Sales Amount]],0)</f>
        <v>0.37859887799768499</v>
      </c>
    </row>
    <row r="402" spans="1:21" ht="18" x14ac:dyDescent="0.35">
      <c r="A402" s="21" t="s">
        <v>509</v>
      </c>
      <c r="B402" s="36">
        <v>45498</v>
      </c>
      <c r="C402" s="22">
        <f>YEAR(Table1_1[[#This Row],[Order Date]])</f>
        <v>2024</v>
      </c>
      <c r="D402" s="22" t="str">
        <f>TEXT(Table1_1[[#This Row],[Order Date]],"MMMM")</f>
        <v>July</v>
      </c>
      <c r="E402" s="22" t="s">
        <v>36</v>
      </c>
      <c r="F402" s="22" t="s">
        <v>59</v>
      </c>
      <c r="G402" s="22" t="s">
        <v>69</v>
      </c>
      <c r="H402" s="22" t="s">
        <v>39</v>
      </c>
      <c r="I402" s="22" t="s">
        <v>54</v>
      </c>
      <c r="J402" s="22" t="s">
        <v>90</v>
      </c>
      <c r="K402" s="22" t="s">
        <v>1631</v>
      </c>
      <c r="L402" s="22" t="s">
        <v>57</v>
      </c>
      <c r="M402" s="22" t="s">
        <v>24</v>
      </c>
      <c r="N402" s="22">
        <v>11</v>
      </c>
      <c r="O402" s="26">
        <v>29010</v>
      </c>
      <c r="P402" s="22">
        <v>0.2</v>
      </c>
      <c r="Q402" s="30">
        <v>19150</v>
      </c>
      <c r="R402" s="33">
        <f>Table1_1[[#This Row],[Units Sold]]*Table1_1[[#This Row],[Unit Price]]*1-Table1_1[[#This Row],[Discount]]</f>
        <v>319109.8</v>
      </c>
      <c r="S402" s="33">
        <f>Table1_1[[#This Row],[Units Sold]]*Table1_1[[#This Row],[Unit Cost]]</f>
        <v>210650</v>
      </c>
      <c r="T402" s="33">
        <f>Table1_1[[#This Row],[Sales Amount]]-S402</f>
        <v>108459.79999999999</v>
      </c>
      <c r="U402" s="32">
        <f>IFERROR(Table1_1[[#This Row],[Profit/loss]]/Table1_1[[#This Row],[Sales Amount]],0)</f>
        <v>0.33988238531063603</v>
      </c>
    </row>
    <row r="403" spans="1:21" ht="18" x14ac:dyDescent="0.35">
      <c r="A403" s="21" t="s">
        <v>510</v>
      </c>
      <c r="B403" s="36">
        <v>45498</v>
      </c>
      <c r="C403" s="22">
        <f>YEAR(Table1_1[[#This Row],[Order Date]])</f>
        <v>2024</v>
      </c>
      <c r="D403" s="22" t="str">
        <f>TEXT(Table1_1[[#This Row],[Order Date]],"MMMM")</f>
        <v>July</v>
      </c>
      <c r="E403" s="22" t="s">
        <v>48</v>
      </c>
      <c r="F403" s="22" t="s">
        <v>93</v>
      </c>
      <c r="G403" s="22" t="s">
        <v>101</v>
      </c>
      <c r="H403" s="22" t="s">
        <v>29</v>
      </c>
      <c r="I403" s="22" t="s">
        <v>54</v>
      </c>
      <c r="J403" s="22" t="s">
        <v>90</v>
      </c>
      <c r="K403" s="22" t="s">
        <v>1625</v>
      </c>
      <c r="L403" s="22" t="s">
        <v>33</v>
      </c>
      <c r="M403" s="22" t="s">
        <v>24</v>
      </c>
      <c r="N403" s="22">
        <v>11</v>
      </c>
      <c r="O403" s="26">
        <v>32800</v>
      </c>
      <c r="P403" s="22">
        <v>0.12</v>
      </c>
      <c r="Q403" s="30">
        <v>23100</v>
      </c>
      <c r="R403" s="33">
        <f>Table1_1[[#This Row],[Units Sold]]*Table1_1[[#This Row],[Unit Price]]*1-Table1_1[[#This Row],[Discount]]</f>
        <v>360799.88</v>
      </c>
      <c r="S403" s="33">
        <f>Table1_1[[#This Row],[Units Sold]]*Table1_1[[#This Row],[Unit Cost]]</f>
        <v>254100</v>
      </c>
      <c r="T403" s="33">
        <f>Table1_1[[#This Row],[Sales Amount]]-S403</f>
        <v>106699.88</v>
      </c>
      <c r="U403" s="32">
        <f>IFERROR(Table1_1[[#This Row],[Profit/loss]]/Table1_1[[#This Row],[Sales Amount]],0)</f>
        <v>0.29573147308142123</v>
      </c>
    </row>
    <row r="404" spans="1:21" ht="18" x14ac:dyDescent="0.35">
      <c r="A404" s="21" t="s">
        <v>511</v>
      </c>
      <c r="B404" s="36">
        <v>45499</v>
      </c>
      <c r="C404" s="22">
        <f>YEAR(Table1_1[[#This Row],[Order Date]])</f>
        <v>2024</v>
      </c>
      <c r="D404" s="22" t="str">
        <f>TEXT(Table1_1[[#This Row],[Order Date]],"MMMM")</f>
        <v>July</v>
      </c>
      <c r="E404" s="22" t="s">
        <v>48</v>
      </c>
      <c r="F404" s="22" t="s">
        <v>68</v>
      </c>
      <c r="G404" s="22" t="s">
        <v>50</v>
      </c>
      <c r="H404" s="22" t="s">
        <v>19</v>
      </c>
      <c r="I404" s="22" t="s">
        <v>70</v>
      </c>
      <c r="J404" s="22" t="s">
        <v>71</v>
      </c>
      <c r="K404" s="22" t="s">
        <v>88</v>
      </c>
      <c r="L404" s="22" t="s">
        <v>23</v>
      </c>
      <c r="M404" s="22" t="s">
        <v>34</v>
      </c>
      <c r="N404" s="22">
        <v>19</v>
      </c>
      <c r="O404" s="26">
        <v>999</v>
      </c>
      <c r="P404" s="22">
        <v>0.05</v>
      </c>
      <c r="Q404" s="30">
        <v>540</v>
      </c>
      <c r="R404" s="33">
        <f>Table1_1[[#This Row],[Units Sold]]*Table1_1[[#This Row],[Unit Price]]*1-Table1_1[[#This Row],[Discount]]</f>
        <v>18980.95</v>
      </c>
      <c r="S404" s="33">
        <f>Table1_1[[#This Row],[Units Sold]]*Table1_1[[#This Row],[Unit Cost]]</f>
        <v>10260</v>
      </c>
      <c r="T404" s="33">
        <f>Table1_1[[#This Row],[Sales Amount]]-S404</f>
        <v>8720.9500000000007</v>
      </c>
      <c r="U404" s="32">
        <f>IFERROR(Table1_1[[#This Row],[Profit/loss]]/Table1_1[[#This Row],[Sales Amount]],0)</f>
        <v>0.45945803555670295</v>
      </c>
    </row>
    <row r="405" spans="1:21" ht="18" x14ac:dyDescent="0.35">
      <c r="A405" s="21" t="s">
        <v>512</v>
      </c>
      <c r="B405" s="36">
        <v>45499</v>
      </c>
      <c r="C405" s="22">
        <f>YEAR(Table1_1[[#This Row],[Order Date]])</f>
        <v>2024</v>
      </c>
      <c r="D405" s="22" t="str">
        <f>TEXT(Table1_1[[#This Row],[Order Date]],"MMMM")</f>
        <v>July</v>
      </c>
      <c r="E405" s="22" t="s">
        <v>48</v>
      </c>
      <c r="F405" s="22" t="s">
        <v>68</v>
      </c>
      <c r="G405" s="22" t="s">
        <v>105</v>
      </c>
      <c r="H405" s="22" t="s">
        <v>39</v>
      </c>
      <c r="I405" s="22" t="s">
        <v>54</v>
      </c>
      <c r="J405" s="22" t="s">
        <v>55</v>
      </c>
      <c r="K405" s="22" t="s">
        <v>1623</v>
      </c>
      <c r="L405" s="22" t="s">
        <v>33</v>
      </c>
      <c r="M405" s="22" t="s">
        <v>34</v>
      </c>
      <c r="N405" s="22">
        <v>20</v>
      </c>
      <c r="O405" s="26">
        <v>5890</v>
      </c>
      <c r="P405" s="22">
        <v>0.08</v>
      </c>
      <c r="Q405" s="30">
        <v>3980</v>
      </c>
      <c r="R405" s="33">
        <f>Table1_1[[#This Row],[Units Sold]]*Table1_1[[#This Row],[Unit Price]]*1-Table1_1[[#This Row],[Discount]]</f>
        <v>117799.92</v>
      </c>
      <c r="S405" s="33">
        <f>Table1_1[[#This Row],[Units Sold]]*Table1_1[[#This Row],[Unit Cost]]</f>
        <v>79600</v>
      </c>
      <c r="T405" s="33">
        <f>Table1_1[[#This Row],[Sales Amount]]-S405</f>
        <v>38199.919999999998</v>
      </c>
      <c r="U405" s="32">
        <f>IFERROR(Table1_1[[#This Row],[Profit/loss]]/Table1_1[[#This Row],[Sales Amount]],0)</f>
        <v>0.32427797913614881</v>
      </c>
    </row>
    <row r="406" spans="1:21" ht="18" x14ac:dyDescent="0.35">
      <c r="A406" s="21" t="s">
        <v>513</v>
      </c>
      <c r="B406" s="36">
        <v>45500</v>
      </c>
      <c r="C406" s="22">
        <f>YEAR(Table1_1[[#This Row],[Order Date]])</f>
        <v>2024</v>
      </c>
      <c r="D406" s="22" t="str">
        <f>TEXT(Table1_1[[#This Row],[Order Date]],"MMMM")</f>
        <v>July</v>
      </c>
      <c r="E406" s="22" t="s">
        <v>48</v>
      </c>
      <c r="F406" s="22" t="s">
        <v>49</v>
      </c>
      <c r="G406" s="22" t="s">
        <v>84</v>
      </c>
      <c r="H406" s="22" t="s">
        <v>29</v>
      </c>
      <c r="I406" s="22" t="s">
        <v>54</v>
      </c>
      <c r="J406" s="22" t="s">
        <v>90</v>
      </c>
      <c r="K406" s="22" t="s">
        <v>1621</v>
      </c>
      <c r="L406" s="22" t="s">
        <v>33</v>
      </c>
      <c r="M406" s="22" t="s">
        <v>78</v>
      </c>
      <c r="N406" s="22">
        <v>15</v>
      </c>
      <c r="O406" s="26">
        <v>31990</v>
      </c>
      <c r="P406" s="22">
        <v>0.1</v>
      </c>
      <c r="Q406" s="30">
        <v>21800</v>
      </c>
      <c r="R406" s="33">
        <f>Table1_1[[#This Row],[Units Sold]]*Table1_1[[#This Row],[Unit Price]]*1-Table1_1[[#This Row],[Discount]]</f>
        <v>479849.9</v>
      </c>
      <c r="S406" s="33">
        <f>Table1_1[[#This Row],[Units Sold]]*Table1_1[[#This Row],[Unit Cost]]</f>
        <v>327000</v>
      </c>
      <c r="T406" s="33">
        <f>Table1_1[[#This Row],[Sales Amount]]-S406</f>
        <v>152849.90000000002</v>
      </c>
      <c r="U406" s="32">
        <f>IFERROR(Table1_1[[#This Row],[Profit/loss]]/Table1_1[[#This Row],[Sales Amount]],0)</f>
        <v>0.31853690081002417</v>
      </c>
    </row>
    <row r="407" spans="1:21" ht="18" x14ac:dyDescent="0.35">
      <c r="A407" s="21" t="s">
        <v>514</v>
      </c>
      <c r="B407" s="36">
        <v>45501</v>
      </c>
      <c r="C407" s="22">
        <f>YEAR(Table1_1[[#This Row],[Order Date]])</f>
        <v>2024</v>
      </c>
      <c r="D407" s="22" t="str">
        <f>TEXT(Table1_1[[#This Row],[Order Date]],"MMMM")</f>
        <v>July</v>
      </c>
      <c r="E407" s="22" t="s">
        <v>82</v>
      </c>
      <c r="F407" s="22" t="s">
        <v>87</v>
      </c>
      <c r="G407" s="22" t="s">
        <v>105</v>
      </c>
      <c r="H407" s="22" t="s">
        <v>39</v>
      </c>
      <c r="I407" s="22" t="s">
        <v>20</v>
      </c>
      <c r="J407" s="22" t="s">
        <v>21</v>
      </c>
      <c r="K407" s="22" t="s">
        <v>22</v>
      </c>
      <c r="L407" s="22" t="s">
        <v>23</v>
      </c>
      <c r="M407" s="22" t="s">
        <v>24</v>
      </c>
      <c r="N407" s="22">
        <v>10</v>
      </c>
      <c r="O407" s="26">
        <v>4499</v>
      </c>
      <c r="P407" s="22">
        <v>0.05</v>
      </c>
      <c r="Q407" s="30">
        <v>2910</v>
      </c>
      <c r="R407" s="33">
        <f>Table1_1[[#This Row],[Units Sold]]*Table1_1[[#This Row],[Unit Price]]*1-Table1_1[[#This Row],[Discount]]</f>
        <v>44989.95</v>
      </c>
      <c r="S407" s="33">
        <f>Table1_1[[#This Row],[Units Sold]]*Table1_1[[#This Row],[Unit Cost]]</f>
        <v>29100</v>
      </c>
      <c r="T407" s="33">
        <f>Table1_1[[#This Row],[Sales Amount]]-S407</f>
        <v>15889.949999999997</v>
      </c>
      <c r="U407" s="32">
        <f>IFERROR(Table1_1[[#This Row],[Profit/loss]]/Table1_1[[#This Row],[Sales Amount]],0)</f>
        <v>0.3531888788496097</v>
      </c>
    </row>
    <row r="408" spans="1:21" ht="18" x14ac:dyDescent="0.35">
      <c r="A408" s="21" t="s">
        <v>515</v>
      </c>
      <c r="B408" s="36">
        <v>45501</v>
      </c>
      <c r="C408" s="22">
        <f>YEAR(Table1_1[[#This Row],[Order Date]])</f>
        <v>2024</v>
      </c>
      <c r="D408" s="22" t="str">
        <f>TEXT(Table1_1[[#This Row],[Order Date]],"MMMM")</f>
        <v>July</v>
      </c>
      <c r="E408" s="22" t="s">
        <v>48</v>
      </c>
      <c r="F408" s="22" t="s">
        <v>93</v>
      </c>
      <c r="G408" s="22" t="s">
        <v>60</v>
      </c>
      <c r="H408" s="22" t="s">
        <v>39</v>
      </c>
      <c r="I408" s="22" t="s">
        <v>20</v>
      </c>
      <c r="J408" s="22" t="s">
        <v>21</v>
      </c>
      <c r="K408" s="22" t="s">
        <v>115</v>
      </c>
      <c r="L408" s="22" t="s">
        <v>33</v>
      </c>
      <c r="M408" s="22" t="s">
        <v>24</v>
      </c>
      <c r="N408" s="22">
        <v>14</v>
      </c>
      <c r="O408" s="26">
        <v>6499</v>
      </c>
      <c r="P408" s="22">
        <v>0.08</v>
      </c>
      <c r="Q408" s="30">
        <v>4210</v>
      </c>
      <c r="R408" s="33">
        <f>Table1_1[[#This Row],[Units Sold]]*Table1_1[[#This Row],[Unit Price]]*1-Table1_1[[#This Row],[Discount]]</f>
        <v>90985.919999999998</v>
      </c>
      <c r="S408" s="33">
        <f>Table1_1[[#This Row],[Units Sold]]*Table1_1[[#This Row],[Unit Cost]]</f>
        <v>58940</v>
      </c>
      <c r="T408" s="33">
        <f>Table1_1[[#This Row],[Sales Amount]]-S408</f>
        <v>32045.919999999998</v>
      </c>
      <c r="U408" s="32">
        <f>IFERROR(Table1_1[[#This Row],[Profit/loss]]/Table1_1[[#This Row],[Sales Amount]],0)</f>
        <v>0.35220746242935169</v>
      </c>
    </row>
    <row r="409" spans="1:21" ht="18" x14ac:dyDescent="0.35">
      <c r="A409" s="21" t="s">
        <v>516</v>
      </c>
      <c r="B409" s="36">
        <v>45501</v>
      </c>
      <c r="C409" s="22">
        <f>YEAR(Table1_1[[#This Row],[Order Date]])</f>
        <v>2024</v>
      </c>
      <c r="D409" s="22" t="str">
        <f>TEXT(Table1_1[[#This Row],[Order Date]],"MMMM")</f>
        <v>July</v>
      </c>
      <c r="E409" s="22" t="s">
        <v>36</v>
      </c>
      <c r="F409" s="22" t="s">
        <v>37</v>
      </c>
      <c r="G409" s="22" t="s">
        <v>69</v>
      </c>
      <c r="H409" s="22" t="s">
        <v>39</v>
      </c>
      <c r="I409" s="22" t="s">
        <v>30</v>
      </c>
      <c r="J409" s="22" t="s">
        <v>31</v>
      </c>
      <c r="K409" s="22" t="s">
        <v>85</v>
      </c>
      <c r="L409" s="22" t="s">
        <v>33</v>
      </c>
      <c r="M409" s="22" t="s">
        <v>24</v>
      </c>
      <c r="N409" s="22">
        <v>13</v>
      </c>
      <c r="O409" s="26">
        <v>43500</v>
      </c>
      <c r="P409" s="22">
        <v>0.1</v>
      </c>
      <c r="Q409" s="30">
        <v>29520</v>
      </c>
      <c r="R409" s="33">
        <f>Table1_1[[#This Row],[Units Sold]]*Table1_1[[#This Row],[Unit Price]]*1-Table1_1[[#This Row],[Discount]]</f>
        <v>565499.9</v>
      </c>
      <c r="S409" s="33">
        <f>Table1_1[[#This Row],[Units Sold]]*Table1_1[[#This Row],[Unit Cost]]</f>
        <v>383760</v>
      </c>
      <c r="T409" s="33">
        <f>Table1_1[[#This Row],[Sales Amount]]-S409</f>
        <v>181739.90000000002</v>
      </c>
      <c r="U409" s="32">
        <f>IFERROR(Table1_1[[#This Row],[Profit/loss]]/Table1_1[[#This Row],[Sales Amount]],0)</f>
        <v>0.32137919034114776</v>
      </c>
    </row>
    <row r="410" spans="1:21" ht="18" x14ac:dyDescent="0.35">
      <c r="A410" s="21" t="s">
        <v>517</v>
      </c>
      <c r="B410" s="36">
        <v>45501</v>
      </c>
      <c r="C410" s="22">
        <f>YEAR(Table1_1[[#This Row],[Order Date]])</f>
        <v>2024</v>
      </c>
      <c r="D410" s="22" t="str">
        <f>TEXT(Table1_1[[#This Row],[Order Date]],"MMMM")</f>
        <v>July</v>
      </c>
      <c r="E410" s="22" t="s">
        <v>36</v>
      </c>
      <c r="F410" s="22" t="s">
        <v>37</v>
      </c>
      <c r="G410" s="22" t="s">
        <v>69</v>
      </c>
      <c r="H410" s="22" t="s">
        <v>29</v>
      </c>
      <c r="I410" s="22" t="s">
        <v>30</v>
      </c>
      <c r="J410" s="22" t="s">
        <v>31</v>
      </c>
      <c r="K410" s="22" t="s">
        <v>85</v>
      </c>
      <c r="L410" s="22" t="s">
        <v>33</v>
      </c>
      <c r="M410" s="22" t="s">
        <v>24</v>
      </c>
      <c r="N410" s="22">
        <v>39</v>
      </c>
      <c r="O410" s="26">
        <v>43500</v>
      </c>
      <c r="P410" s="22">
        <v>0.15</v>
      </c>
      <c r="Q410" s="30">
        <v>29520</v>
      </c>
      <c r="R410" s="33">
        <f>Table1_1[[#This Row],[Units Sold]]*Table1_1[[#This Row],[Unit Price]]*1-Table1_1[[#This Row],[Discount]]</f>
        <v>1696499.85</v>
      </c>
      <c r="S410" s="33">
        <f>Table1_1[[#This Row],[Units Sold]]*Table1_1[[#This Row],[Unit Cost]]</f>
        <v>1151280</v>
      </c>
      <c r="T410" s="33">
        <f>Table1_1[[#This Row],[Sales Amount]]-S410</f>
        <v>545219.85000000009</v>
      </c>
      <c r="U410" s="32">
        <f>IFERROR(Table1_1[[#This Row],[Profit/loss]]/Table1_1[[#This Row],[Sales Amount]],0)</f>
        <v>0.32137925034299297</v>
      </c>
    </row>
    <row r="411" spans="1:21" ht="18" x14ac:dyDescent="0.35">
      <c r="A411" s="21" t="s">
        <v>518</v>
      </c>
      <c r="B411" s="36">
        <v>45502</v>
      </c>
      <c r="C411" s="22">
        <f>YEAR(Table1_1[[#This Row],[Order Date]])</f>
        <v>2024</v>
      </c>
      <c r="D411" s="22" t="str">
        <f>TEXT(Table1_1[[#This Row],[Order Date]],"MMMM")</f>
        <v>July</v>
      </c>
      <c r="E411" s="22" t="s">
        <v>36</v>
      </c>
      <c r="F411" s="22" t="s">
        <v>44</v>
      </c>
      <c r="G411" s="22" t="s">
        <v>28</v>
      </c>
      <c r="H411" s="22" t="s">
        <v>19</v>
      </c>
      <c r="I411" s="22" t="s">
        <v>54</v>
      </c>
      <c r="J411" s="22" t="s">
        <v>129</v>
      </c>
      <c r="K411" s="22" t="s">
        <v>1630</v>
      </c>
      <c r="L411" s="22" t="s">
        <v>23</v>
      </c>
      <c r="M411" s="22" t="s">
        <v>34</v>
      </c>
      <c r="N411" s="22">
        <v>15</v>
      </c>
      <c r="O411" s="26">
        <v>29010</v>
      </c>
      <c r="P411" s="22">
        <v>0.2</v>
      </c>
      <c r="Q411" s="30">
        <v>19100</v>
      </c>
      <c r="R411" s="33">
        <f>Table1_1[[#This Row],[Units Sold]]*Table1_1[[#This Row],[Unit Price]]*1-Table1_1[[#This Row],[Discount]]</f>
        <v>435149.8</v>
      </c>
      <c r="S411" s="33">
        <f>Table1_1[[#This Row],[Units Sold]]*Table1_1[[#This Row],[Unit Cost]]</f>
        <v>286500</v>
      </c>
      <c r="T411" s="33">
        <f>Table1_1[[#This Row],[Sales Amount]]-S411</f>
        <v>148649.79999999999</v>
      </c>
      <c r="U411" s="32">
        <f>IFERROR(Table1_1[[#This Row],[Profit/loss]]/Table1_1[[#This Row],[Sales Amount]],0)</f>
        <v>0.34160604003494888</v>
      </c>
    </row>
    <row r="412" spans="1:21" ht="18" x14ac:dyDescent="0.35">
      <c r="A412" s="21" t="s">
        <v>519</v>
      </c>
      <c r="B412" s="36">
        <v>45503</v>
      </c>
      <c r="C412" s="22">
        <f>YEAR(Table1_1[[#This Row],[Order Date]])</f>
        <v>2024</v>
      </c>
      <c r="D412" s="22" t="str">
        <f>TEXT(Table1_1[[#This Row],[Order Date]],"MMMM")</f>
        <v>July</v>
      </c>
      <c r="E412" s="22" t="s">
        <v>82</v>
      </c>
      <c r="F412" s="22" t="s">
        <v>83</v>
      </c>
      <c r="G412" s="22" t="s">
        <v>50</v>
      </c>
      <c r="H412" s="22" t="s">
        <v>39</v>
      </c>
      <c r="I412" s="22" t="s">
        <v>30</v>
      </c>
      <c r="J412" s="22" t="s">
        <v>61</v>
      </c>
      <c r="K412" s="22" t="s">
        <v>186</v>
      </c>
      <c r="L412" s="22" t="s">
        <v>33</v>
      </c>
      <c r="M412" s="22" t="s">
        <v>66</v>
      </c>
      <c r="N412" s="22">
        <v>34</v>
      </c>
      <c r="O412" s="26">
        <v>6999</v>
      </c>
      <c r="P412" s="22">
        <v>0.08</v>
      </c>
      <c r="Q412" s="30">
        <v>4320</v>
      </c>
      <c r="R412" s="33">
        <f>Table1_1[[#This Row],[Units Sold]]*Table1_1[[#This Row],[Unit Price]]*1-Table1_1[[#This Row],[Discount]]</f>
        <v>237965.92</v>
      </c>
      <c r="S412" s="33">
        <f>Table1_1[[#This Row],[Units Sold]]*Table1_1[[#This Row],[Unit Cost]]</f>
        <v>146880</v>
      </c>
      <c r="T412" s="33">
        <f>Table1_1[[#This Row],[Sales Amount]]-S412</f>
        <v>91085.920000000013</v>
      </c>
      <c r="U412" s="32">
        <f>IFERROR(Table1_1[[#This Row],[Profit/loss]]/Table1_1[[#This Row],[Sales Amount]],0)</f>
        <v>0.38276875949295602</v>
      </c>
    </row>
    <row r="413" spans="1:21" ht="18" x14ac:dyDescent="0.35">
      <c r="A413" s="21" t="s">
        <v>520</v>
      </c>
      <c r="B413" s="36">
        <v>45503</v>
      </c>
      <c r="C413" s="22">
        <f>YEAR(Table1_1[[#This Row],[Order Date]])</f>
        <v>2024</v>
      </c>
      <c r="D413" s="22" t="str">
        <f>TEXT(Table1_1[[#This Row],[Order Date]],"MMMM")</f>
        <v>July</v>
      </c>
      <c r="E413" s="22" t="s">
        <v>36</v>
      </c>
      <c r="F413" s="22" t="s">
        <v>44</v>
      </c>
      <c r="G413" s="22" t="s">
        <v>38</v>
      </c>
      <c r="H413" s="22" t="s">
        <v>39</v>
      </c>
      <c r="I413" s="22" t="s">
        <v>40</v>
      </c>
      <c r="J413" s="22" t="s">
        <v>76</v>
      </c>
      <c r="K413" s="22" t="s">
        <v>1626</v>
      </c>
      <c r="L413" s="22" t="s">
        <v>23</v>
      </c>
      <c r="M413" s="22" t="s">
        <v>66</v>
      </c>
      <c r="N413" s="22">
        <v>23</v>
      </c>
      <c r="O413" s="26">
        <v>25999</v>
      </c>
      <c r="P413" s="22">
        <v>0.08</v>
      </c>
      <c r="Q413" s="30">
        <v>17800</v>
      </c>
      <c r="R413" s="33">
        <f>Table1_1[[#This Row],[Units Sold]]*Table1_1[[#This Row],[Unit Price]]*1-Table1_1[[#This Row],[Discount]]</f>
        <v>597976.92000000004</v>
      </c>
      <c r="S413" s="33">
        <f>Table1_1[[#This Row],[Units Sold]]*Table1_1[[#This Row],[Unit Cost]]</f>
        <v>409400</v>
      </c>
      <c r="T413" s="33">
        <f>Table1_1[[#This Row],[Sales Amount]]-S413</f>
        <v>188576.92000000004</v>
      </c>
      <c r="U413" s="32">
        <f>IFERROR(Table1_1[[#This Row],[Profit/loss]]/Table1_1[[#This Row],[Sales Amount]],0)</f>
        <v>0.3153581914164848</v>
      </c>
    </row>
    <row r="414" spans="1:21" ht="18" x14ac:dyDescent="0.35">
      <c r="A414" s="21" t="s">
        <v>521</v>
      </c>
      <c r="B414" s="36">
        <v>45504</v>
      </c>
      <c r="C414" s="22">
        <f>YEAR(Table1_1[[#This Row],[Order Date]])</f>
        <v>2024</v>
      </c>
      <c r="D414" s="22" t="str">
        <f>TEXT(Table1_1[[#This Row],[Order Date]],"MMMM")</f>
        <v>July</v>
      </c>
      <c r="E414" s="22" t="s">
        <v>48</v>
      </c>
      <c r="F414" s="22" t="s">
        <v>68</v>
      </c>
      <c r="G414" s="22" t="s">
        <v>28</v>
      </c>
      <c r="H414" s="22" t="s">
        <v>29</v>
      </c>
      <c r="I414" s="22" t="s">
        <v>70</v>
      </c>
      <c r="J414" s="22" t="s">
        <v>71</v>
      </c>
      <c r="K414" s="22" t="s">
        <v>88</v>
      </c>
      <c r="L414" s="22" t="s">
        <v>33</v>
      </c>
      <c r="M414" s="22" t="s">
        <v>24</v>
      </c>
      <c r="N414" s="22">
        <v>19</v>
      </c>
      <c r="O414" s="26">
        <v>999</v>
      </c>
      <c r="P414" s="22">
        <v>0.1</v>
      </c>
      <c r="Q414" s="30">
        <v>540</v>
      </c>
      <c r="R414" s="33">
        <f>Table1_1[[#This Row],[Units Sold]]*Table1_1[[#This Row],[Unit Price]]*1-Table1_1[[#This Row],[Discount]]</f>
        <v>18980.900000000001</v>
      </c>
      <c r="S414" s="33">
        <f>Table1_1[[#This Row],[Units Sold]]*Table1_1[[#This Row],[Unit Cost]]</f>
        <v>10260</v>
      </c>
      <c r="T414" s="33">
        <f>Table1_1[[#This Row],[Sales Amount]]-S414</f>
        <v>8720.9000000000015</v>
      </c>
      <c r="U414" s="32">
        <f>IFERROR(Table1_1[[#This Row],[Profit/loss]]/Table1_1[[#This Row],[Sales Amount]],0)</f>
        <v>0.45945661164644463</v>
      </c>
    </row>
    <row r="415" spans="1:21" ht="18" x14ac:dyDescent="0.35">
      <c r="A415" s="21" t="s">
        <v>522</v>
      </c>
      <c r="B415" s="36">
        <v>45504</v>
      </c>
      <c r="C415" s="22">
        <f>YEAR(Table1_1[[#This Row],[Order Date]])</f>
        <v>2024</v>
      </c>
      <c r="D415" s="22" t="str">
        <f>TEXT(Table1_1[[#This Row],[Order Date]],"MMMM")</f>
        <v>July</v>
      </c>
      <c r="E415" s="22" t="s">
        <v>36</v>
      </c>
      <c r="F415" s="22" t="s">
        <v>121</v>
      </c>
      <c r="G415" s="22" t="s">
        <v>18</v>
      </c>
      <c r="H415" s="22" t="s">
        <v>29</v>
      </c>
      <c r="I415" s="22" t="s">
        <v>20</v>
      </c>
      <c r="J415" s="22" t="s">
        <v>21</v>
      </c>
      <c r="K415" s="22" t="s">
        <v>51</v>
      </c>
      <c r="L415" s="22" t="s">
        <v>33</v>
      </c>
      <c r="M415" s="22" t="s">
        <v>66</v>
      </c>
      <c r="N415" s="22">
        <v>22</v>
      </c>
      <c r="O415" s="26">
        <v>5999</v>
      </c>
      <c r="P415" s="22">
        <v>0.05</v>
      </c>
      <c r="Q415" s="30">
        <v>3890</v>
      </c>
      <c r="R415" s="33">
        <f>Table1_1[[#This Row],[Units Sold]]*Table1_1[[#This Row],[Unit Price]]*1-Table1_1[[#This Row],[Discount]]</f>
        <v>131977.95000000001</v>
      </c>
      <c r="S415" s="33">
        <f>Table1_1[[#This Row],[Units Sold]]*Table1_1[[#This Row],[Unit Cost]]</f>
        <v>85580</v>
      </c>
      <c r="T415" s="33">
        <f>Table1_1[[#This Row],[Sales Amount]]-S415</f>
        <v>46397.950000000012</v>
      </c>
      <c r="U415" s="32">
        <f>IFERROR(Table1_1[[#This Row],[Profit/loss]]/Table1_1[[#This Row],[Sales Amount]],0)</f>
        <v>0.35155834743606795</v>
      </c>
    </row>
    <row r="416" spans="1:21" ht="18" x14ac:dyDescent="0.35">
      <c r="A416" s="21" t="s">
        <v>523</v>
      </c>
      <c r="B416" s="36">
        <v>45504</v>
      </c>
      <c r="C416" s="22">
        <f>YEAR(Table1_1[[#This Row],[Order Date]])</f>
        <v>2024</v>
      </c>
      <c r="D416" s="22" t="str">
        <f>TEXT(Table1_1[[#This Row],[Order Date]],"MMMM")</f>
        <v>July</v>
      </c>
      <c r="E416" s="22" t="s">
        <v>36</v>
      </c>
      <c r="F416" s="22" t="s">
        <v>59</v>
      </c>
      <c r="G416" s="22" t="s">
        <v>84</v>
      </c>
      <c r="H416" s="22" t="s">
        <v>39</v>
      </c>
      <c r="I416" s="22" t="s">
        <v>30</v>
      </c>
      <c r="J416" s="22" t="s">
        <v>61</v>
      </c>
      <c r="K416" s="22" t="s">
        <v>96</v>
      </c>
      <c r="L416" s="22" t="s">
        <v>23</v>
      </c>
      <c r="M416" s="22" t="s">
        <v>24</v>
      </c>
      <c r="N416" s="22">
        <v>33</v>
      </c>
      <c r="O416" s="26">
        <v>25110</v>
      </c>
      <c r="P416" s="22">
        <v>0.08</v>
      </c>
      <c r="Q416" s="30">
        <v>16730</v>
      </c>
      <c r="R416" s="33">
        <f>Table1_1[[#This Row],[Units Sold]]*Table1_1[[#This Row],[Unit Price]]*1-Table1_1[[#This Row],[Discount]]</f>
        <v>828629.92</v>
      </c>
      <c r="S416" s="33">
        <f>Table1_1[[#This Row],[Units Sold]]*Table1_1[[#This Row],[Unit Cost]]</f>
        <v>552090</v>
      </c>
      <c r="T416" s="33">
        <f>Table1_1[[#This Row],[Sales Amount]]-S416</f>
        <v>276539.92000000004</v>
      </c>
      <c r="U416" s="32">
        <f>IFERROR(Table1_1[[#This Row],[Profit/loss]]/Table1_1[[#This Row],[Sales Amount]],0)</f>
        <v>0.33373151671858531</v>
      </c>
    </row>
    <row r="417" spans="1:21" ht="18" x14ac:dyDescent="0.35">
      <c r="A417" s="21" t="s">
        <v>524</v>
      </c>
      <c r="B417" s="36">
        <v>45506</v>
      </c>
      <c r="C417" s="22">
        <f>YEAR(Table1_1[[#This Row],[Order Date]])</f>
        <v>2024</v>
      </c>
      <c r="D417" s="22" t="str">
        <f>TEXT(Table1_1[[#This Row],[Order Date]],"MMMM")</f>
        <v>August</v>
      </c>
      <c r="E417" s="22" t="s">
        <v>82</v>
      </c>
      <c r="F417" s="22" t="s">
        <v>83</v>
      </c>
      <c r="G417" s="22" t="s">
        <v>28</v>
      </c>
      <c r="H417" s="22" t="s">
        <v>29</v>
      </c>
      <c r="I417" s="22" t="s">
        <v>30</v>
      </c>
      <c r="J417" s="22" t="s">
        <v>31</v>
      </c>
      <c r="K417" s="22" t="s">
        <v>32</v>
      </c>
      <c r="L417" s="22" t="s">
        <v>57</v>
      </c>
      <c r="M417" s="22" t="s">
        <v>34</v>
      </c>
      <c r="N417" s="22">
        <v>33</v>
      </c>
      <c r="O417" s="26">
        <v>38990</v>
      </c>
      <c r="P417" s="22">
        <v>0.15</v>
      </c>
      <c r="Q417" s="30">
        <v>25400</v>
      </c>
      <c r="R417" s="33">
        <f>Table1_1[[#This Row],[Units Sold]]*Table1_1[[#This Row],[Unit Price]]*1-Table1_1[[#This Row],[Discount]]</f>
        <v>1286669.8500000001</v>
      </c>
      <c r="S417" s="33">
        <f>Table1_1[[#This Row],[Units Sold]]*Table1_1[[#This Row],[Unit Cost]]</f>
        <v>838200</v>
      </c>
      <c r="T417" s="33">
        <f>Table1_1[[#This Row],[Sales Amount]]-S417</f>
        <v>448469.85000000009</v>
      </c>
      <c r="U417" s="32">
        <f>IFERROR(Table1_1[[#This Row],[Profit/loss]]/Table1_1[[#This Row],[Sales Amount]],0)</f>
        <v>0.34855083454391977</v>
      </c>
    </row>
    <row r="418" spans="1:21" ht="18" x14ac:dyDescent="0.35">
      <c r="A418" s="21" t="s">
        <v>525</v>
      </c>
      <c r="B418" s="36">
        <v>45506</v>
      </c>
      <c r="C418" s="22">
        <f>YEAR(Table1_1[[#This Row],[Order Date]])</f>
        <v>2024</v>
      </c>
      <c r="D418" s="22" t="str">
        <f>TEXT(Table1_1[[#This Row],[Order Date]],"MMMM")</f>
        <v>August</v>
      </c>
      <c r="E418" s="22" t="s">
        <v>36</v>
      </c>
      <c r="F418" s="22" t="s">
        <v>121</v>
      </c>
      <c r="G418" s="22" t="s">
        <v>101</v>
      </c>
      <c r="H418" s="22" t="s">
        <v>19</v>
      </c>
      <c r="I418" s="22" t="s">
        <v>20</v>
      </c>
      <c r="J418" s="22" t="s">
        <v>45</v>
      </c>
      <c r="K418" s="22" t="s">
        <v>1618</v>
      </c>
      <c r="L418" s="22" t="s">
        <v>33</v>
      </c>
      <c r="M418" s="22" t="s">
        <v>24</v>
      </c>
      <c r="N418" s="22">
        <v>25</v>
      </c>
      <c r="O418" s="26">
        <v>1899</v>
      </c>
      <c r="P418" s="22">
        <v>0.08</v>
      </c>
      <c r="Q418" s="30">
        <v>1080</v>
      </c>
      <c r="R418" s="33">
        <f>Table1_1[[#This Row],[Units Sold]]*Table1_1[[#This Row],[Unit Price]]*1-Table1_1[[#This Row],[Discount]]</f>
        <v>47474.92</v>
      </c>
      <c r="S418" s="33">
        <f>Table1_1[[#This Row],[Units Sold]]*Table1_1[[#This Row],[Unit Cost]]</f>
        <v>27000</v>
      </c>
      <c r="T418" s="33">
        <f>Table1_1[[#This Row],[Sales Amount]]-S418</f>
        <v>20474.919999999998</v>
      </c>
      <c r="U418" s="32">
        <f>IFERROR(Table1_1[[#This Row],[Profit/loss]]/Table1_1[[#This Row],[Sales Amount]],0)</f>
        <v>0.43127866250222219</v>
      </c>
    </row>
    <row r="419" spans="1:21" ht="18" x14ac:dyDescent="0.35">
      <c r="A419" s="21" t="s">
        <v>526</v>
      </c>
      <c r="B419" s="36">
        <v>45506</v>
      </c>
      <c r="C419" s="22">
        <f>YEAR(Table1_1[[#This Row],[Order Date]])</f>
        <v>2024</v>
      </c>
      <c r="D419" s="22" t="str">
        <f>TEXT(Table1_1[[#This Row],[Order Date]],"MMMM")</f>
        <v>August</v>
      </c>
      <c r="E419" s="22" t="s">
        <v>36</v>
      </c>
      <c r="F419" s="22" t="s">
        <v>59</v>
      </c>
      <c r="G419" s="22" t="s">
        <v>101</v>
      </c>
      <c r="H419" s="22" t="s">
        <v>39</v>
      </c>
      <c r="I419" s="22" t="s">
        <v>20</v>
      </c>
      <c r="J419" s="22" t="s">
        <v>21</v>
      </c>
      <c r="K419" s="22" t="s">
        <v>22</v>
      </c>
      <c r="L419" s="22" t="s">
        <v>23</v>
      </c>
      <c r="M419" s="22" t="s">
        <v>78</v>
      </c>
      <c r="N419" s="22">
        <v>34</v>
      </c>
      <c r="O419" s="26">
        <v>4499</v>
      </c>
      <c r="P419" s="22">
        <v>0.2</v>
      </c>
      <c r="Q419" s="30">
        <v>2910</v>
      </c>
      <c r="R419" s="33">
        <f>Table1_1[[#This Row],[Units Sold]]*Table1_1[[#This Row],[Unit Price]]*1-Table1_1[[#This Row],[Discount]]</f>
        <v>152965.79999999999</v>
      </c>
      <c r="S419" s="33">
        <f>Table1_1[[#This Row],[Units Sold]]*Table1_1[[#This Row],[Unit Cost]]</f>
        <v>98940</v>
      </c>
      <c r="T419" s="33">
        <f>Table1_1[[#This Row],[Sales Amount]]-S419</f>
        <v>54025.799999999988</v>
      </c>
      <c r="U419" s="32">
        <f>IFERROR(Table1_1[[#This Row],[Profit/loss]]/Table1_1[[#This Row],[Sales Amount]],0)</f>
        <v>0.35318875199554406</v>
      </c>
    </row>
    <row r="420" spans="1:21" ht="18" x14ac:dyDescent="0.35">
      <c r="A420" s="21" t="s">
        <v>527</v>
      </c>
      <c r="B420" s="36">
        <v>45506</v>
      </c>
      <c r="C420" s="22">
        <f>YEAR(Table1_1[[#This Row],[Order Date]])</f>
        <v>2024</v>
      </c>
      <c r="D420" s="22" t="str">
        <f>TEXT(Table1_1[[#This Row],[Order Date]],"MMMM")</f>
        <v>August</v>
      </c>
      <c r="E420" s="22" t="s">
        <v>48</v>
      </c>
      <c r="F420" s="22" t="s">
        <v>93</v>
      </c>
      <c r="G420" s="22" t="s">
        <v>38</v>
      </c>
      <c r="H420" s="22" t="s">
        <v>29</v>
      </c>
      <c r="I420" s="22" t="s">
        <v>40</v>
      </c>
      <c r="J420" s="22" t="s">
        <v>41</v>
      </c>
      <c r="K420" s="22" t="s">
        <v>1624</v>
      </c>
      <c r="L420" s="22" t="s">
        <v>57</v>
      </c>
      <c r="M420" s="22" t="s">
        <v>78</v>
      </c>
      <c r="N420" s="22">
        <v>38</v>
      </c>
      <c r="O420" s="26">
        <v>48990</v>
      </c>
      <c r="P420" s="22">
        <v>0.1</v>
      </c>
      <c r="Q420" s="30">
        <v>30100</v>
      </c>
      <c r="R420" s="33">
        <f>Table1_1[[#This Row],[Units Sold]]*Table1_1[[#This Row],[Unit Price]]*1-Table1_1[[#This Row],[Discount]]</f>
        <v>1861619.9</v>
      </c>
      <c r="S420" s="33">
        <f>Table1_1[[#This Row],[Units Sold]]*Table1_1[[#This Row],[Unit Cost]]</f>
        <v>1143800</v>
      </c>
      <c r="T420" s="33">
        <f>Table1_1[[#This Row],[Sales Amount]]-S420</f>
        <v>717819.89999999991</v>
      </c>
      <c r="U420" s="32">
        <f>IFERROR(Table1_1[[#This Row],[Profit/loss]]/Table1_1[[#This Row],[Sales Amount]],0)</f>
        <v>0.3855888626888872</v>
      </c>
    </row>
    <row r="421" spans="1:21" ht="18" x14ac:dyDescent="0.35">
      <c r="A421" s="21" t="s">
        <v>528</v>
      </c>
      <c r="B421" s="36">
        <v>45508</v>
      </c>
      <c r="C421" s="22">
        <f>YEAR(Table1_1[[#This Row],[Order Date]])</f>
        <v>2024</v>
      </c>
      <c r="D421" s="22" t="str">
        <f>TEXT(Table1_1[[#This Row],[Order Date]],"MMMM")</f>
        <v>August</v>
      </c>
      <c r="E421" s="22" t="s">
        <v>16</v>
      </c>
      <c r="F421" s="22" t="s">
        <v>98</v>
      </c>
      <c r="G421" s="22" t="s">
        <v>105</v>
      </c>
      <c r="H421" s="22" t="s">
        <v>39</v>
      </c>
      <c r="I421" s="22" t="s">
        <v>20</v>
      </c>
      <c r="J421" s="22" t="s">
        <v>45</v>
      </c>
      <c r="K421" s="22" t="s">
        <v>196</v>
      </c>
      <c r="L421" s="22" t="s">
        <v>23</v>
      </c>
      <c r="M421" s="22" t="s">
        <v>78</v>
      </c>
      <c r="N421" s="22">
        <v>19</v>
      </c>
      <c r="O421" s="26">
        <v>2499</v>
      </c>
      <c r="P421" s="22">
        <v>0.2</v>
      </c>
      <c r="Q421" s="30">
        <v>1510</v>
      </c>
      <c r="R421" s="33">
        <f>Table1_1[[#This Row],[Units Sold]]*Table1_1[[#This Row],[Unit Price]]*1-Table1_1[[#This Row],[Discount]]</f>
        <v>47480.800000000003</v>
      </c>
      <c r="S421" s="33">
        <f>Table1_1[[#This Row],[Units Sold]]*Table1_1[[#This Row],[Unit Cost]]</f>
        <v>28690</v>
      </c>
      <c r="T421" s="33">
        <f>Table1_1[[#This Row],[Sales Amount]]-S421</f>
        <v>18790.800000000003</v>
      </c>
      <c r="U421" s="32">
        <f>IFERROR(Table1_1[[#This Row],[Profit/loss]]/Table1_1[[#This Row],[Sales Amount]],0)</f>
        <v>0.39575575811696523</v>
      </c>
    </row>
    <row r="422" spans="1:21" ht="18" x14ac:dyDescent="0.35">
      <c r="A422" s="21" t="s">
        <v>529</v>
      </c>
      <c r="B422" s="36">
        <v>45508</v>
      </c>
      <c r="C422" s="22">
        <f>YEAR(Table1_1[[#This Row],[Order Date]])</f>
        <v>2024</v>
      </c>
      <c r="D422" s="22" t="str">
        <f>TEXT(Table1_1[[#This Row],[Order Date]],"MMMM")</f>
        <v>August</v>
      </c>
      <c r="E422" s="22" t="s">
        <v>16</v>
      </c>
      <c r="F422" s="22" t="s">
        <v>126</v>
      </c>
      <c r="G422" s="22" t="s">
        <v>75</v>
      </c>
      <c r="H422" s="22" t="s">
        <v>19</v>
      </c>
      <c r="I422" s="22" t="s">
        <v>40</v>
      </c>
      <c r="J422" s="22" t="s">
        <v>76</v>
      </c>
      <c r="K422" s="22" t="s">
        <v>113</v>
      </c>
      <c r="L422" s="22" t="s">
        <v>23</v>
      </c>
      <c r="M422" s="22" t="s">
        <v>34</v>
      </c>
      <c r="N422" s="22">
        <v>22</v>
      </c>
      <c r="O422" s="26">
        <v>22999</v>
      </c>
      <c r="P422" s="22">
        <v>0.18</v>
      </c>
      <c r="Q422" s="30">
        <v>15100</v>
      </c>
      <c r="R422" s="33">
        <f>Table1_1[[#This Row],[Units Sold]]*Table1_1[[#This Row],[Unit Price]]*1-Table1_1[[#This Row],[Discount]]</f>
        <v>505977.82</v>
      </c>
      <c r="S422" s="33">
        <f>Table1_1[[#This Row],[Units Sold]]*Table1_1[[#This Row],[Unit Cost]]</f>
        <v>332200</v>
      </c>
      <c r="T422" s="33">
        <f>Table1_1[[#This Row],[Sales Amount]]-S422</f>
        <v>173777.82</v>
      </c>
      <c r="U422" s="32">
        <f>IFERROR(Table1_1[[#This Row],[Profit/loss]]/Table1_1[[#This Row],[Sales Amount]],0)</f>
        <v>0.34344948163933353</v>
      </c>
    </row>
    <row r="423" spans="1:21" ht="18" x14ac:dyDescent="0.35">
      <c r="A423" s="21" t="s">
        <v>530</v>
      </c>
      <c r="B423" s="36">
        <v>45508</v>
      </c>
      <c r="C423" s="22">
        <f>YEAR(Table1_1[[#This Row],[Order Date]])</f>
        <v>2024</v>
      </c>
      <c r="D423" s="22" t="str">
        <f>TEXT(Table1_1[[#This Row],[Order Date]],"MMMM")</f>
        <v>August</v>
      </c>
      <c r="E423" s="22" t="s">
        <v>48</v>
      </c>
      <c r="F423" s="22" t="s">
        <v>68</v>
      </c>
      <c r="G423" s="22" t="s">
        <v>38</v>
      </c>
      <c r="H423" s="22" t="s">
        <v>29</v>
      </c>
      <c r="I423" s="22" t="s">
        <v>20</v>
      </c>
      <c r="J423" s="22" t="s">
        <v>45</v>
      </c>
      <c r="K423" s="22" t="s">
        <v>1622</v>
      </c>
      <c r="L423" s="22" t="s">
        <v>57</v>
      </c>
      <c r="M423" s="22" t="s">
        <v>24</v>
      </c>
      <c r="N423" s="22">
        <v>37</v>
      </c>
      <c r="O423" s="26">
        <v>1599</v>
      </c>
      <c r="P423" s="22">
        <v>0.15</v>
      </c>
      <c r="Q423" s="30">
        <v>920</v>
      </c>
      <c r="R423" s="33">
        <f>Table1_1[[#This Row],[Units Sold]]*Table1_1[[#This Row],[Unit Price]]*1-Table1_1[[#This Row],[Discount]]</f>
        <v>59162.85</v>
      </c>
      <c r="S423" s="33">
        <f>Table1_1[[#This Row],[Units Sold]]*Table1_1[[#This Row],[Unit Cost]]</f>
        <v>34040</v>
      </c>
      <c r="T423" s="33">
        <f>Table1_1[[#This Row],[Sales Amount]]-S423</f>
        <v>25122.85</v>
      </c>
      <c r="U423" s="32">
        <f>IFERROR(Table1_1[[#This Row],[Profit/loss]]/Table1_1[[#This Row],[Sales Amount]],0)</f>
        <v>0.42463894149791631</v>
      </c>
    </row>
    <row r="424" spans="1:21" ht="18" x14ac:dyDescent="0.35">
      <c r="A424" s="21" t="s">
        <v>531</v>
      </c>
      <c r="B424" s="36">
        <v>45509</v>
      </c>
      <c r="C424" s="22">
        <f>YEAR(Table1_1[[#This Row],[Order Date]])</f>
        <v>2024</v>
      </c>
      <c r="D424" s="22" t="str">
        <f>TEXT(Table1_1[[#This Row],[Order Date]],"MMMM")</f>
        <v>August</v>
      </c>
      <c r="E424" s="22" t="s">
        <v>48</v>
      </c>
      <c r="F424" s="22" t="s">
        <v>136</v>
      </c>
      <c r="G424" s="22" t="s">
        <v>84</v>
      </c>
      <c r="H424" s="22" t="s">
        <v>19</v>
      </c>
      <c r="I424" s="22" t="s">
        <v>54</v>
      </c>
      <c r="J424" s="22" t="s">
        <v>90</v>
      </c>
      <c r="K424" s="22" t="s">
        <v>1625</v>
      </c>
      <c r="L424" s="22" t="s">
        <v>23</v>
      </c>
      <c r="M424" s="22" t="s">
        <v>34</v>
      </c>
      <c r="N424" s="22">
        <v>8</v>
      </c>
      <c r="O424" s="26">
        <v>32800</v>
      </c>
      <c r="P424" s="22">
        <v>0.08</v>
      </c>
      <c r="Q424" s="30">
        <v>23100</v>
      </c>
      <c r="R424" s="33">
        <f>Table1_1[[#This Row],[Units Sold]]*Table1_1[[#This Row],[Unit Price]]*1-Table1_1[[#This Row],[Discount]]</f>
        <v>262399.92</v>
      </c>
      <c r="S424" s="33">
        <f>Table1_1[[#This Row],[Units Sold]]*Table1_1[[#This Row],[Unit Cost]]</f>
        <v>184800</v>
      </c>
      <c r="T424" s="33">
        <f>Table1_1[[#This Row],[Sales Amount]]-S424</f>
        <v>77599.919999999984</v>
      </c>
      <c r="U424" s="32">
        <f>IFERROR(Table1_1[[#This Row],[Profit/loss]]/Table1_1[[#This Row],[Sales Amount]],0)</f>
        <v>0.29573149260106479</v>
      </c>
    </row>
    <row r="425" spans="1:21" ht="18" x14ac:dyDescent="0.35">
      <c r="A425" s="21" t="s">
        <v>532</v>
      </c>
      <c r="B425" s="36">
        <v>45511</v>
      </c>
      <c r="C425" s="22">
        <f>YEAR(Table1_1[[#This Row],[Order Date]])</f>
        <v>2024</v>
      </c>
      <c r="D425" s="22" t="str">
        <f>TEXT(Table1_1[[#This Row],[Order Date]],"MMMM")</f>
        <v>August</v>
      </c>
      <c r="E425" s="22" t="s">
        <v>26</v>
      </c>
      <c r="F425" s="22" t="s">
        <v>53</v>
      </c>
      <c r="G425" s="22" t="s">
        <v>84</v>
      </c>
      <c r="H425" s="22" t="s">
        <v>19</v>
      </c>
      <c r="I425" s="22" t="s">
        <v>70</v>
      </c>
      <c r="J425" s="22" t="s">
        <v>71</v>
      </c>
      <c r="K425" s="22" t="s">
        <v>80</v>
      </c>
      <c r="L425" s="22" t="s">
        <v>57</v>
      </c>
      <c r="M425" s="22" t="s">
        <v>78</v>
      </c>
      <c r="N425" s="22">
        <v>15</v>
      </c>
      <c r="O425" s="26">
        <v>1299</v>
      </c>
      <c r="P425" s="22">
        <v>0.2</v>
      </c>
      <c r="Q425" s="30">
        <v>720</v>
      </c>
      <c r="R425" s="33">
        <f>Table1_1[[#This Row],[Units Sold]]*Table1_1[[#This Row],[Unit Price]]*1-Table1_1[[#This Row],[Discount]]</f>
        <v>19484.8</v>
      </c>
      <c r="S425" s="33">
        <f>Table1_1[[#This Row],[Units Sold]]*Table1_1[[#This Row],[Unit Cost]]</f>
        <v>10800</v>
      </c>
      <c r="T425" s="33">
        <f>Table1_1[[#This Row],[Sales Amount]]-S425</f>
        <v>8684.7999999999993</v>
      </c>
      <c r="U425" s="32">
        <f>IFERROR(Table1_1[[#This Row],[Profit/loss]]/Table1_1[[#This Row],[Sales Amount]],0)</f>
        <v>0.44572179339793067</v>
      </c>
    </row>
    <row r="426" spans="1:21" ht="18" x14ac:dyDescent="0.35">
      <c r="A426" s="21" t="s">
        <v>533</v>
      </c>
      <c r="B426" s="36">
        <v>45511</v>
      </c>
      <c r="C426" s="22">
        <f>YEAR(Table1_1[[#This Row],[Order Date]])</f>
        <v>2024</v>
      </c>
      <c r="D426" s="22" t="str">
        <f>TEXT(Table1_1[[#This Row],[Order Date]],"MMMM")</f>
        <v>August</v>
      </c>
      <c r="E426" s="22" t="s">
        <v>16</v>
      </c>
      <c r="F426" s="22" t="s">
        <v>111</v>
      </c>
      <c r="G426" s="22" t="s">
        <v>60</v>
      </c>
      <c r="H426" s="22" t="s">
        <v>19</v>
      </c>
      <c r="I426" s="22" t="s">
        <v>54</v>
      </c>
      <c r="J426" s="22" t="s">
        <v>129</v>
      </c>
      <c r="K426" s="22" t="s">
        <v>145</v>
      </c>
      <c r="L426" s="22" t="s">
        <v>23</v>
      </c>
      <c r="M426" s="22" t="s">
        <v>24</v>
      </c>
      <c r="N426" s="22">
        <v>2</v>
      </c>
      <c r="O426" s="26">
        <v>31490</v>
      </c>
      <c r="P426" s="22">
        <v>0.1</v>
      </c>
      <c r="Q426" s="30">
        <v>21300</v>
      </c>
      <c r="R426" s="33">
        <f>Table1_1[[#This Row],[Units Sold]]*Table1_1[[#This Row],[Unit Price]]*1-Table1_1[[#This Row],[Discount]]</f>
        <v>62979.9</v>
      </c>
      <c r="S426" s="33">
        <f>Table1_1[[#This Row],[Units Sold]]*Table1_1[[#This Row],[Unit Cost]]</f>
        <v>42600</v>
      </c>
      <c r="T426" s="33">
        <f>Table1_1[[#This Row],[Sales Amount]]-S426</f>
        <v>20379.900000000001</v>
      </c>
      <c r="U426" s="32">
        <f>IFERROR(Table1_1[[#This Row],[Profit/loss]]/Table1_1[[#This Row],[Sales Amount]],0)</f>
        <v>0.32359371799574149</v>
      </c>
    </row>
    <row r="427" spans="1:21" ht="18" x14ac:dyDescent="0.35">
      <c r="A427" s="21" t="s">
        <v>534</v>
      </c>
      <c r="B427" s="36">
        <v>45511</v>
      </c>
      <c r="C427" s="22">
        <f>YEAR(Table1_1[[#This Row],[Order Date]])</f>
        <v>2024</v>
      </c>
      <c r="D427" s="22" t="str">
        <f>TEXT(Table1_1[[#This Row],[Order Date]],"MMMM")</f>
        <v>August</v>
      </c>
      <c r="E427" s="22" t="s">
        <v>36</v>
      </c>
      <c r="F427" s="22" t="s">
        <v>121</v>
      </c>
      <c r="G427" s="22" t="s">
        <v>84</v>
      </c>
      <c r="H427" s="22" t="s">
        <v>19</v>
      </c>
      <c r="I427" s="22" t="s">
        <v>54</v>
      </c>
      <c r="J427" s="22" t="s">
        <v>90</v>
      </c>
      <c r="K427" s="22" t="s">
        <v>1621</v>
      </c>
      <c r="L427" s="22" t="s">
        <v>33</v>
      </c>
      <c r="M427" s="22" t="s">
        <v>24</v>
      </c>
      <c r="N427" s="22">
        <v>26</v>
      </c>
      <c r="O427" s="26">
        <v>31990</v>
      </c>
      <c r="P427" s="22">
        <v>0.15</v>
      </c>
      <c r="Q427" s="30">
        <v>21800</v>
      </c>
      <c r="R427" s="33">
        <f>Table1_1[[#This Row],[Units Sold]]*Table1_1[[#This Row],[Unit Price]]*1-Table1_1[[#This Row],[Discount]]</f>
        <v>831739.85</v>
      </c>
      <c r="S427" s="33">
        <f>Table1_1[[#This Row],[Units Sold]]*Table1_1[[#This Row],[Unit Cost]]</f>
        <v>566800</v>
      </c>
      <c r="T427" s="33">
        <f>Table1_1[[#This Row],[Sales Amount]]-S427</f>
        <v>264939.84999999998</v>
      </c>
      <c r="U427" s="32">
        <f>IFERROR(Table1_1[[#This Row],[Profit/loss]]/Table1_1[[#This Row],[Sales Amount]],0)</f>
        <v>0.31853691992754701</v>
      </c>
    </row>
    <row r="428" spans="1:21" ht="18" x14ac:dyDescent="0.35">
      <c r="A428" s="21" t="s">
        <v>535</v>
      </c>
      <c r="B428" s="36">
        <v>45512</v>
      </c>
      <c r="C428" s="22">
        <f>YEAR(Table1_1[[#This Row],[Order Date]])</f>
        <v>2024</v>
      </c>
      <c r="D428" s="22" t="str">
        <f>TEXT(Table1_1[[#This Row],[Order Date]],"MMMM")</f>
        <v>August</v>
      </c>
      <c r="E428" s="22" t="s">
        <v>82</v>
      </c>
      <c r="F428" s="22" t="s">
        <v>83</v>
      </c>
      <c r="G428" s="22" t="s">
        <v>75</v>
      </c>
      <c r="H428" s="22" t="s">
        <v>39</v>
      </c>
      <c r="I428" s="22" t="s">
        <v>20</v>
      </c>
      <c r="J428" s="22" t="s">
        <v>21</v>
      </c>
      <c r="K428" s="22" t="s">
        <v>22</v>
      </c>
      <c r="L428" s="22" t="s">
        <v>23</v>
      </c>
      <c r="M428" s="22" t="s">
        <v>66</v>
      </c>
      <c r="N428" s="22">
        <v>13</v>
      </c>
      <c r="O428" s="26">
        <v>4499</v>
      </c>
      <c r="P428" s="22">
        <v>0.1</v>
      </c>
      <c r="Q428" s="30">
        <v>2910</v>
      </c>
      <c r="R428" s="33">
        <f>Table1_1[[#This Row],[Units Sold]]*Table1_1[[#This Row],[Unit Price]]*1-Table1_1[[#This Row],[Discount]]</f>
        <v>58486.9</v>
      </c>
      <c r="S428" s="33">
        <f>Table1_1[[#This Row],[Units Sold]]*Table1_1[[#This Row],[Unit Cost]]</f>
        <v>37830</v>
      </c>
      <c r="T428" s="33">
        <f>Table1_1[[#This Row],[Sales Amount]]-S428</f>
        <v>20656.900000000001</v>
      </c>
      <c r="U428" s="32">
        <f>IFERROR(Table1_1[[#This Row],[Profit/loss]]/Table1_1[[#This Row],[Sales Amount]],0)</f>
        <v>0.35318849178192041</v>
      </c>
    </row>
    <row r="429" spans="1:21" ht="18" x14ac:dyDescent="0.35">
      <c r="A429" s="21" t="s">
        <v>536</v>
      </c>
      <c r="B429" s="36">
        <v>45512</v>
      </c>
      <c r="C429" s="22">
        <f>YEAR(Table1_1[[#This Row],[Order Date]])</f>
        <v>2024</v>
      </c>
      <c r="D429" s="22" t="str">
        <f>TEXT(Table1_1[[#This Row],[Order Date]],"MMMM")</f>
        <v>August</v>
      </c>
      <c r="E429" s="22" t="s">
        <v>26</v>
      </c>
      <c r="F429" s="22" t="s">
        <v>163</v>
      </c>
      <c r="G429" s="22" t="s">
        <v>60</v>
      </c>
      <c r="H429" s="22" t="s">
        <v>19</v>
      </c>
      <c r="I429" s="22" t="s">
        <v>20</v>
      </c>
      <c r="J429" s="22" t="s">
        <v>45</v>
      </c>
      <c r="K429" s="22" t="s">
        <v>196</v>
      </c>
      <c r="L429" s="22" t="s">
        <v>57</v>
      </c>
      <c r="M429" s="22" t="s">
        <v>24</v>
      </c>
      <c r="N429" s="22">
        <v>28</v>
      </c>
      <c r="O429" s="26">
        <v>2499</v>
      </c>
      <c r="P429" s="22">
        <v>0.05</v>
      </c>
      <c r="Q429" s="30">
        <v>1510</v>
      </c>
      <c r="R429" s="33">
        <f>Table1_1[[#This Row],[Units Sold]]*Table1_1[[#This Row],[Unit Price]]*1-Table1_1[[#This Row],[Discount]]</f>
        <v>69971.95</v>
      </c>
      <c r="S429" s="33">
        <f>Table1_1[[#This Row],[Units Sold]]*Table1_1[[#This Row],[Unit Cost]]</f>
        <v>42280</v>
      </c>
      <c r="T429" s="33">
        <f>Table1_1[[#This Row],[Sales Amount]]-S429</f>
        <v>27691.949999999997</v>
      </c>
      <c r="U429" s="32">
        <f>IFERROR(Table1_1[[#This Row],[Profit/loss]]/Table1_1[[#This Row],[Sales Amount]],0)</f>
        <v>0.39575787154709852</v>
      </c>
    </row>
    <row r="430" spans="1:21" ht="18" x14ac:dyDescent="0.35">
      <c r="A430" s="21" t="s">
        <v>537</v>
      </c>
      <c r="B430" s="36">
        <v>45512</v>
      </c>
      <c r="C430" s="22">
        <f>YEAR(Table1_1[[#This Row],[Order Date]])</f>
        <v>2024</v>
      </c>
      <c r="D430" s="22" t="str">
        <f>TEXT(Table1_1[[#This Row],[Order Date]],"MMMM")</f>
        <v>August</v>
      </c>
      <c r="E430" s="22" t="s">
        <v>82</v>
      </c>
      <c r="F430" s="22" t="s">
        <v>100</v>
      </c>
      <c r="G430" s="22" t="s">
        <v>60</v>
      </c>
      <c r="H430" s="22" t="s">
        <v>39</v>
      </c>
      <c r="I430" s="22" t="s">
        <v>70</v>
      </c>
      <c r="J430" s="22" t="s">
        <v>71</v>
      </c>
      <c r="K430" s="22" t="s">
        <v>80</v>
      </c>
      <c r="L430" s="22" t="s">
        <v>57</v>
      </c>
      <c r="M430" s="22" t="s">
        <v>66</v>
      </c>
      <c r="N430" s="22">
        <v>34</v>
      </c>
      <c r="O430" s="26">
        <v>1299</v>
      </c>
      <c r="P430" s="22">
        <v>0.08</v>
      </c>
      <c r="Q430" s="30">
        <v>720</v>
      </c>
      <c r="R430" s="33">
        <f>Table1_1[[#This Row],[Units Sold]]*Table1_1[[#This Row],[Unit Price]]*1-Table1_1[[#This Row],[Discount]]</f>
        <v>44165.919999999998</v>
      </c>
      <c r="S430" s="33">
        <f>Table1_1[[#This Row],[Units Sold]]*Table1_1[[#This Row],[Unit Cost]]</f>
        <v>24480</v>
      </c>
      <c r="T430" s="33">
        <f>Table1_1[[#This Row],[Sales Amount]]-S430</f>
        <v>19685.919999999998</v>
      </c>
      <c r="U430" s="32">
        <f>IFERROR(Table1_1[[#This Row],[Profit/loss]]/Table1_1[[#This Row],[Sales Amount]],0)</f>
        <v>0.44572647869669646</v>
      </c>
    </row>
    <row r="431" spans="1:21" ht="18" x14ac:dyDescent="0.35">
      <c r="A431" s="21" t="s">
        <v>538</v>
      </c>
      <c r="B431" s="36">
        <v>45512</v>
      </c>
      <c r="C431" s="22">
        <f>YEAR(Table1_1[[#This Row],[Order Date]])</f>
        <v>2024</v>
      </c>
      <c r="D431" s="22" t="str">
        <f>TEXT(Table1_1[[#This Row],[Order Date]],"MMMM")</f>
        <v>August</v>
      </c>
      <c r="E431" s="22" t="s">
        <v>26</v>
      </c>
      <c r="F431" s="22" t="s">
        <v>74</v>
      </c>
      <c r="G431" s="22" t="s">
        <v>75</v>
      </c>
      <c r="H431" s="22" t="s">
        <v>29</v>
      </c>
      <c r="I431" s="22" t="s">
        <v>54</v>
      </c>
      <c r="J431" s="22" t="s">
        <v>129</v>
      </c>
      <c r="K431" s="22" t="s">
        <v>130</v>
      </c>
      <c r="L431" s="22" t="s">
        <v>57</v>
      </c>
      <c r="M431" s="22" t="s">
        <v>66</v>
      </c>
      <c r="N431" s="22">
        <v>11</v>
      </c>
      <c r="O431" s="26">
        <v>27890</v>
      </c>
      <c r="P431" s="22">
        <v>0.12</v>
      </c>
      <c r="Q431" s="30">
        <v>18800</v>
      </c>
      <c r="R431" s="33">
        <f>Table1_1[[#This Row],[Units Sold]]*Table1_1[[#This Row],[Unit Price]]*1-Table1_1[[#This Row],[Discount]]</f>
        <v>306789.88</v>
      </c>
      <c r="S431" s="33">
        <f>Table1_1[[#This Row],[Units Sold]]*Table1_1[[#This Row],[Unit Cost]]</f>
        <v>206800</v>
      </c>
      <c r="T431" s="33">
        <f>Table1_1[[#This Row],[Sales Amount]]-S431</f>
        <v>99989.88</v>
      </c>
      <c r="U431" s="32">
        <f>IFERROR(Table1_1[[#This Row],[Profit/loss]]/Table1_1[[#This Row],[Sales Amount]],0)</f>
        <v>0.32592300632602356</v>
      </c>
    </row>
    <row r="432" spans="1:21" ht="18" x14ac:dyDescent="0.35">
      <c r="A432" s="21" t="s">
        <v>539</v>
      </c>
      <c r="B432" s="36">
        <v>45513</v>
      </c>
      <c r="C432" s="22">
        <f>YEAR(Table1_1[[#This Row],[Order Date]])</f>
        <v>2024</v>
      </c>
      <c r="D432" s="22" t="str">
        <f>TEXT(Table1_1[[#This Row],[Order Date]],"MMMM")</f>
        <v>August</v>
      </c>
      <c r="E432" s="22" t="s">
        <v>48</v>
      </c>
      <c r="F432" s="22" t="s">
        <v>49</v>
      </c>
      <c r="G432" s="22" t="s">
        <v>28</v>
      </c>
      <c r="H432" s="22" t="s">
        <v>19</v>
      </c>
      <c r="I432" s="22" t="s">
        <v>70</v>
      </c>
      <c r="J432" s="22" t="s">
        <v>71</v>
      </c>
      <c r="K432" s="22" t="s">
        <v>72</v>
      </c>
      <c r="L432" s="22" t="s">
        <v>33</v>
      </c>
      <c r="M432" s="22" t="s">
        <v>78</v>
      </c>
      <c r="N432" s="22">
        <v>4</v>
      </c>
      <c r="O432" s="26">
        <v>3499</v>
      </c>
      <c r="P432" s="22">
        <v>0.15</v>
      </c>
      <c r="Q432" s="30">
        <v>2190</v>
      </c>
      <c r="R432" s="33">
        <f>Table1_1[[#This Row],[Units Sold]]*Table1_1[[#This Row],[Unit Price]]*1-Table1_1[[#This Row],[Discount]]</f>
        <v>13995.85</v>
      </c>
      <c r="S432" s="33">
        <f>Table1_1[[#This Row],[Units Sold]]*Table1_1[[#This Row],[Unit Cost]]</f>
        <v>8760</v>
      </c>
      <c r="T432" s="33">
        <f>Table1_1[[#This Row],[Sales Amount]]-S432</f>
        <v>5235.8500000000004</v>
      </c>
      <c r="U432" s="32">
        <f>IFERROR(Table1_1[[#This Row],[Profit/loss]]/Table1_1[[#This Row],[Sales Amount]],0)</f>
        <v>0.37410017969612425</v>
      </c>
    </row>
    <row r="433" spans="1:21" ht="18" x14ac:dyDescent="0.35">
      <c r="A433" s="21" t="s">
        <v>540</v>
      </c>
      <c r="B433" s="36">
        <v>45513</v>
      </c>
      <c r="C433" s="22">
        <f>YEAR(Table1_1[[#This Row],[Order Date]])</f>
        <v>2024</v>
      </c>
      <c r="D433" s="22" t="str">
        <f>TEXT(Table1_1[[#This Row],[Order Date]],"MMMM")</f>
        <v>August</v>
      </c>
      <c r="E433" s="22" t="s">
        <v>82</v>
      </c>
      <c r="F433" s="22" t="s">
        <v>100</v>
      </c>
      <c r="G433" s="22" t="s">
        <v>75</v>
      </c>
      <c r="H433" s="22" t="s">
        <v>39</v>
      </c>
      <c r="I433" s="22" t="s">
        <v>20</v>
      </c>
      <c r="J433" s="22" t="s">
        <v>45</v>
      </c>
      <c r="K433" s="22" t="s">
        <v>196</v>
      </c>
      <c r="L433" s="22" t="s">
        <v>23</v>
      </c>
      <c r="M433" s="22" t="s">
        <v>78</v>
      </c>
      <c r="N433" s="22">
        <v>6</v>
      </c>
      <c r="O433" s="26">
        <v>2499</v>
      </c>
      <c r="P433" s="22">
        <v>0.08</v>
      </c>
      <c r="Q433" s="30">
        <v>1510</v>
      </c>
      <c r="R433" s="33">
        <f>Table1_1[[#This Row],[Units Sold]]*Table1_1[[#This Row],[Unit Price]]*1-Table1_1[[#This Row],[Discount]]</f>
        <v>14993.92</v>
      </c>
      <c r="S433" s="33">
        <f>Table1_1[[#This Row],[Units Sold]]*Table1_1[[#This Row],[Unit Cost]]</f>
        <v>9060</v>
      </c>
      <c r="T433" s="33">
        <f>Table1_1[[#This Row],[Sales Amount]]-S433</f>
        <v>5933.92</v>
      </c>
      <c r="U433" s="32">
        <f>IFERROR(Table1_1[[#This Row],[Profit/loss]]/Table1_1[[#This Row],[Sales Amount]],0)</f>
        <v>0.3957550793921803</v>
      </c>
    </row>
    <row r="434" spans="1:21" ht="18" x14ac:dyDescent="0.35">
      <c r="A434" s="21" t="s">
        <v>541</v>
      </c>
      <c r="B434" s="36">
        <v>45514</v>
      </c>
      <c r="C434" s="22">
        <f>YEAR(Table1_1[[#This Row],[Order Date]])</f>
        <v>2024</v>
      </c>
      <c r="D434" s="22" t="str">
        <f>TEXT(Table1_1[[#This Row],[Order Date]],"MMMM")</f>
        <v>August</v>
      </c>
      <c r="E434" s="22" t="s">
        <v>36</v>
      </c>
      <c r="F434" s="22" t="s">
        <v>44</v>
      </c>
      <c r="G434" s="22" t="s">
        <v>60</v>
      </c>
      <c r="H434" s="22" t="s">
        <v>39</v>
      </c>
      <c r="I434" s="22" t="s">
        <v>20</v>
      </c>
      <c r="J434" s="22" t="s">
        <v>45</v>
      </c>
      <c r="K434" s="22" t="s">
        <v>1622</v>
      </c>
      <c r="L434" s="22" t="s">
        <v>33</v>
      </c>
      <c r="M434" s="22" t="s">
        <v>66</v>
      </c>
      <c r="N434" s="22">
        <v>23</v>
      </c>
      <c r="O434" s="26">
        <v>1599</v>
      </c>
      <c r="P434" s="22">
        <v>0.15</v>
      </c>
      <c r="Q434" s="30">
        <v>920</v>
      </c>
      <c r="R434" s="33">
        <f>Table1_1[[#This Row],[Units Sold]]*Table1_1[[#This Row],[Unit Price]]*1-Table1_1[[#This Row],[Discount]]</f>
        <v>36776.85</v>
      </c>
      <c r="S434" s="33">
        <f>Table1_1[[#This Row],[Units Sold]]*Table1_1[[#This Row],[Unit Cost]]</f>
        <v>21160</v>
      </c>
      <c r="T434" s="33">
        <f>Table1_1[[#This Row],[Sales Amount]]-S434</f>
        <v>15616.849999999999</v>
      </c>
      <c r="U434" s="32">
        <f>IFERROR(Table1_1[[#This Row],[Profit/loss]]/Table1_1[[#This Row],[Sales Amount]],0)</f>
        <v>0.42463805355814865</v>
      </c>
    </row>
    <row r="435" spans="1:21" ht="18" x14ac:dyDescent="0.35">
      <c r="A435" s="21" t="s">
        <v>542</v>
      </c>
      <c r="B435" s="36">
        <v>45514</v>
      </c>
      <c r="C435" s="22">
        <f>YEAR(Table1_1[[#This Row],[Order Date]])</f>
        <v>2024</v>
      </c>
      <c r="D435" s="22" t="str">
        <f>TEXT(Table1_1[[#This Row],[Order Date]],"MMMM")</f>
        <v>August</v>
      </c>
      <c r="E435" s="22" t="s">
        <v>36</v>
      </c>
      <c r="F435" s="22" t="s">
        <v>44</v>
      </c>
      <c r="G435" s="22" t="s">
        <v>28</v>
      </c>
      <c r="H435" s="22" t="s">
        <v>19</v>
      </c>
      <c r="I435" s="22" t="s">
        <v>40</v>
      </c>
      <c r="J435" s="22" t="s">
        <v>64</v>
      </c>
      <c r="K435" s="22" t="s">
        <v>1629</v>
      </c>
      <c r="L435" s="22" t="s">
        <v>23</v>
      </c>
      <c r="M435" s="22" t="s">
        <v>24</v>
      </c>
      <c r="N435" s="22">
        <v>16</v>
      </c>
      <c r="O435" s="26">
        <v>3299</v>
      </c>
      <c r="P435" s="22">
        <v>0.1</v>
      </c>
      <c r="Q435" s="30">
        <v>2050</v>
      </c>
      <c r="R435" s="33">
        <f>Table1_1[[#This Row],[Units Sold]]*Table1_1[[#This Row],[Unit Price]]*1-Table1_1[[#This Row],[Discount]]</f>
        <v>52783.9</v>
      </c>
      <c r="S435" s="33">
        <f>Table1_1[[#This Row],[Units Sold]]*Table1_1[[#This Row],[Unit Cost]]</f>
        <v>32800</v>
      </c>
      <c r="T435" s="33">
        <f>Table1_1[[#This Row],[Sales Amount]]-S435</f>
        <v>19983.900000000001</v>
      </c>
      <c r="U435" s="32">
        <f>IFERROR(Table1_1[[#This Row],[Profit/loss]]/Table1_1[[#This Row],[Sales Amount]],0)</f>
        <v>0.37859839837526216</v>
      </c>
    </row>
    <row r="436" spans="1:21" ht="18" x14ac:dyDescent="0.35">
      <c r="A436" s="21" t="s">
        <v>543</v>
      </c>
      <c r="B436" s="36">
        <v>45516</v>
      </c>
      <c r="C436" s="22">
        <f>YEAR(Table1_1[[#This Row],[Order Date]])</f>
        <v>2024</v>
      </c>
      <c r="D436" s="22" t="str">
        <f>TEXT(Table1_1[[#This Row],[Order Date]],"MMMM")</f>
        <v>August</v>
      </c>
      <c r="E436" s="22" t="s">
        <v>36</v>
      </c>
      <c r="F436" s="22" t="s">
        <v>121</v>
      </c>
      <c r="G436" s="22" t="s">
        <v>38</v>
      </c>
      <c r="H436" s="22" t="s">
        <v>19</v>
      </c>
      <c r="I436" s="22" t="s">
        <v>54</v>
      </c>
      <c r="J436" s="22" t="s">
        <v>90</v>
      </c>
      <c r="K436" s="22" t="s">
        <v>1625</v>
      </c>
      <c r="L436" s="22" t="s">
        <v>33</v>
      </c>
      <c r="M436" s="22" t="s">
        <v>24</v>
      </c>
      <c r="N436" s="22">
        <v>19</v>
      </c>
      <c r="O436" s="26">
        <v>32800</v>
      </c>
      <c r="P436" s="22">
        <v>0.08</v>
      </c>
      <c r="Q436" s="30">
        <v>23100</v>
      </c>
      <c r="R436" s="33">
        <f>Table1_1[[#This Row],[Units Sold]]*Table1_1[[#This Row],[Unit Price]]*1-Table1_1[[#This Row],[Discount]]</f>
        <v>623199.92000000004</v>
      </c>
      <c r="S436" s="33">
        <f>Table1_1[[#This Row],[Units Sold]]*Table1_1[[#This Row],[Unit Cost]]</f>
        <v>438900</v>
      </c>
      <c r="T436" s="33">
        <f>Table1_1[[#This Row],[Sales Amount]]-S436</f>
        <v>184299.92000000004</v>
      </c>
      <c r="U436" s="32">
        <f>IFERROR(Table1_1[[#This Row],[Profit/loss]]/Table1_1[[#This Row],[Sales Amount]],0)</f>
        <v>0.29573161691034883</v>
      </c>
    </row>
    <row r="437" spans="1:21" ht="18" x14ac:dyDescent="0.35">
      <c r="A437" s="21" t="s">
        <v>544</v>
      </c>
      <c r="B437" s="36">
        <v>45516</v>
      </c>
      <c r="C437" s="22">
        <f>YEAR(Table1_1[[#This Row],[Order Date]])</f>
        <v>2024</v>
      </c>
      <c r="D437" s="22" t="str">
        <f>TEXT(Table1_1[[#This Row],[Order Date]],"MMMM")</f>
        <v>August</v>
      </c>
      <c r="E437" s="22" t="s">
        <v>16</v>
      </c>
      <c r="F437" s="22" t="s">
        <v>17</v>
      </c>
      <c r="G437" s="22" t="s">
        <v>50</v>
      </c>
      <c r="H437" s="22" t="s">
        <v>19</v>
      </c>
      <c r="I437" s="22" t="s">
        <v>54</v>
      </c>
      <c r="J437" s="22" t="s">
        <v>55</v>
      </c>
      <c r="K437" s="22" t="s">
        <v>148</v>
      </c>
      <c r="L437" s="22" t="s">
        <v>23</v>
      </c>
      <c r="M437" s="22" t="s">
        <v>78</v>
      </c>
      <c r="N437" s="22">
        <v>11</v>
      </c>
      <c r="O437" s="26">
        <v>4680</v>
      </c>
      <c r="P437" s="22">
        <v>0.18</v>
      </c>
      <c r="Q437" s="30">
        <v>3250</v>
      </c>
      <c r="R437" s="33">
        <f>Table1_1[[#This Row],[Units Sold]]*Table1_1[[#This Row],[Unit Price]]*1-Table1_1[[#This Row],[Discount]]</f>
        <v>51479.82</v>
      </c>
      <c r="S437" s="33">
        <f>Table1_1[[#This Row],[Units Sold]]*Table1_1[[#This Row],[Unit Cost]]</f>
        <v>35750</v>
      </c>
      <c r="T437" s="33">
        <f>Table1_1[[#This Row],[Sales Amount]]-S437</f>
        <v>15729.82</v>
      </c>
      <c r="U437" s="32">
        <f>IFERROR(Table1_1[[#This Row],[Profit/loss]]/Table1_1[[#This Row],[Sales Amount]],0)</f>
        <v>0.30555312741963742</v>
      </c>
    </row>
    <row r="438" spans="1:21" ht="18" x14ac:dyDescent="0.35">
      <c r="A438" s="21" t="s">
        <v>545</v>
      </c>
      <c r="B438" s="36">
        <v>45517</v>
      </c>
      <c r="C438" s="22">
        <f>YEAR(Table1_1[[#This Row],[Order Date]])</f>
        <v>2024</v>
      </c>
      <c r="D438" s="22" t="str">
        <f>TEXT(Table1_1[[#This Row],[Order Date]],"MMMM")</f>
        <v>August</v>
      </c>
      <c r="E438" s="22" t="s">
        <v>48</v>
      </c>
      <c r="F438" s="22" t="s">
        <v>68</v>
      </c>
      <c r="G438" s="22" t="s">
        <v>60</v>
      </c>
      <c r="H438" s="22" t="s">
        <v>39</v>
      </c>
      <c r="I438" s="22" t="s">
        <v>20</v>
      </c>
      <c r="J438" s="22" t="s">
        <v>21</v>
      </c>
      <c r="K438" s="22" t="s">
        <v>115</v>
      </c>
      <c r="L438" s="22" t="s">
        <v>23</v>
      </c>
      <c r="M438" s="22" t="s">
        <v>24</v>
      </c>
      <c r="N438" s="22">
        <v>31</v>
      </c>
      <c r="O438" s="26">
        <v>6499</v>
      </c>
      <c r="P438" s="22">
        <v>0.12</v>
      </c>
      <c r="Q438" s="30">
        <v>4210</v>
      </c>
      <c r="R438" s="33">
        <f>Table1_1[[#This Row],[Units Sold]]*Table1_1[[#This Row],[Unit Price]]*1-Table1_1[[#This Row],[Discount]]</f>
        <v>201468.88</v>
      </c>
      <c r="S438" s="33">
        <f>Table1_1[[#This Row],[Units Sold]]*Table1_1[[#This Row],[Unit Cost]]</f>
        <v>130510</v>
      </c>
      <c r="T438" s="33">
        <f>Table1_1[[#This Row],[Sales Amount]]-S438</f>
        <v>70958.880000000005</v>
      </c>
      <c r="U438" s="32">
        <f>IFERROR(Table1_1[[#This Row],[Profit/loss]]/Table1_1[[#This Row],[Sales Amount]],0)</f>
        <v>0.35220764616351669</v>
      </c>
    </row>
    <row r="439" spans="1:21" ht="18" x14ac:dyDescent="0.35">
      <c r="A439" s="21" t="s">
        <v>546</v>
      </c>
      <c r="B439" s="36">
        <v>45517</v>
      </c>
      <c r="C439" s="22">
        <f>YEAR(Table1_1[[#This Row],[Order Date]])</f>
        <v>2024</v>
      </c>
      <c r="D439" s="22" t="str">
        <f>TEXT(Table1_1[[#This Row],[Order Date]],"MMMM")</f>
        <v>August</v>
      </c>
      <c r="E439" s="22" t="s">
        <v>82</v>
      </c>
      <c r="F439" s="22" t="s">
        <v>83</v>
      </c>
      <c r="G439" s="22" t="s">
        <v>105</v>
      </c>
      <c r="H439" s="22" t="s">
        <v>29</v>
      </c>
      <c r="I439" s="22" t="s">
        <v>30</v>
      </c>
      <c r="J439" s="22" t="s">
        <v>31</v>
      </c>
      <c r="K439" s="22" t="s">
        <v>85</v>
      </c>
      <c r="L439" s="22" t="s">
        <v>57</v>
      </c>
      <c r="M439" s="22" t="s">
        <v>34</v>
      </c>
      <c r="N439" s="22">
        <v>26</v>
      </c>
      <c r="O439" s="26">
        <v>43500</v>
      </c>
      <c r="P439" s="22">
        <v>0.18</v>
      </c>
      <c r="Q439" s="30">
        <v>29520</v>
      </c>
      <c r="R439" s="33">
        <f>Table1_1[[#This Row],[Units Sold]]*Table1_1[[#This Row],[Unit Price]]*1-Table1_1[[#This Row],[Discount]]</f>
        <v>1130999.82</v>
      </c>
      <c r="S439" s="33">
        <f>Table1_1[[#This Row],[Units Sold]]*Table1_1[[#This Row],[Unit Cost]]</f>
        <v>767520</v>
      </c>
      <c r="T439" s="33">
        <f>Table1_1[[#This Row],[Sales Amount]]-S439</f>
        <v>363479.82000000007</v>
      </c>
      <c r="U439" s="32">
        <f>IFERROR(Table1_1[[#This Row],[Profit/loss]]/Table1_1[[#This Row],[Sales Amount]],0)</f>
        <v>0.32137920234151768</v>
      </c>
    </row>
    <row r="440" spans="1:21" ht="18" x14ac:dyDescent="0.35">
      <c r="A440" s="21" t="s">
        <v>547</v>
      </c>
      <c r="B440" s="36">
        <v>45517</v>
      </c>
      <c r="C440" s="22">
        <f>YEAR(Table1_1[[#This Row],[Order Date]])</f>
        <v>2024</v>
      </c>
      <c r="D440" s="22" t="str">
        <f>TEXT(Table1_1[[#This Row],[Order Date]],"MMMM")</f>
        <v>August</v>
      </c>
      <c r="E440" s="22" t="s">
        <v>36</v>
      </c>
      <c r="F440" s="22" t="s">
        <v>44</v>
      </c>
      <c r="G440" s="22" t="s">
        <v>60</v>
      </c>
      <c r="H440" s="22" t="s">
        <v>39</v>
      </c>
      <c r="I440" s="22" t="s">
        <v>54</v>
      </c>
      <c r="J440" s="22" t="s">
        <v>55</v>
      </c>
      <c r="K440" s="22" t="s">
        <v>1623</v>
      </c>
      <c r="L440" s="22" t="s">
        <v>23</v>
      </c>
      <c r="M440" s="22" t="s">
        <v>24</v>
      </c>
      <c r="N440" s="22">
        <v>13</v>
      </c>
      <c r="O440" s="26">
        <v>5890</v>
      </c>
      <c r="P440" s="22">
        <v>0.05</v>
      </c>
      <c r="Q440" s="30">
        <v>3980</v>
      </c>
      <c r="R440" s="33">
        <f>Table1_1[[#This Row],[Units Sold]]*Table1_1[[#This Row],[Unit Price]]*1-Table1_1[[#This Row],[Discount]]</f>
        <v>76569.95</v>
      </c>
      <c r="S440" s="33">
        <f>Table1_1[[#This Row],[Units Sold]]*Table1_1[[#This Row],[Unit Cost]]</f>
        <v>51740</v>
      </c>
      <c r="T440" s="33">
        <f>Table1_1[[#This Row],[Sales Amount]]-S440</f>
        <v>24829.949999999997</v>
      </c>
      <c r="U440" s="32">
        <f>IFERROR(Table1_1[[#This Row],[Profit/loss]]/Table1_1[[#This Row],[Sales Amount]],0)</f>
        <v>0.32427799678594538</v>
      </c>
    </row>
    <row r="441" spans="1:21" ht="18" x14ac:dyDescent="0.35">
      <c r="A441" s="21" t="s">
        <v>548</v>
      </c>
      <c r="B441" s="36">
        <v>45518</v>
      </c>
      <c r="C441" s="22">
        <f>YEAR(Table1_1[[#This Row],[Order Date]])</f>
        <v>2024</v>
      </c>
      <c r="D441" s="22" t="str">
        <f>TEXT(Table1_1[[#This Row],[Order Date]],"MMMM")</f>
        <v>August</v>
      </c>
      <c r="E441" s="22" t="s">
        <v>48</v>
      </c>
      <c r="F441" s="22" t="s">
        <v>93</v>
      </c>
      <c r="G441" s="22" t="s">
        <v>60</v>
      </c>
      <c r="H441" s="22" t="s">
        <v>29</v>
      </c>
      <c r="I441" s="22" t="s">
        <v>30</v>
      </c>
      <c r="J441" s="22" t="s">
        <v>31</v>
      </c>
      <c r="K441" s="22" t="s">
        <v>85</v>
      </c>
      <c r="L441" s="22" t="s">
        <v>33</v>
      </c>
      <c r="M441" s="22" t="s">
        <v>66</v>
      </c>
      <c r="N441" s="22">
        <v>16</v>
      </c>
      <c r="O441" s="26">
        <v>43500</v>
      </c>
      <c r="P441" s="22">
        <v>0.12</v>
      </c>
      <c r="Q441" s="30">
        <v>29520</v>
      </c>
      <c r="R441" s="33">
        <f>Table1_1[[#This Row],[Units Sold]]*Table1_1[[#This Row],[Unit Price]]*1-Table1_1[[#This Row],[Discount]]</f>
        <v>695999.88</v>
      </c>
      <c r="S441" s="33">
        <f>Table1_1[[#This Row],[Units Sold]]*Table1_1[[#This Row],[Unit Cost]]</f>
        <v>472320</v>
      </c>
      <c r="T441" s="33">
        <f>Table1_1[[#This Row],[Sales Amount]]-S441</f>
        <v>223679.88</v>
      </c>
      <c r="U441" s="32">
        <f>IFERROR(Table1_1[[#This Row],[Profit/loss]]/Table1_1[[#This Row],[Sales Amount]],0)</f>
        <v>0.32137919334124021</v>
      </c>
    </row>
    <row r="442" spans="1:21" ht="18" x14ac:dyDescent="0.35">
      <c r="A442" s="21" t="s">
        <v>549</v>
      </c>
      <c r="B442" s="36">
        <v>45518</v>
      </c>
      <c r="C442" s="22">
        <f>YEAR(Table1_1[[#This Row],[Order Date]])</f>
        <v>2024</v>
      </c>
      <c r="D442" s="22" t="str">
        <f>TEXT(Table1_1[[#This Row],[Order Date]],"MMMM")</f>
        <v>August</v>
      </c>
      <c r="E442" s="22" t="s">
        <v>82</v>
      </c>
      <c r="F442" s="22" t="s">
        <v>83</v>
      </c>
      <c r="G442" s="22" t="s">
        <v>38</v>
      </c>
      <c r="H442" s="22" t="s">
        <v>19</v>
      </c>
      <c r="I442" s="22" t="s">
        <v>30</v>
      </c>
      <c r="J442" s="22" t="s">
        <v>31</v>
      </c>
      <c r="K442" s="22" t="s">
        <v>106</v>
      </c>
      <c r="L442" s="22" t="s">
        <v>33</v>
      </c>
      <c r="M442" s="22" t="s">
        <v>78</v>
      </c>
      <c r="N442" s="22">
        <v>16</v>
      </c>
      <c r="O442" s="26">
        <v>52990</v>
      </c>
      <c r="P442" s="22">
        <v>0.2</v>
      </c>
      <c r="Q442" s="30">
        <v>35100</v>
      </c>
      <c r="R442" s="33">
        <f>Table1_1[[#This Row],[Units Sold]]*Table1_1[[#This Row],[Unit Price]]*1-Table1_1[[#This Row],[Discount]]</f>
        <v>847839.8</v>
      </c>
      <c r="S442" s="33">
        <f>Table1_1[[#This Row],[Units Sold]]*Table1_1[[#This Row],[Unit Cost]]</f>
        <v>561600</v>
      </c>
      <c r="T442" s="33">
        <f>Table1_1[[#This Row],[Sales Amount]]-S442</f>
        <v>286239.80000000005</v>
      </c>
      <c r="U442" s="32">
        <f>IFERROR(Table1_1[[#This Row],[Profit/loss]]/Table1_1[[#This Row],[Sales Amount]],0)</f>
        <v>0.33761071372209706</v>
      </c>
    </row>
    <row r="443" spans="1:21" ht="18" x14ac:dyDescent="0.35">
      <c r="A443" s="21" t="s">
        <v>550</v>
      </c>
      <c r="B443" s="36">
        <v>45519</v>
      </c>
      <c r="C443" s="22">
        <f>YEAR(Table1_1[[#This Row],[Order Date]])</f>
        <v>2024</v>
      </c>
      <c r="D443" s="22" t="str">
        <f>TEXT(Table1_1[[#This Row],[Order Date]],"MMMM")</f>
        <v>August</v>
      </c>
      <c r="E443" s="22" t="s">
        <v>82</v>
      </c>
      <c r="F443" s="22" t="s">
        <v>183</v>
      </c>
      <c r="G443" s="22" t="s">
        <v>50</v>
      </c>
      <c r="H443" s="22" t="s">
        <v>19</v>
      </c>
      <c r="I443" s="22" t="s">
        <v>40</v>
      </c>
      <c r="J443" s="22" t="s">
        <v>64</v>
      </c>
      <c r="K443" s="22" t="s">
        <v>1627</v>
      </c>
      <c r="L443" s="22" t="s">
        <v>57</v>
      </c>
      <c r="M443" s="22" t="s">
        <v>24</v>
      </c>
      <c r="N443" s="22">
        <v>36</v>
      </c>
      <c r="O443" s="26">
        <v>4490</v>
      </c>
      <c r="P443" s="22">
        <v>0.05</v>
      </c>
      <c r="Q443" s="30">
        <v>2950</v>
      </c>
      <c r="R443" s="33">
        <f>Table1_1[[#This Row],[Units Sold]]*Table1_1[[#This Row],[Unit Price]]*1-Table1_1[[#This Row],[Discount]]</f>
        <v>161639.95000000001</v>
      </c>
      <c r="S443" s="33">
        <f>Table1_1[[#This Row],[Units Sold]]*Table1_1[[#This Row],[Unit Cost]]</f>
        <v>106200</v>
      </c>
      <c r="T443" s="33">
        <f>Table1_1[[#This Row],[Sales Amount]]-S443</f>
        <v>55439.950000000012</v>
      </c>
      <c r="U443" s="32">
        <f>IFERROR(Table1_1[[#This Row],[Profit/loss]]/Table1_1[[#This Row],[Sales Amount]],0)</f>
        <v>0.34298420656527057</v>
      </c>
    </row>
    <row r="444" spans="1:21" ht="18" x14ac:dyDescent="0.35">
      <c r="A444" s="21" t="s">
        <v>551</v>
      </c>
      <c r="B444" s="36">
        <v>45520</v>
      </c>
      <c r="C444" s="22">
        <f>YEAR(Table1_1[[#This Row],[Order Date]])</f>
        <v>2024</v>
      </c>
      <c r="D444" s="22" t="str">
        <f>TEXT(Table1_1[[#This Row],[Order Date]],"MMMM")</f>
        <v>August</v>
      </c>
      <c r="E444" s="22" t="s">
        <v>36</v>
      </c>
      <c r="F444" s="22" t="s">
        <v>121</v>
      </c>
      <c r="G444" s="22" t="s">
        <v>38</v>
      </c>
      <c r="H444" s="22" t="s">
        <v>19</v>
      </c>
      <c r="I444" s="22" t="s">
        <v>30</v>
      </c>
      <c r="J444" s="22" t="s">
        <v>61</v>
      </c>
      <c r="K444" s="22" t="s">
        <v>96</v>
      </c>
      <c r="L444" s="22" t="s">
        <v>57</v>
      </c>
      <c r="M444" s="22" t="s">
        <v>66</v>
      </c>
      <c r="N444" s="22">
        <v>19</v>
      </c>
      <c r="O444" s="26">
        <v>25110</v>
      </c>
      <c r="P444" s="22">
        <v>0.1</v>
      </c>
      <c r="Q444" s="30">
        <v>16730</v>
      </c>
      <c r="R444" s="33">
        <f>Table1_1[[#This Row],[Units Sold]]*Table1_1[[#This Row],[Unit Price]]*1-Table1_1[[#This Row],[Discount]]</f>
        <v>477089.9</v>
      </c>
      <c r="S444" s="33">
        <f>Table1_1[[#This Row],[Units Sold]]*Table1_1[[#This Row],[Unit Cost]]</f>
        <v>317870</v>
      </c>
      <c r="T444" s="33">
        <f>Table1_1[[#This Row],[Sales Amount]]-S444</f>
        <v>159219.90000000002</v>
      </c>
      <c r="U444" s="32">
        <f>IFERROR(Table1_1[[#This Row],[Profit/loss]]/Table1_1[[#This Row],[Sales Amount]],0)</f>
        <v>0.33373144139081545</v>
      </c>
    </row>
    <row r="445" spans="1:21" ht="18" x14ac:dyDescent="0.35">
      <c r="A445" s="21" t="s">
        <v>552</v>
      </c>
      <c r="B445" s="36">
        <v>45520</v>
      </c>
      <c r="C445" s="22">
        <f>YEAR(Table1_1[[#This Row],[Order Date]])</f>
        <v>2024</v>
      </c>
      <c r="D445" s="22" t="str">
        <f>TEXT(Table1_1[[#This Row],[Order Date]],"MMMM")</f>
        <v>August</v>
      </c>
      <c r="E445" s="22" t="s">
        <v>16</v>
      </c>
      <c r="F445" s="22" t="s">
        <v>111</v>
      </c>
      <c r="G445" s="22" t="s">
        <v>101</v>
      </c>
      <c r="H445" s="22" t="s">
        <v>29</v>
      </c>
      <c r="I445" s="22" t="s">
        <v>40</v>
      </c>
      <c r="J445" s="22" t="s">
        <v>64</v>
      </c>
      <c r="K445" s="22" t="s">
        <v>1619</v>
      </c>
      <c r="L445" s="22" t="s">
        <v>23</v>
      </c>
      <c r="M445" s="22" t="s">
        <v>66</v>
      </c>
      <c r="N445" s="22">
        <v>10</v>
      </c>
      <c r="O445" s="26">
        <v>1930</v>
      </c>
      <c r="P445" s="22">
        <v>0.18</v>
      </c>
      <c r="Q445" s="30">
        <v>1120</v>
      </c>
      <c r="R445" s="33">
        <f>Table1_1[[#This Row],[Units Sold]]*Table1_1[[#This Row],[Unit Price]]*1-Table1_1[[#This Row],[Discount]]</f>
        <v>19299.82</v>
      </c>
      <c r="S445" s="33">
        <f>Table1_1[[#This Row],[Units Sold]]*Table1_1[[#This Row],[Unit Cost]]</f>
        <v>11200</v>
      </c>
      <c r="T445" s="33">
        <f>Table1_1[[#This Row],[Sales Amount]]-S445</f>
        <v>8099.82</v>
      </c>
      <c r="U445" s="32">
        <f>IFERROR(Table1_1[[#This Row],[Profit/loss]]/Table1_1[[#This Row],[Sales Amount]],0)</f>
        <v>0.41968370689467571</v>
      </c>
    </row>
    <row r="446" spans="1:21" ht="18" x14ac:dyDescent="0.35">
      <c r="A446" s="21" t="s">
        <v>553</v>
      </c>
      <c r="B446" s="36">
        <v>45521</v>
      </c>
      <c r="C446" s="22">
        <f>YEAR(Table1_1[[#This Row],[Order Date]])</f>
        <v>2024</v>
      </c>
      <c r="D446" s="22" t="str">
        <f>TEXT(Table1_1[[#This Row],[Order Date]],"MMMM")</f>
        <v>August</v>
      </c>
      <c r="E446" s="22" t="s">
        <v>36</v>
      </c>
      <c r="F446" s="22" t="s">
        <v>44</v>
      </c>
      <c r="G446" s="22" t="s">
        <v>50</v>
      </c>
      <c r="H446" s="22" t="s">
        <v>39</v>
      </c>
      <c r="I446" s="22" t="s">
        <v>40</v>
      </c>
      <c r="J446" s="22" t="s">
        <v>64</v>
      </c>
      <c r="K446" s="22" t="s">
        <v>1627</v>
      </c>
      <c r="L446" s="22" t="s">
        <v>23</v>
      </c>
      <c r="M446" s="22" t="s">
        <v>24</v>
      </c>
      <c r="N446" s="22">
        <v>6</v>
      </c>
      <c r="O446" s="26">
        <v>4490</v>
      </c>
      <c r="P446" s="22">
        <v>0.08</v>
      </c>
      <c r="Q446" s="30">
        <v>2950</v>
      </c>
      <c r="R446" s="33">
        <f>Table1_1[[#This Row],[Units Sold]]*Table1_1[[#This Row],[Unit Price]]*1-Table1_1[[#This Row],[Discount]]</f>
        <v>26939.919999999998</v>
      </c>
      <c r="S446" s="33">
        <f>Table1_1[[#This Row],[Units Sold]]*Table1_1[[#This Row],[Unit Cost]]</f>
        <v>17700</v>
      </c>
      <c r="T446" s="33">
        <f>Table1_1[[#This Row],[Sales Amount]]-S446</f>
        <v>9239.9199999999983</v>
      </c>
      <c r="U446" s="32">
        <f>IFERROR(Table1_1[[#This Row],[Profit/loss]]/Table1_1[[#This Row],[Sales Amount]],0)</f>
        <v>0.34298245874523753</v>
      </c>
    </row>
    <row r="447" spans="1:21" ht="18" x14ac:dyDescent="0.35">
      <c r="A447" s="21" t="s">
        <v>554</v>
      </c>
      <c r="B447" s="36">
        <v>45521</v>
      </c>
      <c r="C447" s="22">
        <f>YEAR(Table1_1[[#This Row],[Order Date]])</f>
        <v>2024</v>
      </c>
      <c r="D447" s="22" t="str">
        <f>TEXT(Table1_1[[#This Row],[Order Date]],"MMMM")</f>
        <v>August</v>
      </c>
      <c r="E447" s="22" t="s">
        <v>82</v>
      </c>
      <c r="F447" s="22" t="s">
        <v>87</v>
      </c>
      <c r="G447" s="22" t="s">
        <v>69</v>
      </c>
      <c r="H447" s="22" t="s">
        <v>19</v>
      </c>
      <c r="I447" s="22" t="s">
        <v>30</v>
      </c>
      <c r="J447" s="22" t="s">
        <v>61</v>
      </c>
      <c r="K447" s="22" t="s">
        <v>62</v>
      </c>
      <c r="L447" s="22" t="s">
        <v>57</v>
      </c>
      <c r="M447" s="22" t="s">
        <v>24</v>
      </c>
      <c r="N447" s="22">
        <v>19</v>
      </c>
      <c r="O447" s="26">
        <v>12490</v>
      </c>
      <c r="P447" s="22">
        <v>0.2</v>
      </c>
      <c r="Q447" s="30">
        <v>7900</v>
      </c>
      <c r="R447" s="33">
        <f>Table1_1[[#This Row],[Units Sold]]*Table1_1[[#This Row],[Unit Price]]*1-Table1_1[[#This Row],[Discount]]</f>
        <v>237309.8</v>
      </c>
      <c r="S447" s="33">
        <f>Table1_1[[#This Row],[Units Sold]]*Table1_1[[#This Row],[Unit Cost]]</f>
        <v>150100</v>
      </c>
      <c r="T447" s="33">
        <f>Table1_1[[#This Row],[Sales Amount]]-S447</f>
        <v>87209.799999999988</v>
      </c>
      <c r="U447" s="32">
        <f>IFERROR(Table1_1[[#This Row],[Profit/loss]]/Table1_1[[#This Row],[Sales Amount]],0)</f>
        <v>0.36749346213262157</v>
      </c>
    </row>
    <row r="448" spans="1:21" ht="18" x14ac:dyDescent="0.35">
      <c r="A448" s="21" t="s">
        <v>555</v>
      </c>
      <c r="B448" s="36">
        <v>45522</v>
      </c>
      <c r="C448" s="22">
        <f>YEAR(Table1_1[[#This Row],[Order Date]])</f>
        <v>2024</v>
      </c>
      <c r="D448" s="22" t="str">
        <f>TEXT(Table1_1[[#This Row],[Order Date]],"MMMM")</f>
        <v>August</v>
      </c>
      <c r="E448" s="22" t="s">
        <v>26</v>
      </c>
      <c r="F448" s="22" t="s">
        <v>53</v>
      </c>
      <c r="G448" s="22" t="s">
        <v>84</v>
      </c>
      <c r="H448" s="22" t="s">
        <v>19</v>
      </c>
      <c r="I448" s="22" t="s">
        <v>70</v>
      </c>
      <c r="J448" s="22" t="s">
        <v>71</v>
      </c>
      <c r="K448" s="22" t="s">
        <v>72</v>
      </c>
      <c r="L448" s="22" t="s">
        <v>33</v>
      </c>
      <c r="M448" s="22" t="s">
        <v>66</v>
      </c>
      <c r="N448" s="22">
        <v>18</v>
      </c>
      <c r="O448" s="26">
        <v>3499</v>
      </c>
      <c r="P448" s="22">
        <v>0.2</v>
      </c>
      <c r="Q448" s="30">
        <v>2190</v>
      </c>
      <c r="R448" s="33">
        <f>Table1_1[[#This Row],[Units Sold]]*Table1_1[[#This Row],[Unit Price]]*1-Table1_1[[#This Row],[Discount]]</f>
        <v>62981.8</v>
      </c>
      <c r="S448" s="33">
        <f>Table1_1[[#This Row],[Units Sold]]*Table1_1[[#This Row],[Unit Cost]]</f>
        <v>39420</v>
      </c>
      <c r="T448" s="33">
        <f>Table1_1[[#This Row],[Sales Amount]]-S448</f>
        <v>23561.800000000003</v>
      </c>
      <c r="U448" s="32">
        <f>IFERROR(Table1_1[[#This Row],[Profit/loss]]/Table1_1[[#This Row],[Sales Amount]],0)</f>
        <v>0.37410490014575642</v>
      </c>
    </row>
    <row r="449" spans="1:21" ht="18" x14ac:dyDescent="0.35">
      <c r="A449" s="21" t="s">
        <v>556</v>
      </c>
      <c r="B449" s="36">
        <v>45522</v>
      </c>
      <c r="C449" s="22">
        <f>YEAR(Table1_1[[#This Row],[Order Date]])</f>
        <v>2024</v>
      </c>
      <c r="D449" s="22" t="str">
        <f>TEXT(Table1_1[[#This Row],[Order Date]],"MMMM")</f>
        <v>August</v>
      </c>
      <c r="E449" s="22" t="s">
        <v>16</v>
      </c>
      <c r="F449" s="22" t="s">
        <v>111</v>
      </c>
      <c r="G449" s="22" t="s">
        <v>101</v>
      </c>
      <c r="H449" s="22" t="s">
        <v>39</v>
      </c>
      <c r="I449" s="22" t="s">
        <v>20</v>
      </c>
      <c r="J449" s="22" t="s">
        <v>45</v>
      </c>
      <c r="K449" s="22" t="s">
        <v>1622</v>
      </c>
      <c r="L449" s="22" t="s">
        <v>57</v>
      </c>
      <c r="M449" s="22" t="s">
        <v>66</v>
      </c>
      <c r="N449" s="22">
        <v>38</v>
      </c>
      <c r="O449" s="26">
        <v>1599</v>
      </c>
      <c r="P449" s="22">
        <v>0.15</v>
      </c>
      <c r="Q449" s="30">
        <v>920</v>
      </c>
      <c r="R449" s="33">
        <f>Table1_1[[#This Row],[Units Sold]]*Table1_1[[#This Row],[Unit Price]]*1-Table1_1[[#This Row],[Discount]]</f>
        <v>60761.85</v>
      </c>
      <c r="S449" s="33">
        <f>Table1_1[[#This Row],[Units Sold]]*Table1_1[[#This Row],[Unit Cost]]</f>
        <v>34960</v>
      </c>
      <c r="T449" s="33">
        <f>Table1_1[[#This Row],[Sales Amount]]-S449</f>
        <v>25801.85</v>
      </c>
      <c r="U449" s="32">
        <f>IFERROR(Table1_1[[#This Row],[Profit/loss]]/Table1_1[[#This Row],[Sales Amount]],0)</f>
        <v>0.42463897988622795</v>
      </c>
    </row>
    <row r="450" spans="1:21" ht="18" x14ac:dyDescent="0.35">
      <c r="A450" s="21" t="s">
        <v>557</v>
      </c>
      <c r="B450" s="36">
        <v>45522</v>
      </c>
      <c r="C450" s="22">
        <f>YEAR(Table1_1[[#This Row],[Order Date]])</f>
        <v>2024</v>
      </c>
      <c r="D450" s="22" t="str">
        <f>TEXT(Table1_1[[#This Row],[Order Date]],"MMMM")</f>
        <v>August</v>
      </c>
      <c r="E450" s="22" t="s">
        <v>48</v>
      </c>
      <c r="F450" s="22" t="s">
        <v>136</v>
      </c>
      <c r="G450" s="22" t="s">
        <v>28</v>
      </c>
      <c r="H450" s="22" t="s">
        <v>19</v>
      </c>
      <c r="I450" s="22" t="s">
        <v>40</v>
      </c>
      <c r="J450" s="22" t="s">
        <v>64</v>
      </c>
      <c r="K450" s="22" t="s">
        <v>1627</v>
      </c>
      <c r="L450" s="22" t="s">
        <v>57</v>
      </c>
      <c r="M450" s="22" t="s">
        <v>34</v>
      </c>
      <c r="N450" s="22">
        <v>35</v>
      </c>
      <c r="O450" s="26">
        <v>4490</v>
      </c>
      <c r="P450" s="22">
        <v>0.2</v>
      </c>
      <c r="Q450" s="30">
        <v>2950</v>
      </c>
      <c r="R450" s="33">
        <f>Table1_1[[#This Row],[Units Sold]]*Table1_1[[#This Row],[Unit Price]]*1-Table1_1[[#This Row],[Discount]]</f>
        <v>157149.79999999999</v>
      </c>
      <c r="S450" s="33">
        <f>Table1_1[[#This Row],[Units Sold]]*Table1_1[[#This Row],[Unit Cost]]</f>
        <v>103250</v>
      </c>
      <c r="T450" s="33">
        <f>Table1_1[[#This Row],[Sales Amount]]-S450</f>
        <v>53899.799999999988</v>
      </c>
      <c r="U450" s="32">
        <f>IFERROR(Table1_1[[#This Row],[Profit/loss]]/Table1_1[[#This Row],[Sales Amount]],0)</f>
        <v>0.34298357363483756</v>
      </c>
    </row>
    <row r="451" spans="1:21" ht="18" x14ac:dyDescent="0.35">
      <c r="A451" s="21" t="s">
        <v>558</v>
      </c>
      <c r="B451" s="36">
        <v>45523</v>
      </c>
      <c r="C451" s="22">
        <f>YEAR(Table1_1[[#This Row],[Order Date]])</f>
        <v>2024</v>
      </c>
      <c r="D451" s="22" t="str">
        <f>TEXT(Table1_1[[#This Row],[Order Date]],"MMMM")</f>
        <v>August</v>
      </c>
      <c r="E451" s="22" t="s">
        <v>36</v>
      </c>
      <c r="F451" s="22" t="s">
        <v>44</v>
      </c>
      <c r="G451" s="22" t="s">
        <v>84</v>
      </c>
      <c r="H451" s="22" t="s">
        <v>39</v>
      </c>
      <c r="I451" s="22" t="s">
        <v>40</v>
      </c>
      <c r="J451" s="22" t="s">
        <v>64</v>
      </c>
      <c r="K451" s="22" t="s">
        <v>1627</v>
      </c>
      <c r="L451" s="22" t="s">
        <v>23</v>
      </c>
      <c r="M451" s="22" t="s">
        <v>66</v>
      </c>
      <c r="N451" s="22">
        <v>14</v>
      </c>
      <c r="O451" s="26">
        <v>4490</v>
      </c>
      <c r="P451" s="22">
        <v>0.12</v>
      </c>
      <c r="Q451" s="30">
        <v>2950</v>
      </c>
      <c r="R451" s="33">
        <f>Table1_1[[#This Row],[Units Sold]]*Table1_1[[#This Row],[Unit Price]]*1-Table1_1[[#This Row],[Discount]]</f>
        <v>62859.88</v>
      </c>
      <c r="S451" s="33">
        <f>Table1_1[[#This Row],[Units Sold]]*Table1_1[[#This Row],[Unit Cost]]</f>
        <v>41300</v>
      </c>
      <c r="T451" s="33">
        <f>Table1_1[[#This Row],[Sales Amount]]-S451</f>
        <v>21559.879999999997</v>
      </c>
      <c r="U451" s="32">
        <f>IFERROR(Table1_1[[#This Row],[Profit/loss]]/Table1_1[[#This Row],[Sales Amount]],0)</f>
        <v>0.34298315555168096</v>
      </c>
    </row>
    <row r="452" spans="1:21" ht="18" x14ac:dyDescent="0.35">
      <c r="A452" s="21" t="s">
        <v>559</v>
      </c>
      <c r="B452" s="36">
        <v>45523</v>
      </c>
      <c r="C452" s="22">
        <f>YEAR(Table1_1[[#This Row],[Order Date]])</f>
        <v>2024</v>
      </c>
      <c r="D452" s="22" t="str">
        <f>TEXT(Table1_1[[#This Row],[Order Date]],"MMMM")</f>
        <v>August</v>
      </c>
      <c r="E452" s="22" t="s">
        <v>26</v>
      </c>
      <c r="F452" s="22" t="s">
        <v>163</v>
      </c>
      <c r="G452" s="22" t="s">
        <v>50</v>
      </c>
      <c r="H452" s="22" t="s">
        <v>29</v>
      </c>
      <c r="I452" s="22" t="s">
        <v>70</v>
      </c>
      <c r="J452" s="22" t="s">
        <v>71</v>
      </c>
      <c r="K452" s="22" t="s">
        <v>72</v>
      </c>
      <c r="L452" s="22" t="s">
        <v>23</v>
      </c>
      <c r="M452" s="22" t="s">
        <v>66</v>
      </c>
      <c r="N452" s="22">
        <v>17</v>
      </c>
      <c r="O452" s="26">
        <v>3499</v>
      </c>
      <c r="P452" s="22">
        <v>0.1</v>
      </c>
      <c r="Q452" s="30">
        <v>2190</v>
      </c>
      <c r="R452" s="33">
        <f>Table1_1[[#This Row],[Units Sold]]*Table1_1[[#This Row],[Unit Price]]*1-Table1_1[[#This Row],[Discount]]</f>
        <v>59482.9</v>
      </c>
      <c r="S452" s="33">
        <f>Table1_1[[#This Row],[Units Sold]]*Table1_1[[#This Row],[Unit Cost]]</f>
        <v>37230</v>
      </c>
      <c r="T452" s="33">
        <f>Table1_1[[#This Row],[Sales Amount]]-S452</f>
        <v>22252.9</v>
      </c>
      <c r="U452" s="32">
        <f>IFERROR(Table1_1[[#This Row],[Profit/loss]]/Table1_1[[#This Row],[Sales Amount]],0)</f>
        <v>0.37410583545859399</v>
      </c>
    </row>
    <row r="453" spans="1:21" ht="18" x14ac:dyDescent="0.35">
      <c r="A453" s="21" t="s">
        <v>560</v>
      </c>
      <c r="B453" s="36">
        <v>45524</v>
      </c>
      <c r="C453" s="22">
        <f>YEAR(Table1_1[[#This Row],[Order Date]])</f>
        <v>2024</v>
      </c>
      <c r="D453" s="22" t="str">
        <f>TEXT(Table1_1[[#This Row],[Order Date]],"MMMM")</f>
        <v>August</v>
      </c>
      <c r="E453" s="22" t="s">
        <v>16</v>
      </c>
      <c r="F453" s="22" t="s">
        <v>98</v>
      </c>
      <c r="G453" s="22" t="s">
        <v>105</v>
      </c>
      <c r="H453" s="22" t="s">
        <v>39</v>
      </c>
      <c r="I453" s="22" t="s">
        <v>30</v>
      </c>
      <c r="J453" s="22" t="s">
        <v>61</v>
      </c>
      <c r="K453" s="22" t="s">
        <v>186</v>
      </c>
      <c r="L453" s="22" t="s">
        <v>57</v>
      </c>
      <c r="M453" s="22" t="s">
        <v>24</v>
      </c>
      <c r="N453" s="22">
        <v>8</v>
      </c>
      <c r="O453" s="26">
        <v>6999</v>
      </c>
      <c r="P453" s="22">
        <v>0.2</v>
      </c>
      <c r="Q453" s="30">
        <v>4320</v>
      </c>
      <c r="R453" s="33">
        <f>Table1_1[[#This Row],[Units Sold]]*Table1_1[[#This Row],[Unit Price]]*1-Table1_1[[#This Row],[Discount]]</f>
        <v>55991.8</v>
      </c>
      <c r="S453" s="33">
        <f>Table1_1[[#This Row],[Units Sold]]*Table1_1[[#This Row],[Unit Cost]]</f>
        <v>34560</v>
      </c>
      <c r="T453" s="33">
        <f>Table1_1[[#This Row],[Sales Amount]]-S453</f>
        <v>21431.800000000003</v>
      </c>
      <c r="U453" s="32">
        <f>IFERROR(Table1_1[[#This Row],[Profit/loss]]/Table1_1[[#This Row],[Sales Amount]],0)</f>
        <v>0.38276676227590473</v>
      </c>
    </row>
    <row r="454" spans="1:21" ht="18" x14ac:dyDescent="0.35">
      <c r="A454" s="21" t="s">
        <v>561</v>
      </c>
      <c r="B454" s="36">
        <v>45524</v>
      </c>
      <c r="C454" s="22">
        <f>YEAR(Table1_1[[#This Row],[Order Date]])</f>
        <v>2024</v>
      </c>
      <c r="D454" s="22" t="str">
        <f>TEXT(Table1_1[[#This Row],[Order Date]],"MMMM")</f>
        <v>August</v>
      </c>
      <c r="E454" s="22" t="s">
        <v>26</v>
      </c>
      <c r="F454" s="22" t="s">
        <v>53</v>
      </c>
      <c r="G454" s="22" t="s">
        <v>101</v>
      </c>
      <c r="H454" s="22" t="s">
        <v>29</v>
      </c>
      <c r="I454" s="22" t="s">
        <v>40</v>
      </c>
      <c r="J454" s="22" t="s">
        <v>76</v>
      </c>
      <c r="K454" s="22" t="s">
        <v>1620</v>
      </c>
      <c r="L454" s="22" t="s">
        <v>23</v>
      </c>
      <c r="M454" s="22" t="s">
        <v>24</v>
      </c>
      <c r="N454" s="22">
        <v>22</v>
      </c>
      <c r="O454" s="26">
        <v>52990</v>
      </c>
      <c r="P454" s="22">
        <v>0.1</v>
      </c>
      <c r="Q454" s="30">
        <v>39500</v>
      </c>
      <c r="R454" s="33">
        <f>Table1_1[[#This Row],[Units Sold]]*Table1_1[[#This Row],[Unit Price]]*1-Table1_1[[#This Row],[Discount]]</f>
        <v>1165779.8999999999</v>
      </c>
      <c r="S454" s="33">
        <f>Table1_1[[#This Row],[Units Sold]]*Table1_1[[#This Row],[Unit Cost]]</f>
        <v>869000</v>
      </c>
      <c r="T454" s="33">
        <f>Table1_1[[#This Row],[Sales Amount]]-S454</f>
        <v>296779.89999999991</v>
      </c>
      <c r="U454" s="32">
        <f>IFERROR(Table1_1[[#This Row],[Profit/loss]]/Table1_1[[#This Row],[Sales Amount]],0)</f>
        <v>0.2545762712155184</v>
      </c>
    </row>
    <row r="455" spans="1:21" ht="18" x14ac:dyDescent="0.35">
      <c r="A455" s="21" t="s">
        <v>562</v>
      </c>
      <c r="B455" s="36">
        <v>45524</v>
      </c>
      <c r="C455" s="22">
        <f>YEAR(Table1_1[[#This Row],[Order Date]])</f>
        <v>2024</v>
      </c>
      <c r="D455" s="22" t="str">
        <f>TEXT(Table1_1[[#This Row],[Order Date]],"MMMM")</f>
        <v>August</v>
      </c>
      <c r="E455" s="22" t="s">
        <v>26</v>
      </c>
      <c r="F455" s="22" t="s">
        <v>53</v>
      </c>
      <c r="G455" s="22" t="s">
        <v>84</v>
      </c>
      <c r="H455" s="22" t="s">
        <v>29</v>
      </c>
      <c r="I455" s="22" t="s">
        <v>20</v>
      </c>
      <c r="J455" s="22" t="s">
        <v>45</v>
      </c>
      <c r="K455" s="22" t="s">
        <v>196</v>
      </c>
      <c r="L455" s="22" t="s">
        <v>23</v>
      </c>
      <c r="M455" s="22" t="s">
        <v>34</v>
      </c>
      <c r="N455" s="22">
        <v>40</v>
      </c>
      <c r="O455" s="26">
        <v>2499</v>
      </c>
      <c r="P455" s="22">
        <v>0.08</v>
      </c>
      <c r="Q455" s="30">
        <v>1510</v>
      </c>
      <c r="R455" s="33">
        <f>Table1_1[[#This Row],[Units Sold]]*Table1_1[[#This Row],[Unit Price]]*1-Table1_1[[#This Row],[Discount]]</f>
        <v>99959.92</v>
      </c>
      <c r="S455" s="33">
        <f>Table1_1[[#This Row],[Units Sold]]*Table1_1[[#This Row],[Unit Cost]]</f>
        <v>60400</v>
      </c>
      <c r="T455" s="33">
        <f>Table1_1[[#This Row],[Sales Amount]]-S455</f>
        <v>39559.919999999998</v>
      </c>
      <c r="U455" s="32">
        <f>IFERROR(Table1_1[[#This Row],[Profit/loss]]/Table1_1[[#This Row],[Sales Amount]],0)</f>
        <v>0.39575781973414942</v>
      </c>
    </row>
    <row r="456" spans="1:21" ht="18" x14ac:dyDescent="0.35">
      <c r="A456" s="21" t="s">
        <v>563</v>
      </c>
      <c r="B456" s="36">
        <v>45524</v>
      </c>
      <c r="C456" s="22">
        <f>YEAR(Table1_1[[#This Row],[Order Date]])</f>
        <v>2024</v>
      </c>
      <c r="D456" s="22" t="str">
        <f>TEXT(Table1_1[[#This Row],[Order Date]],"MMMM")</f>
        <v>August</v>
      </c>
      <c r="E456" s="22" t="s">
        <v>26</v>
      </c>
      <c r="F456" s="22" t="s">
        <v>53</v>
      </c>
      <c r="G456" s="22" t="s">
        <v>84</v>
      </c>
      <c r="H456" s="22" t="s">
        <v>19</v>
      </c>
      <c r="I456" s="22" t="s">
        <v>70</v>
      </c>
      <c r="J456" s="22" t="s">
        <v>71</v>
      </c>
      <c r="K456" s="22" t="s">
        <v>80</v>
      </c>
      <c r="L456" s="22" t="s">
        <v>57</v>
      </c>
      <c r="M456" s="22" t="s">
        <v>24</v>
      </c>
      <c r="N456" s="22">
        <v>14</v>
      </c>
      <c r="O456" s="26">
        <v>1299</v>
      </c>
      <c r="P456" s="22">
        <v>0.15</v>
      </c>
      <c r="Q456" s="30">
        <v>720</v>
      </c>
      <c r="R456" s="33">
        <f>Table1_1[[#This Row],[Units Sold]]*Table1_1[[#This Row],[Unit Price]]*1-Table1_1[[#This Row],[Discount]]</f>
        <v>18185.849999999999</v>
      </c>
      <c r="S456" s="33">
        <f>Table1_1[[#This Row],[Units Sold]]*Table1_1[[#This Row],[Unit Cost]]</f>
        <v>10080</v>
      </c>
      <c r="T456" s="33">
        <f>Table1_1[[#This Row],[Sales Amount]]-S456</f>
        <v>8105.8499999999985</v>
      </c>
      <c r="U456" s="32">
        <f>IFERROR(Table1_1[[#This Row],[Profit/loss]]/Table1_1[[#This Row],[Sales Amount]],0)</f>
        <v>0.44572291094449801</v>
      </c>
    </row>
    <row r="457" spans="1:21" ht="18" x14ac:dyDescent="0.35">
      <c r="A457" s="21" t="s">
        <v>564</v>
      </c>
      <c r="B457" s="36">
        <v>45524</v>
      </c>
      <c r="C457" s="22">
        <f>YEAR(Table1_1[[#This Row],[Order Date]])</f>
        <v>2024</v>
      </c>
      <c r="D457" s="22" t="str">
        <f>TEXT(Table1_1[[#This Row],[Order Date]],"MMMM")</f>
        <v>August</v>
      </c>
      <c r="E457" s="22" t="s">
        <v>36</v>
      </c>
      <c r="F457" s="22" t="s">
        <v>59</v>
      </c>
      <c r="G457" s="22" t="s">
        <v>60</v>
      </c>
      <c r="H457" s="22" t="s">
        <v>29</v>
      </c>
      <c r="I457" s="22" t="s">
        <v>30</v>
      </c>
      <c r="J457" s="22" t="s">
        <v>61</v>
      </c>
      <c r="K457" s="22" t="s">
        <v>62</v>
      </c>
      <c r="L457" s="22" t="s">
        <v>33</v>
      </c>
      <c r="M457" s="22" t="s">
        <v>24</v>
      </c>
      <c r="N457" s="22">
        <v>34</v>
      </c>
      <c r="O457" s="26">
        <v>12490</v>
      </c>
      <c r="P457" s="22">
        <v>0.12</v>
      </c>
      <c r="Q457" s="30">
        <v>7900</v>
      </c>
      <c r="R457" s="33">
        <f>Table1_1[[#This Row],[Units Sold]]*Table1_1[[#This Row],[Unit Price]]*1-Table1_1[[#This Row],[Discount]]</f>
        <v>424659.88</v>
      </c>
      <c r="S457" s="33">
        <f>Table1_1[[#This Row],[Units Sold]]*Table1_1[[#This Row],[Unit Cost]]</f>
        <v>268600</v>
      </c>
      <c r="T457" s="33">
        <f>Table1_1[[#This Row],[Sales Amount]]-S457</f>
        <v>156059.88</v>
      </c>
      <c r="U457" s="32">
        <f>IFERROR(Table1_1[[#This Row],[Profit/loss]]/Table1_1[[#This Row],[Sales Amount]],0)</f>
        <v>0.36749381646318935</v>
      </c>
    </row>
    <row r="458" spans="1:21" ht="18" x14ac:dyDescent="0.35">
      <c r="A458" s="21" t="s">
        <v>565</v>
      </c>
      <c r="B458" s="36">
        <v>45525</v>
      </c>
      <c r="C458" s="22">
        <f>YEAR(Table1_1[[#This Row],[Order Date]])</f>
        <v>2024</v>
      </c>
      <c r="D458" s="22" t="str">
        <f>TEXT(Table1_1[[#This Row],[Order Date]],"MMMM")</f>
        <v>August</v>
      </c>
      <c r="E458" s="22" t="s">
        <v>36</v>
      </c>
      <c r="F458" s="22" t="s">
        <v>44</v>
      </c>
      <c r="G458" s="22" t="s">
        <v>38</v>
      </c>
      <c r="H458" s="22" t="s">
        <v>29</v>
      </c>
      <c r="I458" s="22" t="s">
        <v>40</v>
      </c>
      <c r="J458" s="22" t="s">
        <v>41</v>
      </c>
      <c r="K458" s="22" t="s">
        <v>1628</v>
      </c>
      <c r="L458" s="22" t="s">
        <v>23</v>
      </c>
      <c r="M458" s="22" t="s">
        <v>24</v>
      </c>
      <c r="N458" s="22">
        <v>31</v>
      </c>
      <c r="O458" s="26">
        <v>48500</v>
      </c>
      <c r="P458" s="22">
        <v>0.15</v>
      </c>
      <c r="Q458" s="30">
        <v>30200</v>
      </c>
      <c r="R458" s="33">
        <f>Table1_1[[#This Row],[Units Sold]]*Table1_1[[#This Row],[Unit Price]]*1-Table1_1[[#This Row],[Discount]]</f>
        <v>1503499.85</v>
      </c>
      <c r="S458" s="33">
        <f>Table1_1[[#This Row],[Units Sold]]*Table1_1[[#This Row],[Unit Cost]]</f>
        <v>936200</v>
      </c>
      <c r="T458" s="33">
        <f>Table1_1[[#This Row],[Sales Amount]]-S458</f>
        <v>567299.85000000009</v>
      </c>
      <c r="U458" s="32">
        <f>IFERROR(Table1_1[[#This Row],[Profit/loss]]/Table1_1[[#This Row],[Sales Amount]],0)</f>
        <v>0.37731952550577247</v>
      </c>
    </row>
    <row r="459" spans="1:21" ht="18" x14ac:dyDescent="0.35">
      <c r="A459" s="21" t="s">
        <v>566</v>
      </c>
      <c r="B459" s="36">
        <v>45525</v>
      </c>
      <c r="C459" s="22">
        <f>YEAR(Table1_1[[#This Row],[Order Date]])</f>
        <v>2024</v>
      </c>
      <c r="D459" s="22" t="str">
        <f>TEXT(Table1_1[[#This Row],[Order Date]],"MMMM")</f>
        <v>August</v>
      </c>
      <c r="E459" s="22" t="s">
        <v>16</v>
      </c>
      <c r="F459" s="22" t="s">
        <v>111</v>
      </c>
      <c r="G459" s="22" t="s">
        <v>60</v>
      </c>
      <c r="H459" s="22" t="s">
        <v>29</v>
      </c>
      <c r="I459" s="22" t="s">
        <v>20</v>
      </c>
      <c r="J459" s="22" t="s">
        <v>45</v>
      </c>
      <c r="K459" s="22" t="s">
        <v>1618</v>
      </c>
      <c r="L459" s="22" t="s">
        <v>33</v>
      </c>
      <c r="M459" s="22" t="s">
        <v>24</v>
      </c>
      <c r="N459" s="22">
        <v>20</v>
      </c>
      <c r="O459" s="26">
        <v>1899</v>
      </c>
      <c r="P459" s="22">
        <v>0.1</v>
      </c>
      <c r="Q459" s="30">
        <v>1080</v>
      </c>
      <c r="R459" s="33">
        <f>Table1_1[[#This Row],[Units Sold]]*Table1_1[[#This Row],[Unit Price]]*1-Table1_1[[#This Row],[Discount]]</f>
        <v>37979.9</v>
      </c>
      <c r="S459" s="33">
        <f>Table1_1[[#This Row],[Units Sold]]*Table1_1[[#This Row],[Unit Cost]]</f>
        <v>21600</v>
      </c>
      <c r="T459" s="33">
        <f>Table1_1[[#This Row],[Sales Amount]]-S459</f>
        <v>16379.900000000001</v>
      </c>
      <c r="U459" s="32">
        <f>IFERROR(Table1_1[[#This Row],[Profit/loss]]/Table1_1[[#This Row],[Sales Amount]],0)</f>
        <v>0.43127812342844507</v>
      </c>
    </row>
    <row r="460" spans="1:21" ht="18" x14ac:dyDescent="0.35">
      <c r="A460" s="21" t="s">
        <v>567</v>
      </c>
      <c r="B460" s="36">
        <v>45526</v>
      </c>
      <c r="C460" s="22">
        <f>YEAR(Table1_1[[#This Row],[Order Date]])</f>
        <v>2024</v>
      </c>
      <c r="D460" s="22" t="str">
        <f>TEXT(Table1_1[[#This Row],[Order Date]],"MMMM")</f>
        <v>August</v>
      </c>
      <c r="E460" s="22" t="s">
        <v>36</v>
      </c>
      <c r="F460" s="22" t="s">
        <v>44</v>
      </c>
      <c r="G460" s="22" t="s">
        <v>60</v>
      </c>
      <c r="H460" s="22" t="s">
        <v>39</v>
      </c>
      <c r="I460" s="22" t="s">
        <v>20</v>
      </c>
      <c r="J460" s="22" t="s">
        <v>45</v>
      </c>
      <c r="K460" s="22" t="s">
        <v>1618</v>
      </c>
      <c r="L460" s="22" t="s">
        <v>33</v>
      </c>
      <c r="M460" s="22" t="s">
        <v>24</v>
      </c>
      <c r="N460" s="22">
        <v>11</v>
      </c>
      <c r="O460" s="26">
        <v>1899</v>
      </c>
      <c r="P460" s="22">
        <v>0.18</v>
      </c>
      <c r="Q460" s="30">
        <v>1080</v>
      </c>
      <c r="R460" s="33">
        <f>Table1_1[[#This Row],[Units Sold]]*Table1_1[[#This Row],[Unit Price]]*1-Table1_1[[#This Row],[Discount]]</f>
        <v>20888.82</v>
      </c>
      <c r="S460" s="33">
        <f>Table1_1[[#This Row],[Units Sold]]*Table1_1[[#This Row],[Unit Cost]]</f>
        <v>11880</v>
      </c>
      <c r="T460" s="33">
        <f>Table1_1[[#This Row],[Sales Amount]]-S460</f>
        <v>9008.82</v>
      </c>
      <c r="U460" s="32">
        <f>IFERROR(Table1_1[[#This Row],[Profit/loss]]/Table1_1[[#This Row],[Sales Amount]],0)</f>
        <v>0.43127472016131119</v>
      </c>
    </row>
    <row r="461" spans="1:21" ht="18" x14ac:dyDescent="0.35">
      <c r="A461" s="21" t="s">
        <v>568</v>
      </c>
      <c r="B461" s="36">
        <v>45526</v>
      </c>
      <c r="C461" s="22">
        <f>YEAR(Table1_1[[#This Row],[Order Date]])</f>
        <v>2024</v>
      </c>
      <c r="D461" s="22" t="str">
        <f>TEXT(Table1_1[[#This Row],[Order Date]],"MMMM")</f>
        <v>August</v>
      </c>
      <c r="E461" s="22" t="s">
        <v>48</v>
      </c>
      <c r="F461" s="22" t="s">
        <v>49</v>
      </c>
      <c r="G461" s="22" t="s">
        <v>18</v>
      </c>
      <c r="H461" s="22" t="s">
        <v>19</v>
      </c>
      <c r="I461" s="22" t="s">
        <v>40</v>
      </c>
      <c r="J461" s="22" t="s">
        <v>76</v>
      </c>
      <c r="K461" s="22" t="s">
        <v>1626</v>
      </c>
      <c r="L461" s="22" t="s">
        <v>23</v>
      </c>
      <c r="M461" s="22" t="s">
        <v>24</v>
      </c>
      <c r="N461" s="22">
        <v>11</v>
      </c>
      <c r="O461" s="26">
        <v>25999</v>
      </c>
      <c r="P461" s="22">
        <v>0.2</v>
      </c>
      <c r="Q461" s="30">
        <v>17800</v>
      </c>
      <c r="R461" s="33">
        <f>Table1_1[[#This Row],[Units Sold]]*Table1_1[[#This Row],[Unit Price]]*1-Table1_1[[#This Row],[Discount]]</f>
        <v>285988.8</v>
      </c>
      <c r="S461" s="33">
        <f>Table1_1[[#This Row],[Units Sold]]*Table1_1[[#This Row],[Unit Cost]]</f>
        <v>195800</v>
      </c>
      <c r="T461" s="33">
        <f>Table1_1[[#This Row],[Sales Amount]]-S461</f>
        <v>90188.799999999988</v>
      </c>
      <c r="U461" s="32">
        <f>IFERROR(Table1_1[[#This Row],[Profit/loss]]/Table1_1[[#This Row],[Sales Amount]],0)</f>
        <v>0.31535780422170379</v>
      </c>
    </row>
    <row r="462" spans="1:21" ht="18" x14ac:dyDescent="0.35">
      <c r="A462" s="21" t="s">
        <v>569</v>
      </c>
      <c r="B462" s="36">
        <v>45526</v>
      </c>
      <c r="C462" s="22">
        <f>YEAR(Table1_1[[#This Row],[Order Date]])</f>
        <v>2024</v>
      </c>
      <c r="D462" s="22" t="str">
        <f>TEXT(Table1_1[[#This Row],[Order Date]],"MMMM")</f>
        <v>August</v>
      </c>
      <c r="E462" s="22" t="s">
        <v>36</v>
      </c>
      <c r="F462" s="22" t="s">
        <v>37</v>
      </c>
      <c r="G462" s="22" t="s">
        <v>28</v>
      </c>
      <c r="H462" s="22" t="s">
        <v>39</v>
      </c>
      <c r="I462" s="22" t="s">
        <v>70</v>
      </c>
      <c r="J462" s="22" t="s">
        <v>71</v>
      </c>
      <c r="K462" s="22" t="s">
        <v>72</v>
      </c>
      <c r="L462" s="22" t="s">
        <v>23</v>
      </c>
      <c r="M462" s="22" t="s">
        <v>24</v>
      </c>
      <c r="N462" s="22">
        <v>5</v>
      </c>
      <c r="O462" s="26">
        <v>3499</v>
      </c>
      <c r="P462" s="22">
        <v>0.08</v>
      </c>
      <c r="Q462" s="30">
        <v>2190</v>
      </c>
      <c r="R462" s="33">
        <f>Table1_1[[#This Row],[Units Sold]]*Table1_1[[#This Row],[Unit Price]]*1-Table1_1[[#This Row],[Discount]]</f>
        <v>17494.919999999998</v>
      </c>
      <c r="S462" s="33">
        <f>Table1_1[[#This Row],[Units Sold]]*Table1_1[[#This Row],[Unit Cost]]</f>
        <v>10950</v>
      </c>
      <c r="T462" s="33">
        <f>Table1_1[[#This Row],[Sales Amount]]-S462</f>
        <v>6544.9199999999983</v>
      </c>
      <c r="U462" s="32">
        <f>IFERROR(Table1_1[[#This Row],[Profit/loss]]/Table1_1[[#This Row],[Sales Amount]],0)</f>
        <v>0.37410402562572442</v>
      </c>
    </row>
    <row r="463" spans="1:21" ht="18" x14ac:dyDescent="0.35">
      <c r="A463" s="21" t="s">
        <v>570</v>
      </c>
      <c r="B463" s="36">
        <v>45527</v>
      </c>
      <c r="C463" s="22">
        <f>YEAR(Table1_1[[#This Row],[Order Date]])</f>
        <v>2024</v>
      </c>
      <c r="D463" s="22" t="str">
        <f>TEXT(Table1_1[[#This Row],[Order Date]],"MMMM")</f>
        <v>August</v>
      </c>
      <c r="E463" s="22" t="s">
        <v>26</v>
      </c>
      <c r="F463" s="22" t="s">
        <v>53</v>
      </c>
      <c r="G463" s="22" t="s">
        <v>38</v>
      </c>
      <c r="H463" s="22" t="s">
        <v>39</v>
      </c>
      <c r="I463" s="22" t="s">
        <v>30</v>
      </c>
      <c r="J463" s="22" t="s">
        <v>61</v>
      </c>
      <c r="K463" s="22" t="s">
        <v>186</v>
      </c>
      <c r="L463" s="22" t="s">
        <v>23</v>
      </c>
      <c r="M463" s="22" t="s">
        <v>24</v>
      </c>
      <c r="N463" s="22">
        <v>28</v>
      </c>
      <c r="O463" s="26">
        <v>6999</v>
      </c>
      <c r="P463" s="22">
        <v>0.05</v>
      </c>
      <c r="Q463" s="30">
        <v>4320</v>
      </c>
      <c r="R463" s="33">
        <f>Table1_1[[#This Row],[Units Sold]]*Table1_1[[#This Row],[Unit Price]]*1-Table1_1[[#This Row],[Discount]]</f>
        <v>195971.95</v>
      </c>
      <c r="S463" s="33">
        <f>Table1_1[[#This Row],[Units Sold]]*Table1_1[[#This Row],[Unit Cost]]</f>
        <v>120960</v>
      </c>
      <c r="T463" s="33">
        <f>Table1_1[[#This Row],[Sales Amount]]-S463</f>
        <v>75011.950000000012</v>
      </c>
      <c r="U463" s="32">
        <f>IFERROR(Table1_1[[#This Row],[Profit/loss]]/Table1_1[[#This Row],[Sales Amount]],0)</f>
        <v>0.38276880951585168</v>
      </c>
    </row>
    <row r="464" spans="1:21" ht="18" x14ac:dyDescent="0.35">
      <c r="A464" s="21" t="s">
        <v>571</v>
      </c>
      <c r="B464" s="36">
        <v>45528</v>
      </c>
      <c r="C464" s="22">
        <f>YEAR(Table1_1[[#This Row],[Order Date]])</f>
        <v>2024</v>
      </c>
      <c r="D464" s="22" t="str">
        <f>TEXT(Table1_1[[#This Row],[Order Date]],"MMMM")</f>
        <v>August</v>
      </c>
      <c r="E464" s="22" t="s">
        <v>16</v>
      </c>
      <c r="F464" s="22" t="s">
        <v>98</v>
      </c>
      <c r="G464" s="22" t="s">
        <v>18</v>
      </c>
      <c r="H464" s="22" t="s">
        <v>29</v>
      </c>
      <c r="I464" s="22" t="s">
        <v>54</v>
      </c>
      <c r="J464" s="22" t="s">
        <v>129</v>
      </c>
      <c r="K464" s="22" t="s">
        <v>145</v>
      </c>
      <c r="L464" s="22" t="s">
        <v>33</v>
      </c>
      <c r="M464" s="22" t="s">
        <v>34</v>
      </c>
      <c r="N464" s="22">
        <v>12</v>
      </c>
      <c r="O464" s="26">
        <v>31490</v>
      </c>
      <c r="P464" s="22">
        <v>0.1</v>
      </c>
      <c r="Q464" s="30">
        <v>21300</v>
      </c>
      <c r="R464" s="33">
        <f>Table1_1[[#This Row],[Units Sold]]*Table1_1[[#This Row],[Unit Price]]*1-Table1_1[[#This Row],[Discount]]</f>
        <v>377879.9</v>
      </c>
      <c r="S464" s="33">
        <f>Table1_1[[#This Row],[Units Sold]]*Table1_1[[#This Row],[Unit Cost]]</f>
        <v>255600</v>
      </c>
      <c r="T464" s="33">
        <f>Table1_1[[#This Row],[Sales Amount]]-S464</f>
        <v>122279.90000000002</v>
      </c>
      <c r="U464" s="32">
        <f>IFERROR(Table1_1[[#This Row],[Profit/loss]]/Table1_1[[#This Row],[Sales Amount]],0)</f>
        <v>0.32359461299741005</v>
      </c>
    </row>
    <row r="465" spans="1:21" ht="18" x14ac:dyDescent="0.35">
      <c r="A465" s="21" t="s">
        <v>572</v>
      </c>
      <c r="B465" s="36">
        <v>45528</v>
      </c>
      <c r="C465" s="22">
        <f>YEAR(Table1_1[[#This Row],[Order Date]])</f>
        <v>2024</v>
      </c>
      <c r="D465" s="22" t="str">
        <f>TEXT(Table1_1[[#This Row],[Order Date]],"MMMM")</f>
        <v>August</v>
      </c>
      <c r="E465" s="22" t="s">
        <v>36</v>
      </c>
      <c r="F465" s="22" t="s">
        <v>44</v>
      </c>
      <c r="G465" s="22" t="s">
        <v>75</v>
      </c>
      <c r="H465" s="22" t="s">
        <v>19</v>
      </c>
      <c r="I465" s="22" t="s">
        <v>54</v>
      </c>
      <c r="J465" s="22" t="s">
        <v>129</v>
      </c>
      <c r="K465" s="22" t="s">
        <v>145</v>
      </c>
      <c r="L465" s="22" t="s">
        <v>57</v>
      </c>
      <c r="M465" s="22" t="s">
        <v>78</v>
      </c>
      <c r="N465" s="22">
        <v>4</v>
      </c>
      <c r="O465" s="26">
        <v>31490</v>
      </c>
      <c r="P465" s="22">
        <v>0.15</v>
      </c>
      <c r="Q465" s="30">
        <v>21300</v>
      </c>
      <c r="R465" s="33">
        <f>Table1_1[[#This Row],[Units Sold]]*Table1_1[[#This Row],[Unit Price]]*1-Table1_1[[#This Row],[Discount]]</f>
        <v>125959.85</v>
      </c>
      <c r="S465" s="33">
        <f>Table1_1[[#This Row],[Units Sold]]*Table1_1[[#This Row],[Unit Cost]]</f>
        <v>85200</v>
      </c>
      <c r="T465" s="33">
        <f>Table1_1[[#This Row],[Sales Amount]]-S465</f>
        <v>40759.850000000006</v>
      </c>
      <c r="U465" s="32">
        <f>IFERROR(Table1_1[[#This Row],[Profit/loss]]/Table1_1[[#This Row],[Sales Amount]],0)</f>
        <v>0.32359398649649079</v>
      </c>
    </row>
    <row r="466" spans="1:21" ht="18" x14ac:dyDescent="0.35">
      <c r="A466" s="21" t="s">
        <v>573</v>
      </c>
      <c r="B466" s="36">
        <v>45530</v>
      </c>
      <c r="C466" s="22">
        <f>YEAR(Table1_1[[#This Row],[Order Date]])</f>
        <v>2024</v>
      </c>
      <c r="D466" s="22" t="str">
        <f>TEXT(Table1_1[[#This Row],[Order Date]],"MMMM")</f>
        <v>August</v>
      </c>
      <c r="E466" s="22" t="s">
        <v>36</v>
      </c>
      <c r="F466" s="22" t="s">
        <v>37</v>
      </c>
      <c r="G466" s="22" t="s">
        <v>101</v>
      </c>
      <c r="H466" s="22" t="s">
        <v>29</v>
      </c>
      <c r="I466" s="22" t="s">
        <v>40</v>
      </c>
      <c r="J466" s="22" t="s">
        <v>76</v>
      </c>
      <c r="K466" s="22" t="s">
        <v>1626</v>
      </c>
      <c r="L466" s="22" t="s">
        <v>23</v>
      </c>
      <c r="M466" s="22" t="s">
        <v>78</v>
      </c>
      <c r="N466" s="22">
        <v>18</v>
      </c>
      <c r="O466" s="26">
        <v>25999</v>
      </c>
      <c r="P466" s="22">
        <v>0.05</v>
      </c>
      <c r="Q466" s="30">
        <v>17800</v>
      </c>
      <c r="R466" s="33">
        <f>Table1_1[[#This Row],[Units Sold]]*Table1_1[[#This Row],[Unit Price]]*1-Table1_1[[#This Row],[Discount]]</f>
        <v>467981.95</v>
      </c>
      <c r="S466" s="33">
        <f>Table1_1[[#This Row],[Units Sold]]*Table1_1[[#This Row],[Unit Cost]]</f>
        <v>320400</v>
      </c>
      <c r="T466" s="33">
        <f>Table1_1[[#This Row],[Sales Amount]]-S466</f>
        <v>147581.95000000001</v>
      </c>
      <c r="U466" s="32">
        <f>IFERROR(Table1_1[[#This Row],[Profit/loss]]/Table1_1[[#This Row],[Sales Amount]],0)</f>
        <v>0.31535820986258123</v>
      </c>
    </row>
    <row r="467" spans="1:21" ht="18" x14ac:dyDescent="0.35">
      <c r="A467" s="21" t="s">
        <v>574</v>
      </c>
      <c r="B467" s="36">
        <v>45530</v>
      </c>
      <c r="C467" s="22">
        <f>YEAR(Table1_1[[#This Row],[Order Date]])</f>
        <v>2024</v>
      </c>
      <c r="D467" s="22" t="str">
        <f>TEXT(Table1_1[[#This Row],[Order Date]],"MMMM")</f>
        <v>August</v>
      </c>
      <c r="E467" s="22" t="s">
        <v>36</v>
      </c>
      <c r="F467" s="22" t="s">
        <v>44</v>
      </c>
      <c r="G467" s="22" t="s">
        <v>50</v>
      </c>
      <c r="H467" s="22" t="s">
        <v>19</v>
      </c>
      <c r="I467" s="22" t="s">
        <v>30</v>
      </c>
      <c r="J467" s="22" t="s">
        <v>31</v>
      </c>
      <c r="K467" s="22" t="s">
        <v>85</v>
      </c>
      <c r="L467" s="22" t="s">
        <v>23</v>
      </c>
      <c r="M467" s="22" t="s">
        <v>66</v>
      </c>
      <c r="N467" s="22">
        <v>35</v>
      </c>
      <c r="O467" s="26">
        <v>43500</v>
      </c>
      <c r="P467" s="22">
        <v>0.05</v>
      </c>
      <c r="Q467" s="30">
        <v>29520</v>
      </c>
      <c r="R467" s="33">
        <f>Table1_1[[#This Row],[Units Sold]]*Table1_1[[#This Row],[Unit Price]]*1-Table1_1[[#This Row],[Discount]]</f>
        <v>1522499.95</v>
      </c>
      <c r="S467" s="33">
        <f>Table1_1[[#This Row],[Units Sold]]*Table1_1[[#This Row],[Unit Cost]]</f>
        <v>1033200</v>
      </c>
      <c r="T467" s="33">
        <f>Table1_1[[#This Row],[Sales Amount]]-S467</f>
        <v>489299.94999999995</v>
      </c>
      <c r="U467" s="32">
        <f>IFERROR(Table1_1[[#This Row],[Profit/loss]]/Table1_1[[#This Row],[Sales Amount]],0)</f>
        <v>0.32137928805843308</v>
      </c>
    </row>
    <row r="468" spans="1:21" ht="18" x14ac:dyDescent="0.35">
      <c r="A468" s="21" t="s">
        <v>575</v>
      </c>
      <c r="B468" s="36">
        <v>45531</v>
      </c>
      <c r="C468" s="22">
        <f>YEAR(Table1_1[[#This Row],[Order Date]])</f>
        <v>2024</v>
      </c>
      <c r="D468" s="22" t="str">
        <f>TEXT(Table1_1[[#This Row],[Order Date]],"MMMM")</f>
        <v>August</v>
      </c>
      <c r="E468" s="22" t="s">
        <v>26</v>
      </c>
      <c r="F468" s="22" t="s">
        <v>74</v>
      </c>
      <c r="G468" s="22" t="s">
        <v>38</v>
      </c>
      <c r="H468" s="22" t="s">
        <v>29</v>
      </c>
      <c r="I468" s="22" t="s">
        <v>40</v>
      </c>
      <c r="J468" s="22" t="s">
        <v>76</v>
      </c>
      <c r="K468" s="22" t="s">
        <v>1626</v>
      </c>
      <c r="L468" s="22" t="s">
        <v>23</v>
      </c>
      <c r="M468" s="22" t="s">
        <v>78</v>
      </c>
      <c r="N468" s="22">
        <v>6</v>
      </c>
      <c r="O468" s="26">
        <v>25999</v>
      </c>
      <c r="P468" s="22">
        <v>0.1</v>
      </c>
      <c r="Q468" s="30">
        <v>17800</v>
      </c>
      <c r="R468" s="33">
        <f>Table1_1[[#This Row],[Units Sold]]*Table1_1[[#This Row],[Unit Price]]*1-Table1_1[[#This Row],[Discount]]</f>
        <v>155993.9</v>
      </c>
      <c r="S468" s="33">
        <f>Table1_1[[#This Row],[Units Sold]]*Table1_1[[#This Row],[Unit Cost]]</f>
        <v>106800</v>
      </c>
      <c r="T468" s="33">
        <f>Table1_1[[#This Row],[Sales Amount]]-S468</f>
        <v>49193.899999999994</v>
      </c>
      <c r="U468" s="32">
        <f>IFERROR(Table1_1[[#This Row],[Profit/loss]]/Table1_1[[#This Row],[Sales Amount]],0)</f>
        <v>0.31535784412082779</v>
      </c>
    </row>
    <row r="469" spans="1:21" ht="18" x14ac:dyDescent="0.35">
      <c r="A469" s="21" t="s">
        <v>576</v>
      </c>
      <c r="B469" s="36">
        <v>45531</v>
      </c>
      <c r="C469" s="22">
        <f>YEAR(Table1_1[[#This Row],[Order Date]])</f>
        <v>2024</v>
      </c>
      <c r="D469" s="22" t="str">
        <f>TEXT(Table1_1[[#This Row],[Order Date]],"MMMM")</f>
        <v>August</v>
      </c>
      <c r="E469" s="22" t="s">
        <v>48</v>
      </c>
      <c r="F469" s="22" t="s">
        <v>136</v>
      </c>
      <c r="G469" s="22" t="s">
        <v>69</v>
      </c>
      <c r="H469" s="22" t="s">
        <v>39</v>
      </c>
      <c r="I469" s="22" t="s">
        <v>70</v>
      </c>
      <c r="J469" s="22" t="s">
        <v>71</v>
      </c>
      <c r="K469" s="22" t="s">
        <v>80</v>
      </c>
      <c r="L469" s="22" t="s">
        <v>23</v>
      </c>
      <c r="M469" s="22" t="s">
        <v>24</v>
      </c>
      <c r="N469" s="22">
        <v>17</v>
      </c>
      <c r="O469" s="26">
        <v>1299</v>
      </c>
      <c r="P469" s="22">
        <v>0.1</v>
      </c>
      <c r="Q469" s="30">
        <v>720</v>
      </c>
      <c r="R469" s="33">
        <f>Table1_1[[#This Row],[Units Sold]]*Table1_1[[#This Row],[Unit Price]]*1-Table1_1[[#This Row],[Discount]]</f>
        <v>22082.9</v>
      </c>
      <c r="S469" s="33">
        <f>Table1_1[[#This Row],[Units Sold]]*Table1_1[[#This Row],[Unit Cost]]</f>
        <v>12240</v>
      </c>
      <c r="T469" s="33">
        <f>Table1_1[[#This Row],[Sales Amount]]-S469</f>
        <v>9842.9000000000015</v>
      </c>
      <c r="U469" s="32">
        <f>IFERROR(Table1_1[[#This Row],[Profit/loss]]/Table1_1[[#This Row],[Sales Amount]],0)</f>
        <v>0.44572497271644579</v>
      </c>
    </row>
    <row r="470" spans="1:21" ht="18" x14ac:dyDescent="0.35">
      <c r="A470" s="21" t="s">
        <v>577</v>
      </c>
      <c r="B470" s="36">
        <v>45532</v>
      </c>
      <c r="C470" s="22">
        <f>YEAR(Table1_1[[#This Row],[Order Date]])</f>
        <v>2024</v>
      </c>
      <c r="D470" s="22" t="str">
        <f>TEXT(Table1_1[[#This Row],[Order Date]],"MMMM")</f>
        <v>August</v>
      </c>
      <c r="E470" s="22" t="s">
        <v>82</v>
      </c>
      <c r="F470" s="22" t="s">
        <v>87</v>
      </c>
      <c r="G470" s="22" t="s">
        <v>38</v>
      </c>
      <c r="H470" s="22" t="s">
        <v>39</v>
      </c>
      <c r="I470" s="22" t="s">
        <v>20</v>
      </c>
      <c r="J470" s="22" t="s">
        <v>45</v>
      </c>
      <c r="K470" s="22" t="s">
        <v>1618</v>
      </c>
      <c r="L470" s="22" t="s">
        <v>23</v>
      </c>
      <c r="M470" s="22" t="s">
        <v>34</v>
      </c>
      <c r="N470" s="22">
        <v>32</v>
      </c>
      <c r="O470" s="26">
        <v>1899</v>
      </c>
      <c r="P470" s="22">
        <v>0.05</v>
      </c>
      <c r="Q470" s="30">
        <v>1080</v>
      </c>
      <c r="R470" s="33">
        <f>Table1_1[[#This Row],[Units Sold]]*Table1_1[[#This Row],[Unit Price]]*1-Table1_1[[#This Row],[Discount]]</f>
        <v>60767.95</v>
      </c>
      <c r="S470" s="33">
        <f>Table1_1[[#This Row],[Units Sold]]*Table1_1[[#This Row],[Unit Cost]]</f>
        <v>34560</v>
      </c>
      <c r="T470" s="33">
        <f>Table1_1[[#This Row],[Sales Amount]]-S470</f>
        <v>26207.949999999997</v>
      </c>
      <c r="U470" s="32">
        <f>IFERROR(Table1_1[[#This Row],[Profit/loss]]/Table1_1[[#This Row],[Sales Amount]],0)</f>
        <v>0.43127915290872898</v>
      </c>
    </row>
    <row r="471" spans="1:21" ht="18" x14ac:dyDescent="0.35">
      <c r="A471" s="21" t="s">
        <v>578</v>
      </c>
      <c r="B471" s="36">
        <v>45533</v>
      </c>
      <c r="C471" s="22">
        <f>YEAR(Table1_1[[#This Row],[Order Date]])</f>
        <v>2024</v>
      </c>
      <c r="D471" s="22" t="str">
        <f>TEXT(Table1_1[[#This Row],[Order Date]],"MMMM")</f>
        <v>August</v>
      </c>
      <c r="E471" s="22" t="s">
        <v>48</v>
      </c>
      <c r="F471" s="22" t="s">
        <v>68</v>
      </c>
      <c r="G471" s="22" t="s">
        <v>105</v>
      </c>
      <c r="H471" s="22" t="s">
        <v>29</v>
      </c>
      <c r="I471" s="22" t="s">
        <v>20</v>
      </c>
      <c r="J471" s="22" t="s">
        <v>45</v>
      </c>
      <c r="K471" s="22" t="s">
        <v>1622</v>
      </c>
      <c r="L471" s="22" t="s">
        <v>23</v>
      </c>
      <c r="M471" s="22" t="s">
        <v>66</v>
      </c>
      <c r="N471" s="22">
        <v>12</v>
      </c>
      <c r="O471" s="26">
        <v>1599</v>
      </c>
      <c r="P471" s="22">
        <v>0.2</v>
      </c>
      <c r="Q471" s="30">
        <v>920</v>
      </c>
      <c r="R471" s="33">
        <f>Table1_1[[#This Row],[Units Sold]]*Table1_1[[#This Row],[Unit Price]]*1-Table1_1[[#This Row],[Discount]]</f>
        <v>19187.8</v>
      </c>
      <c r="S471" s="33">
        <f>Table1_1[[#This Row],[Units Sold]]*Table1_1[[#This Row],[Unit Cost]]</f>
        <v>11040</v>
      </c>
      <c r="T471" s="33">
        <f>Table1_1[[#This Row],[Sales Amount]]-S471</f>
        <v>8147.7999999999993</v>
      </c>
      <c r="U471" s="32">
        <f>IFERROR(Table1_1[[#This Row],[Profit/loss]]/Table1_1[[#This Row],[Sales Amount]],0)</f>
        <v>0.42463440311030964</v>
      </c>
    </row>
    <row r="472" spans="1:21" ht="18" x14ac:dyDescent="0.35">
      <c r="A472" s="21" t="s">
        <v>579</v>
      </c>
      <c r="B472" s="36">
        <v>45533</v>
      </c>
      <c r="C472" s="22">
        <f>YEAR(Table1_1[[#This Row],[Order Date]])</f>
        <v>2024</v>
      </c>
      <c r="D472" s="22" t="str">
        <f>TEXT(Table1_1[[#This Row],[Order Date]],"MMMM")</f>
        <v>August</v>
      </c>
      <c r="E472" s="22" t="s">
        <v>16</v>
      </c>
      <c r="F472" s="22" t="s">
        <v>126</v>
      </c>
      <c r="G472" s="22" t="s">
        <v>101</v>
      </c>
      <c r="H472" s="22" t="s">
        <v>29</v>
      </c>
      <c r="I472" s="22" t="s">
        <v>40</v>
      </c>
      <c r="J472" s="22" t="s">
        <v>76</v>
      </c>
      <c r="K472" s="22" t="s">
        <v>1620</v>
      </c>
      <c r="L472" s="22" t="s">
        <v>33</v>
      </c>
      <c r="M472" s="22" t="s">
        <v>24</v>
      </c>
      <c r="N472" s="22">
        <v>18</v>
      </c>
      <c r="O472" s="26">
        <v>52990</v>
      </c>
      <c r="P472" s="22">
        <v>0.05</v>
      </c>
      <c r="Q472" s="30">
        <v>39500</v>
      </c>
      <c r="R472" s="33">
        <f>Table1_1[[#This Row],[Units Sold]]*Table1_1[[#This Row],[Unit Price]]*1-Table1_1[[#This Row],[Discount]]</f>
        <v>953819.95</v>
      </c>
      <c r="S472" s="33">
        <f>Table1_1[[#This Row],[Units Sold]]*Table1_1[[#This Row],[Unit Cost]]</f>
        <v>711000</v>
      </c>
      <c r="T472" s="33">
        <f>Table1_1[[#This Row],[Sales Amount]]-S472</f>
        <v>242819.94999999995</v>
      </c>
      <c r="U472" s="32">
        <f>IFERROR(Table1_1[[#This Row],[Profit/loss]]/Table1_1[[#This Row],[Sales Amount]],0)</f>
        <v>0.25457629608187582</v>
      </c>
    </row>
    <row r="473" spans="1:21" ht="18" x14ac:dyDescent="0.35">
      <c r="A473" s="21" t="s">
        <v>580</v>
      </c>
      <c r="B473" s="36">
        <v>45533</v>
      </c>
      <c r="C473" s="22">
        <f>YEAR(Table1_1[[#This Row],[Order Date]])</f>
        <v>2024</v>
      </c>
      <c r="D473" s="22" t="str">
        <f>TEXT(Table1_1[[#This Row],[Order Date]],"MMMM")</f>
        <v>August</v>
      </c>
      <c r="E473" s="22" t="s">
        <v>48</v>
      </c>
      <c r="F473" s="22" t="s">
        <v>49</v>
      </c>
      <c r="G473" s="22" t="s">
        <v>50</v>
      </c>
      <c r="H473" s="22" t="s">
        <v>39</v>
      </c>
      <c r="I473" s="22" t="s">
        <v>20</v>
      </c>
      <c r="J473" s="22" t="s">
        <v>21</v>
      </c>
      <c r="K473" s="22" t="s">
        <v>115</v>
      </c>
      <c r="L473" s="22" t="s">
        <v>23</v>
      </c>
      <c r="M473" s="22" t="s">
        <v>24</v>
      </c>
      <c r="N473" s="22">
        <v>35</v>
      </c>
      <c r="O473" s="26">
        <v>6499</v>
      </c>
      <c r="P473" s="22">
        <v>0.15</v>
      </c>
      <c r="Q473" s="30">
        <v>4210</v>
      </c>
      <c r="R473" s="33">
        <f>Table1_1[[#This Row],[Units Sold]]*Table1_1[[#This Row],[Unit Price]]*1-Table1_1[[#This Row],[Discount]]</f>
        <v>227464.85</v>
      </c>
      <c r="S473" s="33">
        <f>Table1_1[[#This Row],[Units Sold]]*Table1_1[[#This Row],[Unit Cost]]</f>
        <v>147350</v>
      </c>
      <c r="T473" s="33">
        <f>Table1_1[[#This Row],[Sales Amount]]-S473</f>
        <v>80114.850000000006</v>
      </c>
      <c r="U473" s="32">
        <f>IFERROR(Table1_1[[#This Row],[Profit/loss]]/Table1_1[[#This Row],[Sales Amount]],0)</f>
        <v>0.35220760482333868</v>
      </c>
    </row>
    <row r="474" spans="1:21" ht="18" x14ac:dyDescent="0.35">
      <c r="A474" s="21" t="s">
        <v>581</v>
      </c>
      <c r="B474" s="36">
        <v>45534</v>
      </c>
      <c r="C474" s="22">
        <f>YEAR(Table1_1[[#This Row],[Order Date]])</f>
        <v>2024</v>
      </c>
      <c r="D474" s="22" t="str">
        <f>TEXT(Table1_1[[#This Row],[Order Date]],"MMMM")</f>
        <v>August</v>
      </c>
      <c r="E474" s="22" t="s">
        <v>16</v>
      </c>
      <c r="F474" s="22" t="s">
        <v>111</v>
      </c>
      <c r="G474" s="22" t="s">
        <v>18</v>
      </c>
      <c r="H474" s="22" t="s">
        <v>19</v>
      </c>
      <c r="I474" s="22" t="s">
        <v>70</v>
      </c>
      <c r="J474" s="22" t="s">
        <v>71</v>
      </c>
      <c r="K474" s="22" t="s">
        <v>72</v>
      </c>
      <c r="L474" s="22" t="s">
        <v>57</v>
      </c>
      <c r="M474" s="22" t="s">
        <v>34</v>
      </c>
      <c r="N474" s="22">
        <v>14</v>
      </c>
      <c r="O474" s="26">
        <v>3499</v>
      </c>
      <c r="P474" s="22">
        <v>0.15</v>
      </c>
      <c r="Q474" s="30">
        <v>2190</v>
      </c>
      <c r="R474" s="33">
        <f>Table1_1[[#This Row],[Units Sold]]*Table1_1[[#This Row],[Unit Price]]*1-Table1_1[[#This Row],[Discount]]</f>
        <v>48985.85</v>
      </c>
      <c r="S474" s="33">
        <f>Table1_1[[#This Row],[Units Sold]]*Table1_1[[#This Row],[Unit Cost]]</f>
        <v>30660</v>
      </c>
      <c r="T474" s="33">
        <f>Table1_1[[#This Row],[Sales Amount]]-S474</f>
        <v>18325.849999999999</v>
      </c>
      <c r="U474" s="32">
        <f>IFERROR(Table1_1[[#This Row],[Profit/loss]]/Table1_1[[#This Row],[Sales Amount]],0)</f>
        <v>0.37410497112941798</v>
      </c>
    </row>
    <row r="475" spans="1:21" ht="18" x14ac:dyDescent="0.35">
      <c r="A475" s="21" t="s">
        <v>582</v>
      </c>
      <c r="B475" s="36">
        <v>45535</v>
      </c>
      <c r="C475" s="22">
        <f>YEAR(Table1_1[[#This Row],[Order Date]])</f>
        <v>2024</v>
      </c>
      <c r="D475" s="22" t="str">
        <f>TEXT(Table1_1[[#This Row],[Order Date]],"MMMM")</f>
        <v>August</v>
      </c>
      <c r="E475" s="22" t="s">
        <v>16</v>
      </c>
      <c r="F475" s="22" t="s">
        <v>126</v>
      </c>
      <c r="G475" s="22" t="s">
        <v>50</v>
      </c>
      <c r="H475" s="22" t="s">
        <v>29</v>
      </c>
      <c r="I475" s="22" t="s">
        <v>70</v>
      </c>
      <c r="J475" s="22" t="s">
        <v>71</v>
      </c>
      <c r="K475" s="22" t="s">
        <v>72</v>
      </c>
      <c r="L475" s="22" t="s">
        <v>23</v>
      </c>
      <c r="M475" s="22" t="s">
        <v>34</v>
      </c>
      <c r="N475" s="22">
        <v>35</v>
      </c>
      <c r="O475" s="26">
        <v>3499</v>
      </c>
      <c r="P475" s="22">
        <v>0.18</v>
      </c>
      <c r="Q475" s="30">
        <v>2190</v>
      </c>
      <c r="R475" s="33">
        <f>Table1_1[[#This Row],[Units Sold]]*Table1_1[[#This Row],[Unit Price]]*1-Table1_1[[#This Row],[Discount]]</f>
        <v>122464.82</v>
      </c>
      <c r="S475" s="33">
        <f>Table1_1[[#This Row],[Units Sold]]*Table1_1[[#This Row],[Unit Cost]]</f>
        <v>76650</v>
      </c>
      <c r="T475" s="33">
        <f>Table1_1[[#This Row],[Sales Amount]]-S475</f>
        <v>45814.820000000007</v>
      </c>
      <c r="U475" s="32">
        <f>IFERROR(Table1_1[[#This Row],[Profit/loss]]/Table1_1[[#This Row],[Sales Amount]],0)</f>
        <v>0.37410596773832683</v>
      </c>
    </row>
    <row r="476" spans="1:21" ht="18" x14ac:dyDescent="0.35">
      <c r="A476" s="21" t="s">
        <v>583</v>
      </c>
      <c r="B476" s="36">
        <v>45536</v>
      </c>
      <c r="C476" s="22">
        <f>YEAR(Table1_1[[#This Row],[Order Date]])</f>
        <v>2024</v>
      </c>
      <c r="D476" s="22" t="str">
        <f>TEXT(Table1_1[[#This Row],[Order Date]],"MMMM")</f>
        <v>September</v>
      </c>
      <c r="E476" s="22" t="s">
        <v>26</v>
      </c>
      <c r="F476" s="22" t="s">
        <v>53</v>
      </c>
      <c r="G476" s="22" t="s">
        <v>60</v>
      </c>
      <c r="H476" s="22" t="s">
        <v>19</v>
      </c>
      <c r="I476" s="22" t="s">
        <v>70</v>
      </c>
      <c r="J476" s="22" t="s">
        <v>71</v>
      </c>
      <c r="K476" s="22" t="s">
        <v>72</v>
      </c>
      <c r="L476" s="22" t="s">
        <v>57</v>
      </c>
      <c r="M476" s="22" t="s">
        <v>34</v>
      </c>
      <c r="N476" s="22">
        <v>6</v>
      </c>
      <c r="O476" s="26">
        <v>3499</v>
      </c>
      <c r="P476" s="22">
        <v>0.2</v>
      </c>
      <c r="Q476" s="30">
        <v>2190</v>
      </c>
      <c r="R476" s="33">
        <f>Table1_1[[#This Row],[Units Sold]]*Table1_1[[#This Row],[Unit Price]]*1-Table1_1[[#This Row],[Discount]]</f>
        <v>20993.8</v>
      </c>
      <c r="S476" s="33">
        <f>Table1_1[[#This Row],[Units Sold]]*Table1_1[[#This Row],[Unit Cost]]</f>
        <v>13140</v>
      </c>
      <c r="T476" s="33">
        <f>Table1_1[[#This Row],[Sales Amount]]-S476</f>
        <v>7853.7999999999993</v>
      </c>
      <c r="U476" s="32">
        <f>IFERROR(Table1_1[[#This Row],[Profit/loss]]/Table1_1[[#This Row],[Sales Amount]],0)</f>
        <v>0.3741009250350103</v>
      </c>
    </row>
    <row r="477" spans="1:21" ht="18" x14ac:dyDescent="0.35">
      <c r="A477" s="21" t="s">
        <v>584</v>
      </c>
      <c r="B477" s="36">
        <v>45537</v>
      </c>
      <c r="C477" s="22">
        <f>YEAR(Table1_1[[#This Row],[Order Date]])</f>
        <v>2024</v>
      </c>
      <c r="D477" s="22" t="str">
        <f>TEXT(Table1_1[[#This Row],[Order Date]],"MMMM")</f>
        <v>September</v>
      </c>
      <c r="E477" s="22" t="s">
        <v>36</v>
      </c>
      <c r="F477" s="22" t="s">
        <v>59</v>
      </c>
      <c r="G477" s="22" t="s">
        <v>28</v>
      </c>
      <c r="H477" s="22" t="s">
        <v>39</v>
      </c>
      <c r="I477" s="22" t="s">
        <v>54</v>
      </c>
      <c r="J477" s="22" t="s">
        <v>129</v>
      </c>
      <c r="K477" s="22" t="s">
        <v>1630</v>
      </c>
      <c r="L477" s="22" t="s">
        <v>33</v>
      </c>
      <c r="M477" s="22" t="s">
        <v>24</v>
      </c>
      <c r="N477" s="22">
        <v>26</v>
      </c>
      <c r="O477" s="26">
        <v>29010</v>
      </c>
      <c r="P477" s="22">
        <v>0.18</v>
      </c>
      <c r="Q477" s="30">
        <v>19100</v>
      </c>
      <c r="R477" s="33">
        <f>Table1_1[[#This Row],[Units Sold]]*Table1_1[[#This Row],[Unit Price]]*1-Table1_1[[#This Row],[Discount]]</f>
        <v>754259.82</v>
      </c>
      <c r="S477" s="33">
        <f>Table1_1[[#This Row],[Units Sold]]*Table1_1[[#This Row],[Unit Cost]]</f>
        <v>496600</v>
      </c>
      <c r="T477" s="33">
        <f>Table1_1[[#This Row],[Sales Amount]]-S477</f>
        <v>257659.81999999995</v>
      </c>
      <c r="U477" s="32">
        <f>IFERROR(Table1_1[[#This Row],[Profit/loss]]/Table1_1[[#This Row],[Sales Amount]],0)</f>
        <v>0.3416061855184066</v>
      </c>
    </row>
    <row r="478" spans="1:21" ht="18" x14ac:dyDescent="0.35">
      <c r="A478" s="21" t="s">
        <v>585</v>
      </c>
      <c r="B478" s="36">
        <v>45537</v>
      </c>
      <c r="C478" s="22">
        <f>YEAR(Table1_1[[#This Row],[Order Date]])</f>
        <v>2024</v>
      </c>
      <c r="D478" s="22" t="str">
        <f>TEXT(Table1_1[[#This Row],[Order Date]],"MMMM")</f>
        <v>September</v>
      </c>
      <c r="E478" s="22" t="s">
        <v>16</v>
      </c>
      <c r="F478" s="22" t="s">
        <v>17</v>
      </c>
      <c r="G478" s="22" t="s">
        <v>101</v>
      </c>
      <c r="H478" s="22" t="s">
        <v>29</v>
      </c>
      <c r="I478" s="22" t="s">
        <v>30</v>
      </c>
      <c r="J478" s="22" t="s">
        <v>61</v>
      </c>
      <c r="K478" s="22" t="s">
        <v>186</v>
      </c>
      <c r="L478" s="22" t="s">
        <v>57</v>
      </c>
      <c r="M478" s="22" t="s">
        <v>66</v>
      </c>
      <c r="N478" s="22">
        <v>17</v>
      </c>
      <c r="O478" s="26">
        <v>6999</v>
      </c>
      <c r="P478" s="22">
        <v>0.18</v>
      </c>
      <c r="Q478" s="30">
        <v>4320</v>
      </c>
      <c r="R478" s="33">
        <f>Table1_1[[#This Row],[Units Sold]]*Table1_1[[#This Row],[Unit Price]]*1-Table1_1[[#This Row],[Discount]]</f>
        <v>118982.82</v>
      </c>
      <c r="S478" s="33">
        <f>Table1_1[[#This Row],[Units Sold]]*Table1_1[[#This Row],[Unit Cost]]</f>
        <v>73440</v>
      </c>
      <c r="T478" s="33">
        <f>Table1_1[[#This Row],[Sales Amount]]-S478</f>
        <v>45542.820000000007</v>
      </c>
      <c r="U478" s="32">
        <f>IFERROR(Table1_1[[#This Row],[Profit/loss]]/Table1_1[[#This Row],[Sales Amount]],0)</f>
        <v>0.38276803323370556</v>
      </c>
    </row>
    <row r="479" spans="1:21" ht="18" x14ac:dyDescent="0.35">
      <c r="A479" s="21" t="s">
        <v>586</v>
      </c>
      <c r="B479" s="36">
        <v>45537</v>
      </c>
      <c r="C479" s="22">
        <f>YEAR(Table1_1[[#This Row],[Order Date]])</f>
        <v>2024</v>
      </c>
      <c r="D479" s="22" t="str">
        <f>TEXT(Table1_1[[#This Row],[Order Date]],"MMMM")</f>
        <v>September</v>
      </c>
      <c r="E479" s="22" t="s">
        <v>82</v>
      </c>
      <c r="F479" s="22" t="s">
        <v>183</v>
      </c>
      <c r="G479" s="22" t="s">
        <v>101</v>
      </c>
      <c r="H479" s="22" t="s">
        <v>19</v>
      </c>
      <c r="I479" s="22" t="s">
        <v>70</v>
      </c>
      <c r="J479" s="22" t="s">
        <v>71</v>
      </c>
      <c r="K479" s="22" t="s">
        <v>80</v>
      </c>
      <c r="L479" s="22" t="s">
        <v>33</v>
      </c>
      <c r="M479" s="22" t="s">
        <v>78</v>
      </c>
      <c r="N479" s="22">
        <v>36</v>
      </c>
      <c r="O479" s="26">
        <v>1299</v>
      </c>
      <c r="P479" s="22">
        <v>0.08</v>
      </c>
      <c r="Q479" s="30">
        <v>720</v>
      </c>
      <c r="R479" s="33">
        <f>Table1_1[[#This Row],[Units Sold]]*Table1_1[[#This Row],[Unit Price]]*1-Table1_1[[#This Row],[Discount]]</f>
        <v>46763.92</v>
      </c>
      <c r="S479" s="33">
        <f>Table1_1[[#This Row],[Units Sold]]*Table1_1[[#This Row],[Unit Cost]]</f>
        <v>25920</v>
      </c>
      <c r="T479" s="33">
        <f>Table1_1[[#This Row],[Sales Amount]]-S479</f>
        <v>20843.919999999998</v>
      </c>
      <c r="U479" s="32">
        <f>IFERROR(Table1_1[[#This Row],[Profit/loss]]/Table1_1[[#This Row],[Sales Amount]],0)</f>
        <v>0.44572653447358562</v>
      </c>
    </row>
    <row r="480" spans="1:21" ht="18" x14ac:dyDescent="0.35">
      <c r="A480" s="21" t="s">
        <v>587</v>
      </c>
      <c r="B480" s="36">
        <v>45537</v>
      </c>
      <c r="C480" s="22">
        <f>YEAR(Table1_1[[#This Row],[Order Date]])</f>
        <v>2024</v>
      </c>
      <c r="D480" s="22" t="str">
        <f>TEXT(Table1_1[[#This Row],[Order Date]],"MMMM")</f>
        <v>September</v>
      </c>
      <c r="E480" s="22" t="s">
        <v>26</v>
      </c>
      <c r="F480" s="22" t="s">
        <v>74</v>
      </c>
      <c r="G480" s="22" t="s">
        <v>60</v>
      </c>
      <c r="H480" s="22" t="s">
        <v>19</v>
      </c>
      <c r="I480" s="22" t="s">
        <v>20</v>
      </c>
      <c r="J480" s="22" t="s">
        <v>45</v>
      </c>
      <c r="K480" s="22" t="s">
        <v>1622</v>
      </c>
      <c r="L480" s="22" t="s">
        <v>23</v>
      </c>
      <c r="M480" s="22" t="s">
        <v>34</v>
      </c>
      <c r="N480" s="22">
        <v>7</v>
      </c>
      <c r="O480" s="26">
        <v>1599</v>
      </c>
      <c r="P480" s="22">
        <v>0.2</v>
      </c>
      <c r="Q480" s="30">
        <v>920</v>
      </c>
      <c r="R480" s="33">
        <f>Table1_1[[#This Row],[Units Sold]]*Table1_1[[#This Row],[Unit Price]]*1-Table1_1[[#This Row],[Discount]]</f>
        <v>11192.8</v>
      </c>
      <c r="S480" s="33">
        <f>Table1_1[[#This Row],[Units Sold]]*Table1_1[[#This Row],[Unit Cost]]</f>
        <v>6440</v>
      </c>
      <c r="T480" s="33">
        <f>Table1_1[[#This Row],[Sales Amount]]-S480</f>
        <v>4752.7999999999993</v>
      </c>
      <c r="U480" s="32">
        <f>IFERROR(Table1_1[[#This Row],[Profit/loss]]/Table1_1[[#This Row],[Sales Amount]],0)</f>
        <v>0.42463011936244727</v>
      </c>
    </row>
    <row r="481" spans="1:21" ht="18" x14ac:dyDescent="0.35">
      <c r="A481" s="21" t="s">
        <v>588</v>
      </c>
      <c r="B481" s="36">
        <v>45537</v>
      </c>
      <c r="C481" s="22">
        <f>YEAR(Table1_1[[#This Row],[Order Date]])</f>
        <v>2024</v>
      </c>
      <c r="D481" s="22" t="str">
        <f>TEXT(Table1_1[[#This Row],[Order Date]],"MMMM")</f>
        <v>September</v>
      </c>
      <c r="E481" s="22" t="s">
        <v>16</v>
      </c>
      <c r="F481" s="22" t="s">
        <v>126</v>
      </c>
      <c r="G481" s="22" t="s">
        <v>101</v>
      </c>
      <c r="H481" s="22" t="s">
        <v>39</v>
      </c>
      <c r="I481" s="22" t="s">
        <v>54</v>
      </c>
      <c r="J481" s="22" t="s">
        <v>129</v>
      </c>
      <c r="K481" s="22" t="s">
        <v>130</v>
      </c>
      <c r="L481" s="22" t="s">
        <v>57</v>
      </c>
      <c r="M481" s="22" t="s">
        <v>24</v>
      </c>
      <c r="N481" s="22">
        <v>8</v>
      </c>
      <c r="O481" s="26">
        <v>27890</v>
      </c>
      <c r="P481" s="22">
        <v>0.18</v>
      </c>
      <c r="Q481" s="30">
        <v>18800</v>
      </c>
      <c r="R481" s="33">
        <f>Table1_1[[#This Row],[Units Sold]]*Table1_1[[#This Row],[Unit Price]]*1-Table1_1[[#This Row],[Discount]]</f>
        <v>223119.82</v>
      </c>
      <c r="S481" s="33">
        <f>Table1_1[[#This Row],[Units Sold]]*Table1_1[[#This Row],[Unit Cost]]</f>
        <v>150400</v>
      </c>
      <c r="T481" s="33">
        <f>Table1_1[[#This Row],[Sales Amount]]-S481</f>
        <v>72719.820000000007</v>
      </c>
      <c r="U481" s="32">
        <f>IFERROR(Table1_1[[#This Row],[Profit/loss]]/Table1_1[[#This Row],[Sales Amount]],0)</f>
        <v>0.32592272618362639</v>
      </c>
    </row>
    <row r="482" spans="1:21" ht="18" x14ac:dyDescent="0.35">
      <c r="A482" s="21" t="s">
        <v>589</v>
      </c>
      <c r="B482" s="36">
        <v>45539</v>
      </c>
      <c r="C482" s="22">
        <f>YEAR(Table1_1[[#This Row],[Order Date]])</f>
        <v>2024</v>
      </c>
      <c r="D482" s="22" t="str">
        <f>TEXT(Table1_1[[#This Row],[Order Date]],"MMMM")</f>
        <v>September</v>
      </c>
      <c r="E482" s="22" t="s">
        <v>26</v>
      </c>
      <c r="F482" s="22" t="s">
        <v>53</v>
      </c>
      <c r="G482" s="22" t="s">
        <v>69</v>
      </c>
      <c r="H482" s="22" t="s">
        <v>19</v>
      </c>
      <c r="I482" s="22" t="s">
        <v>20</v>
      </c>
      <c r="J482" s="22" t="s">
        <v>21</v>
      </c>
      <c r="K482" s="22" t="s">
        <v>22</v>
      </c>
      <c r="L482" s="22" t="s">
        <v>33</v>
      </c>
      <c r="M482" s="22" t="s">
        <v>24</v>
      </c>
      <c r="N482" s="22">
        <v>29</v>
      </c>
      <c r="O482" s="26">
        <v>4499</v>
      </c>
      <c r="P482" s="22">
        <v>0.12</v>
      </c>
      <c r="Q482" s="30">
        <v>2910</v>
      </c>
      <c r="R482" s="33">
        <f>Table1_1[[#This Row],[Units Sold]]*Table1_1[[#This Row],[Unit Price]]*1-Table1_1[[#This Row],[Discount]]</f>
        <v>130470.88</v>
      </c>
      <c r="S482" s="33">
        <f>Table1_1[[#This Row],[Units Sold]]*Table1_1[[#This Row],[Unit Cost]]</f>
        <v>84390</v>
      </c>
      <c r="T482" s="33">
        <f>Table1_1[[#This Row],[Sales Amount]]-S482</f>
        <v>46080.880000000005</v>
      </c>
      <c r="U482" s="32">
        <f>IFERROR(Table1_1[[#This Row],[Profit/loss]]/Table1_1[[#This Row],[Sales Amount]],0)</f>
        <v>0.35318900278744192</v>
      </c>
    </row>
    <row r="483" spans="1:21" ht="18" x14ac:dyDescent="0.35">
      <c r="A483" s="21" t="s">
        <v>590</v>
      </c>
      <c r="B483" s="36">
        <v>45539</v>
      </c>
      <c r="C483" s="22">
        <f>YEAR(Table1_1[[#This Row],[Order Date]])</f>
        <v>2024</v>
      </c>
      <c r="D483" s="22" t="str">
        <f>TEXT(Table1_1[[#This Row],[Order Date]],"MMMM")</f>
        <v>September</v>
      </c>
      <c r="E483" s="22" t="s">
        <v>16</v>
      </c>
      <c r="F483" s="22" t="s">
        <v>111</v>
      </c>
      <c r="G483" s="22" t="s">
        <v>84</v>
      </c>
      <c r="H483" s="22" t="s">
        <v>39</v>
      </c>
      <c r="I483" s="22" t="s">
        <v>20</v>
      </c>
      <c r="J483" s="22" t="s">
        <v>21</v>
      </c>
      <c r="K483" s="22" t="s">
        <v>22</v>
      </c>
      <c r="L483" s="22" t="s">
        <v>33</v>
      </c>
      <c r="M483" s="22" t="s">
        <v>66</v>
      </c>
      <c r="N483" s="22">
        <v>21</v>
      </c>
      <c r="O483" s="26">
        <v>4499</v>
      </c>
      <c r="P483" s="22">
        <v>0.2</v>
      </c>
      <c r="Q483" s="30">
        <v>2910</v>
      </c>
      <c r="R483" s="33">
        <f>Table1_1[[#This Row],[Units Sold]]*Table1_1[[#This Row],[Unit Price]]*1-Table1_1[[#This Row],[Discount]]</f>
        <v>94478.8</v>
      </c>
      <c r="S483" s="33">
        <f>Table1_1[[#This Row],[Units Sold]]*Table1_1[[#This Row],[Unit Cost]]</f>
        <v>61110</v>
      </c>
      <c r="T483" s="33">
        <f>Table1_1[[#This Row],[Sales Amount]]-S483</f>
        <v>33368.800000000003</v>
      </c>
      <c r="U483" s="32">
        <f>IFERROR(Table1_1[[#This Row],[Profit/loss]]/Table1_1[[#This Row],[Sales Amount]],0)</f>
        <v>0.35318822847030235</v>
      </c>
    </row>
    <row r="484" spans="1:21" ht="18" x14ac:dyDescent="0.35">
      <c r="A484" s="21" t="s">
        <v>591</v>
      </c>
      <c r="B484" s="36">
        <v>45539</v>
      </c>
      <c r="C484" s="22">
        <f>YEAR(Table1_1[[#This Row],[Order Date]])</f>
        <v>2024</v>
      </c>
      <c r="D484" s="22" t="str">
        <f>TEXT(Table1_1[[#This Row],[Order Date]],"MMMM")</f>
        <v>September</v>
      </c>
      <c r="E484" s="22" t="s">
        <v>26</v>
      </c>
      <c r="F484" s="22" t="s">
        <v>53</v>
      </c>
      <c r="G484" s="22" t="s">
        <v>18</v>
      </c>
      <c r="H484" s="22" t="s">
        <v>39</v>
      </c>
      <c r="I484" s="22" t="s">
        <v>40</v>
      </c>
      <c r="J484" s="22" t="s">
        <v>41</v>
      </c>
      <c r="K484" s="22" t="s">
        <v>1624</v>
      </c>
      <c r="L484" s="22" t="s">
        <v>23</v>
      </c>
      <c r="M484" s="22" t="s">
        <v>66</v>
      </c>
      <c r="N484" s="22">
        <v>34</v>
      </c>
      <c r="O484" s="26">
        <v>48990</v>
      </c>
      <c r="P484" s="22">
        <v>0.05</v>
      </c>
      <c r="Q484" s="30">
        <v>30100</v>
      </c>
      <c r="R484" s="33">
        <f>Table1_1[[#This Row],[Units Sold]]*Table1_1[[#This Row],[Unit Price]]*1-Table1_1[[#This Row],[Discount]]</f>
        <v>1665659.95</v>
      </c>
      <c r="S484" s="33">
        <f>Table1_1[[#This Row],[Units Sold]]*Table1_1[[#This Row],[Unit Cost]]</f>
        <v>1023400</v>
      </c>
      <c r="T484" s="33">
        <f>Table1_1[[#This Row],[Sales Amount]]-S484</f>
        <v>642259.94999999995</v>
      </c>
      <c r="U484" s="32">
        <f>IFERROR(Table1_1[[#This Row],[Profit/loss]]/Table1_1[[#This Row],[Sales Amount]],0)</f>
        <v>0.38558887724952501</v>
      </c>
    </row>
    <row r="485" spans="1:21" ht="18" x14ac:dyDescent="0.35">
      <c r="A485" s="21" t="s">
        <v>592</v>
      </c>
      <c r="B485" s="36">
        <v>45540</v>
      </c>
      <c r="C485" s="22">
        <f>YEAR(Table1_1[[#This Row],[Order Date]])</f>
        <v>2024</v>
      </c>
      <c r="D485" s="22" t="str">
        <f>TEXT(Table1_1[[#This Row],[Order Date]],"MMMM")</f>
        <v>September</v>
      </c>
      <c r="E485" s="22" t="s">
        <v>36</v>
      </c>
      <c r="F485" s="22" t="s">
        <v>37</v>
      </c>
      <c r="G485" s="22" t="s">
        <v>69</v>
      </c>
      <c r="H485" s="22" t="s">
        <v>39</v>
      </c>
      <c r="I485" s="22" t="s">
        <v>30</v>
      </c>
      <c r="J485" s="22" t="s">
        <v>61</v>
      </c>
      <c r="K485" s="22" t="s">
        <v>186</v>
      </c>
      <c r="L485" s="22" t="s">
        <v>57</v>
      </c>
      <c r="M485" s="22" t="s">
        <v>24</v>
      </c>
      <c r="N485" s="22">
        <v>14</v>
      </c>
      <c r="O485" s="26">
        <v>6999</v>
      </c>
      <c r="P485" s="22">
        <v>0.1</v>
      </c>
      <c r="Q485" s="30">
        <v>4320</v>
      </c>
      <c r="R485" s="33">
        <f>Table1_1[[#This Row],[Units Sold]]*Table1_1[[#This Row],[Unit Price]]*1-Table1_1[[#This Row],[Discount]]</f>
        <v>97985.9</v>
      </c>
      <c r="S485" s="33">
        <f>Table1_1[[#This Row],[Units Sold]]*Table1_1[[#This Row],[Unit Cost]]</f>
        <v>60480</v>
      </c>
      <c r="T485" s="33">
        <f>Table1_1[[#This Row],[Sales Amount]]-S485</f>
        <v>37505.899999999994</v>
      </c>
      <c r="U485" s="32">
        <f>IFERROR(Table1_1[[#This Row],[Profit/loss]]/Table1_1[[#This Row],[Sales Amount]],0)</f>
        <v>0.3827683370770692</v>
      </c>
    </row>
    <row r="486" spans="1:21" ht="18" x14ac:dyDescent="0.35">
      <c r="A486" s="21" t="s">
        <v>593</v>
      </c>
      <c r="B486" s="36">
        <v>45540</v>
      </c>
      <c r="C486" s="22">
        <f>YEAR(Table1_1[[#This Row],[Order Date]])</f>
        <v>2024</v>
      </c>
      <c r="D486" s="22" t="str">
        <f>TEXT(Table1_1[[#This Row],[Order Date]],"MMMM")</f>
        <v>September</v>
      </c>
      <c r="E486" s="22" t="s">
        <v>16</v>
      </c>
      <c r="F486" s="22" t="s">
        <v>111</v>
      </c>
      <c r="G486" s="22" t="s">
        <v>101</v>
      </c>
      <c r="H486" s="22" t="s">
        <v>39</v>
      </c>
      <c r="I486" s="22" t="s">
        <v>20</v>
      </c>
      <c r="J486" s="22" t="s">
        <v>45</v>
      </c>
      <c r="K486" s="22" t="s">
        <v>1618</v>
      </c>
      <c r="L486" s="22" t="s">
        <v>33</v>
      </c>
      <c r="M486" s="22" t="s">
        <v>24</v>
      </c>
      <c r="N486" s="22">
        <v>23</v>
      </c>
      <c r="O486" s="26">
        <v>1899</v>
      </c>
      <c r="P486" s="22">
        <v>0.12</v>
      </c>
      <c r="Q486" s="30">
        <v>1080</v>
      </c>
      <c r="R486" s="33">
        <f>Table1_1[[#This Row],[Units Sold]]*Table1_1[[#This Row],[Unit Price]]*1-Table1_1[[#This Row],[Discount]]</f>
        <v>43676.88</v>
      </c>
      <c r="S486" s="33">
        <f>Table1_1[[#This Row],[Units Sold]]*Table1_1[[#This Row],[Unit Cost]]</f>
        <v>24840</v>
      </c>
      <c r="T486" s="33">
        <f>Table1_1[[#This Row],[Sales Amount]]-S486</f>
        <v>18836.879999999997</v>
      </c>
      <c r="U486" s="32">
        <f>IFERROR(Table1_1[[#This Row],[Profit/loss]]/Table1_1[[#This Row],[Sales Amount]],0)</f>
        <v>0.43127805832284721</v>
      </c>
    </row>
    <row r="487" spans="1:21" ht="18" x14ac:dyDescent="0.35">
      <c r="A487" s="21" t="s">
        <v>594</v>
      </c>
      <c r="B487" s="36">
        <v>45540</v>
      </c>
      <c r="C487" s="22">
        <f>YEAR(Table1_1[[#This Row],[Order Date]])</f>
        <v>2024</v>
      </c>
      <c r="D487" s="22" t="str">
        <f>TEXT(Table1_1[[#This Row],[Order Date]],"MMMM")</f>
        <v>September</v>
      </c>
      <c r="E487" s="22" t="s">
        <v>16</v>
      </c>
      <c r="F487" s="22" t="s">
        <v>98</v>
      </c>
      <c r="G487" s="22" t="s">
        <v>38</v>
      </c>
      <c r="H487" s="22" t="s">
        <v>39</v>
      </c>
      <c r="I487" s="22" t="s">
        <v>30</v>
      </c>
      <c r="J487" s="22" t="s">
        <v>61</v>
      </c>
      <c r="K487" s="22" t="s">
        <v>96</v>
      </c>
      <c r="L487" s="22" t="s">
        <v>33</v>
      </c>
      <c r="M487" s="22" t="s">
        <v>78</v>
      </c>
      <c r="N487" s="22">
        <v>19</v>
      </c>
      <c r="O487" s="26">
        <v>25110</v>
      </c>
      <c r="P487" s="22">
        <v>0.1</v>
      </c>
      <c r="Q487" s="30">
        <v>16730</v>
      </c>
      <c r="R487" s="33">
        <f>Table1_1[[#This Row],[Units Sold]]*Table1_1[[#This Row],[Unit Price]]*1-Table1_1[[#This Row],[Discount]]</f>
        <v>477089.9</v>
      </c>
      <c r="S487" s="33">
        <f>Table1_1[[#This Row],[Units Sold]]*Table1_1[[#This Row],[Unit Cost]]</f>
        <v>317870</v>
      </c>
      <c r="T487" s="33">
        <f>Table1_1[[#This Row],[Sales Amount]]-S487</f>
        <v>159219.90000000002</v>
      </c>
      <c r="U487" s="32">
        <f>IFERROR(Table1_1[[#This Row],[Profit/loss]]/Table1_1[[#This Row],[Sales Amount]],0)</f>
        <v>0.33373144139081545</v>
      </c>
    </row>
    <row r="488" spans="1:21" ht="18" x14ac:dyDescent="0.35">
      <c r="A488" s="21" t="s">
        <v>595</v>
      </c>
      <c r="B488" s="36">
        <v>45540</v>
      </c>
      <c r="C488" s="22">
        <f>YEAR(Table1_1[[#This Row],[Order Date]])</f>
        <v>2024</v>
      </c>
      <c r="D488" s="22" t="str">
        <f>TEXT(Table1_1[[#This Row],[Order Date]],"MMMM")</f>
        <v>September</v>
      </c>
      <c r="E488" s="22" t="s">
        <v>26</v>
      </c>
      <c r="F488" s="22" t="s">
        <v>163</v>
      </c>
      <c r="G488" s="22" t="s">
        <v>50</v>
      </c>
      <c r="H488" s="22" t="s">
        <v>39</v>
      </c>
      <c r="I488" s="22" t="s">
        <v>30</v>
      </c>
      <c r="J488" s="22" t="s">
        <v>31</v>
      </c>
      <c r="K488" s="22" t="s">
        <v>32</v>
      </c>
      <c r="L488" s="22" t="s">
        <v>57</v>
      </c>
      <c r="M488" s="22" t="s">
        <v>66</v>
      </c>
      <c r="N488" s="22">
        <v>39</v>
      </c>
      <c r="O488" s="26">
        <v>38990</v>
      </c>
      <c r="P488" s="22">
        <v>0.12</v>
      </c>
      <c r="Q488" s="30">
        <v>25400</v>
      </c>
      <c r="R488" s="33">
        <f>Table1_1[[#This Row],[Units Sold]]*Table1_1[[#This Row],[Unit Price]]*1-Table1_1[[#This Row],[Discount]]</f>
        <v>1520609.88</v>
      </c>
      <c r="S488" s="33">
        <f>Table1_1[[#This Row],[Units Sold]]*Table1_1[[#This Row],[Unit Cost]]</f>
        <v>990600</v>
      </c>
      <c r="T488" s="33">
        <f>Table1_1[[#This Row],[Sales Amount]]-S488</f>
        <v>530009.87999999989</v>
      </c>
      <c r="U488" s="32">
        <f>IFERROR(Table1_1[[#This Row],[Profit/loss]]/Table1_1[[#This Row],[Sales Amount]],0)</f>
        <v>0.34855085908030531</v>
      </c>
    </row>
    <row r="489" spans="1:21" ht="18" x14ac:dyDescent="0.35">
      <c r="A489" s="21" t="s">
        <v>596</v>
      </c>
      <c r="B489" s="36">
        <v>45540</v>
      </c>
      <c r="C489" s="22">
        <f>YEAR(Table1_1[[#This Row],[Order Date]])</f>
        <v>2024</v>
      </c>
      <c r="D489" s="22" t="str">
        <f>TEXT(Table1_1[[#This Row],[Order Date]],"MMMM")</f>
        <v>September</v>
      </c>
      <c r="E489" s="22" t="s">
        <v>16</v>
      </c>
      <c r="F489" s="22" t="s">
        <v>17</v>
      </c>
      <c r="G489" s="22" t="s">
        <v>69</v>
      </c>
      <c r="H489" s="22" t="s">
        <v>29</v>
      </c>
      <c r="I489" s="22" t="s">
        <v>40</v>
      </c>
      <c r="J489" s="22" t="s">
        <v>41</v>
      </c>
      <c r="K489" s="22" t="s">
        <v>1628</v>
      </c>
      <c r="L489" s="22" t="s">
        <v>33</v>
      </c>
      <c r="M489" s="22" t="s">
        <v>24</v>
      </c>
      <c r="N489" s="22">
        <v>20</v>
      </c>
      <c r="O489" s="26">
        <v>48500</v>
      </c>
      <c r="P489" s="22">
        <v>0.12</v>
      </c>
      <c r="Q489" s="30">
        <v>30200</v>
      </c>
      <c r="R489" s="33">
        <f>Table1_1[[#This Row],[Units Sold]]*Table1_1[[#This Row],[Unit Price]]*1-Table1_1[[#This Row],[Discount]]</f>
        <v>969999.88</v>
      </c>
      <c r="S489" s="33">
        <f>Table1_1[[#This Row],[Units Sold]]*Table1_1[[#This Row],[Unit Cost]]</f>
        <v>604000</v>
      </c>
      <c r="T489" s="33">
        <f>Table1_1[[#This Row],[Sales Amount]]-S489</f>
        <v>365999.88</v>
      </c>
      <c r="U489" s="32">
        <f>IFERROR(Table1_1[[#This Row],[Profit/loss]]/Table1_1[[#This Row],[Sales Amount]],0)</f>
        <v>0.37731951059622809</v>
      </c>
    </row>
    <row r="490" spans="1:21" ht="18" x14ac:dyDescent="0.35">
      <c r="A490" s="21" t="s">
        <v>597</v>
      </c>
      <c r="B490" s="36">
        <v>45541</v>
      </c>
      <c r="C490" s="22">
        <f>YEAR(Table1_1[[#This Row],[Order Date]])</f>
        <v>2024</v>
      </c>
      <c r="D490" s="22" t="str">
        <f>TEXT(Table1_1[[#This Row],[Order Date]],"MMMM")</f>
        <v>September</v>
      </c>
      <c r="E490" s="22" t="s">
        <v>26</v>
      </c>
      <c r="F490" s="22" t="s">
        <v>27</v>
      </c>
      <c r="G490" s="22" t="s">
        <v>60</v>
      </c>
      <c r="H490" s="22" t="s">
        <v>19</v>
      </c>
      <c r="I490" s="22" t="s">
        <v>20</v>
      </c>
      <c r="J490" s="22" t="s">
        <v>21</v>
      </c>
      <c r="K490" s="22" t="s">
        <v>22</v>
      </c>
      <c r="L490" s="22" t="s">
        <v>23</v>
      </c>
      <c r="M490" s="22" t="s">
        <v>78</v>
      </c>
      <c r="N490" s="22">
        <v>21</v>
      </c>
      <c r="O490" s="26">
        <v>4499</v>
      </c>
      <c r="P490" s="22">
        <v>0.2</v>
      </c>
      <c r="Q490" s="30">
        <v>2910</v>
      </c>
      <c r="R490" s="33">
        <f>Table1_1[[#This Row],[Units Sold]]*Table1_1[[#This Row],[Unit Price]]*1-Table1_1[[#This Row],[Discount]]</f>
        <v>94478.8</v>
      </c>
      <c r="S490" s="33">
        <f>Table1_1[[#This Row],[Units Sold]]*Table1_1[[#This Row],[Unit Cost]]</f>
        <v>61110</v>
      </c>
      <c r="T490" s="33">
        <f>Table1_1[[#This Row],[Sales Amount]]-S490</f>
        <v>33368.800000000003</v>
      </c>
      <c r="U490" s="32">
        <f>IFERROR(Table1_1[[#This Row],[Profit/loss]]/Table1_1[[#This Row],[Sales Amount]],0)</f>
        <v>0.35318822847030235</v>
      </c>
    </row>
    <row r="491" spans="1:21" ht="18" x14ac:dyDescent="0.35">
      <c r="A491" s="21" t="s">
        <v>598</v>
      </c>
      <c r="B491" s="36">
        <v>45541</v>
      </c>
      <c r="C491" s="22">
        <f>YEAR(Table1_1[[#This Row],[Order Date]])</f>
        <v>2024</v>
      </c>
      <c r="D491" s="22" t="str">
        <f>TEXT(Table1_1[[#This Row],[Order Date]],"MMMM")</f>
        <v>September</v>
      </c>
      <c r="E491" s="22" t="s">
        <v>26</v>
      </c>
      <c r="F491" s="22" t="s">
        <v>163</v>
      </c>
      <c r="G491" s="22" t="s">
        <v>69</v>
      </c>
      <c r="H491" s="22" t="s">
        <v>29</v>
      </c>
      <c r="I491" s="22" t="s">
        <v>30</v>
      </c>
      <c r="J491" s="22" t="s">
        <v>61</v>
      </c>
      <c r="K491" s="22" t="s">
        <v>96</v>
      </c>
      <c r="L491" s="22" t="s">
        <v>33</v>
      </c>
      <c r="M491" s="22" t="s">
        <v>24</v>
      </c>
      <c r="N491" s="22">
        <v>2</v>
      </c>
      <c r="O491" s="26">
        <v>25110</v>
      </c>
      <c r="P491" s="22">
        <v>0.08</v>
      </c>
      <c r="Q491" s="30">
        <v>16730</v>
      </c>
      <c r="R491" s="33">
        <f>Table1_1[[#This Row],[Units Sold]]*Table1_1[[#This Row],[Unit Price]]*1-Table1_1[[#This Row],[Discount]]</f>
        <v>50219.92</v>
      </c>
      <c r="S491" s="33">
        <f>Table1_1[[#This Row],[Units Sold]]*Table1_1[[#This Row],[Unit Cost]]</f>
        <v>33460</v>
      </c>
      <c r="T491" s="33">
        <f>Table1_1[[#This Row],[Sales Amount]]-S491</f>
        <v>16759.919999999998</v>
      </c>
      <c r="U491" s="32">
        <f>IFERROR(Table1_1[[#This Row],[Profit/loss]]/Table1_1[[#This Row],[Sales Amount]],0)</f>
        <v>0.33373051968222966</v>
      </c>
    </row>
    <row r="492" spans="1:21" ht="18" x14ac:dyDescent="0.35">
      <c r="A492" s="21" t="s">
        <v>599</v>
      </c>
      <c r="B492" s="36">
        <v>45542</v>
      </c>
      <c r="C492" s="22">
        <f>YEAR(Table1_1[[#This Row],[Order Date]])</f>
        <v>2024</v>
      </c>
      <c r="D492" s="22" t="str">
        <f>TEXT(Table1_1[[#This Row],[Order Date]],"MMMM")</f>
        <v>September</v>
      </c>
      <c r="E492" s="22" t="s">
        <v>48</v>
      </c>
      <c r="F492" s="22" t="s">
        <v>49</v>
      </c>
      <c r="G492" s="22" t="s">
        <v>18</v>
      </c>
      <c r="H492" s="22" t="s">
        <v>29</v>
      </c>
      <c r="I492" s="22" t="s">
        <v>30</v>
      </c>
      <c r="J492" s="22" t="s">
        <v>61</v>
      </c>
      <c r="K492" s="22" t="s">
        <v>186</v>
      </c>
      <c r="L492" s="22" t="s">
        <v>33</v>
      </c>
      <c r="M492" s="22" t="s">
        <v>24</v>
      </c>
      <c r="N492" s="22">
        <v>26</v>
      </c>
      <c r="O492" s="26">
        <v>6999</v>
      </c>
      <c r="P492" s="22">
        <v>0.12</v>
      </c>
      <c r="Q492" s="30">
        <v>4320</v>
      </c>
      <c r="R492" s="33">
        <f>Table1_1[[#This Row],[Units Sold]]*Table1_1[[#This Row],[Unit Price]]*1-Table1_1[[#This Row],[Discount]]</f>
        <v>181973.88</v>
      </c>
      <c r="S492" s="33">
        <f>Table1_1[[#This Row],[Units Sold]]*Table1_1[[#This Row],[Unit Cost]]</f>
        <v>112320</v>
      </c>
      <c r="T492" s="33">
        <f>Table1_1[[#This Row],[Sales Amount]]-S492</f>
        <v>69653.88</v>
      </c>
      <c r="U492" s="32">
        <f>IFERROR(Table1_1[[#This Row],[Profit/loss]]/Table1_1[[#This Row],[Sales Amount]],0)</f>
        <v>0.38276855997135417</v>
      </c>
    </row>
    <row r="493" spans="1:21" ht="18" x14ac:dyDescent="0.35">
      <c r="A493" s="21" t="s">
        <v>600</v>
      </c>
      <c r="B493" s="36">
        <v>45543</v>
      </c>
      <c r="C493" s="22">
        <f>YEAR(Table1_1[[#This Row],[Order Date]])</f>
        <v>2024</v>
      </c>
      <c r="D493" s="22" t="str">
        <f>TEXT(Table1_1[[#This Row],[Order Date]],"MMMM")</f>
        <v>September</v>
      </c>
      <c r="E493" s="22" t="s">
        <v>36</v>
      </c>
      <c r="F493" s="22" t="s">
        <v>59</v>
      </c>
      <c r="G493" s="22" t="s">
        <v>101</v>
      </c>
      <c r="H493" s="22" t="s">
        <v>19</v>
      </c>
      <c r="I493" s="22" t="s">
        <v>54</v>
      </c>
      <c r="J493" s="22" t="s">
        <v>55</v>
      </c>
      <c r="K493" s="22" t="s">
        <v>148</v>
      </c>
      <c r="L493" s="22" t="s">
        <v>57</v>
      </c>
      <c r="M493" s="22" t="s">
        <v>78</v>
      </c>
      <c r="N493" s="22">
        <v>36</v>
      </c>
      <c r="O493" s="26">
        <v>4680</v>
      </c>
      <c r="P493" s="22">
        <v>0.2</v>
      </c>
      <c r="Q493" s="30">
        <v>3250</v>
      </c>
      <c r="R493" s="33">
        <f>Table1_1[[#This Row],[Units Sold]]*Table1_1[[#This Row],[Unit Price]]*1-Table1_1[[#This Row],[Discount]]</f>
        <v>168479.8</v>
      </c>
      <c r="S493" s="33">
        <f>Table1_1[[#This Row],[Units Sold]]*Table1_1[[#This Row],[Unit Cost]]</f>
        <v>117000</v>
      </c>
      <c r="T493" s="33">
        <f>Table1_1[[#This Row],[Sales Amount]]-S493</f>
        <v>51479.799999999988</v>
      </c>
      <c r="U493" s="32">
        <f>IFERROR(Table1_1[[#This Row],[Profit/loss]]/Table1_1[[#This Row],[Sales Amount]],0)</f>
        <v>0.30555473119032661</v>
      </c>
    </row>
    <row r="494" spans="1:21" ht="18" x14ac:dyDescent="0.35">
      <c r="A494" s="21" t="s">
        <v>601</v>
      </c>
      <c r="B494" s="36">
        <v>45543</v>
      </c>
      <c r="C494" s="22">
        <f>YEAR(Table1_1[[#This Row],[Order Date]])</f>
        <v>2024</v>
      </c>
      <c r="D494" s="22" t="str">
        <f>TEXT(Table1_1[[#This Row],[Order Date]],"MMMM")</f>
        <v>September</v>
      </c>
      <c r="E494" s="22" t="s">
        <v>36</v>
      </c>
      <c r="F494" s="22" t="s">
        <v>37</v>
      </c>
      <c r="G494" s="22" t="s">
        <v>75</v>
      </c>
      <c r="H494" s="22" t="s">
        <v>39</v>
      </c>
      <c r="I494" s="22" t="s">
        <v>54</v>
      </c>
      <c r="J494" s="22" t="s">
        <v>129</v>
      </c>
      <c r="K494" s="22" t="s">
        <v>145</v>
      </c>
      <c r="L494" s="22" t="s">
        <v>57</v>
      </c>
      <c r="M494" s="22" t="s">
        <v>24</v>
      </c>
      <c r="N494" s="22">
        <v>5</v>
      </c>
      <c r="O494" s="26">
        <v>31490</v>
      </c>
      <c r="P494" s="22">
        <v>0.2</v>
      </c>
      <c r="Q494" s="30">
        <v>21300</v>
      </c>
      <c r="R494" s="33">
        <f>Table1_1[[#This Row],[Units Sold]]*Table1_1[[#This Row],[Unit Price]]*1-Table1_1[[#This Row],[Discount]]</f>
        <v>157449.79999999999</v>
      </c>
      <c r="S494" s="33">
        <f>Table1_1[[#This Row],[Units Sold]]*Table1_1[[#This Row],[Unit Cost]]</f>
        <v>106500</v>
      </c>
      <c r="T494" s="33">
        <f>Table1_1[[#This Row],[Sales Amount]]-S494</f>
        <v>50949.799999999988</v>
      </c>
      <c r="U494" s="32">
        <f>IFERROR(Table1_1[[#This Row],[Profit/loss]]/Table1_1[[#This Row],[Sales Amount]],0)</f>
        <v>0.3235939327963579</v>
      </c>
    </row>
    <row r="495" spans="1:21" ht="18" x14ac:dyDescent="0.35">
      <c r="A495" s="21" t="s">
        <v>602</v>
      </c>
      <c r="B495" s="36">
        <v>45544</v>
      </c>
      <c r="C495" s="22">
        <f>YEAR(Table1_1[[#This Row],[Order Date]])</f>
        <v>2024</v>
      </c>
      <c r="D495" s="22" t="str">
        <f>TEXT(Table1_1[[#This Row],[Order Date]],"MMMM")</f>
        <v>September</v>
      </c>
      <c r="E495" s="22" t="s">
        <v>48</v>
      </c>
      <c r="F495" s="22" t="s">
        <v>49</v>
      </c>
      <c r="G495" s="22" t="s">
        <v>28</v>
      </c>
      <c r="H495" s="22" t="s">
        <v>39</v>
      </c>
      <c r="I495" s="22" t="s">
        <v>40</v>
      </c>
      <c r="J495" s="22" t="s">
        <v>64</v>
      </c>
      <c r="K495" s="22" t="s">
        <v>1619</v>
      </c>
      <c r="L495" s="22" t="s">
        <v>57</v>
      </c>
      <c r="M495" s="22" t="s">
        <v>24</v>
      </c>
      <c r="N495" s="22">
        <v>40</v>
      </c>
      <c r="O495" s="26">
        <v>1930</v>
      </c>
      <c r="P495" s="22">
        <v>0.1</v>
      </c>
      <c r="Q495" s="30">
        <v>1120</v>
      </c>
      <c r="R495" s="33">
        <f>Table1_1[[#This Row],[Units Sold]]*Table1_1[[#This Row],[Unit Price]]*1-Table1_1[[#This Row],[Discount]]</f>
        <v>77199.899999999994</v>
      </c>
      <c r="S495" s="33">
        <f>Table1_1[[#This Row],[Units Sold]]*Table1_1[[#This Row],[Unit Cost]]</f>
        <v>44800</v>
      </c>
      <c r="T495" s="33">
        <f>Table1_1[[#This Row],[Sales Amount]]-S495</f>
        <v>32399.899999999994</v>
      </c>
      <c r="U495" s="32">
        <f>IFERROR(Table1_1[[#This Row],[Profit/loss]]/Table1_1[[#This Row],[Sales Amount]],0)</f>
        <v>0.41968836747197857</v>
      </c>
    </row>
    <row r="496" spans="1:21" ht="18" x14ac:dyDescent="0.35">
      <c r="A496" s="21" t="s">
        <v>603</v>
      </c>
      <c r="B496" s="36">
        <v>45544</v>
      </c>
      <c r="C496" s="22">
        <f>YEAR(Table1_1[[#This Row],[Order Date]])</f>
        <v>2024</v>
      </c>
      <c r="D496" s="22" t="str">
        <f>TEXT(Table1_1[[#This Row],[Order Date]],"MMMM")</f>
        <v>September</v>
      </c>
      <c r="E496" s="22" t="s">
        <v>26</v>
      </c>
      <c r="F496" s="22" t="s">
        <v>74</v>
      </c>
      <c r="G496" s="22" t="s">
        <v>84</v>
      </c>
      <c r="H496" s="22" t="s">
        <v>19</v>
      </c>
      <c r="I496" s="22" t="s">
        <v>40</v>
      </c>
      <c r="J496" s="22" t="s">
        <v>76</v>
      </c>
      <c r="K496" s="22" t="s">
        <v>113</v>
      </c>
      <c r="L496" s="22" t="s">
        <v>23</v>
      </c>
      <c r="M496" s="22" t="s">
        <v>78</v>
      </c>
      <c r="N496" s="22">
        <v>32</v>
      </c>
      <c r="O496" s="26">
        <v>22999</v>
      </c>
      <c r="P496" s="22">
        <v>0.12</v>
      </c>
      <c r="Q496" s="30">
        <v>15100</v>
      </c>
      <c r="R496" s="33">
        <f>Table1_1[[#This Row],[Units Sold]]*Table1_1[[#This Row],[Unit Price]]*1-Table1_1[[#This Row],[Discount]]</f>
        <v>735967.88</v>
      </c>
      <c r="S496" s="33">
        <f>Table1_1[[#This Row],[Units Sold]]*Table1_1[[#This Row],[Unit Cost]]</f>
        <v>483200</v>
      </c>
      <c r="T496" s="33">
        <f>Table1_1[[#This Row],[Sales Amount]]-S496</f>
        <v>252767.88</v>
      </c>
      <c r="U496" s="32">
        <f>IFERROR(Table1_1[[#This Row],[Profit/loss]]/Table1_1[[#This Row],[Sales Amount]],0)</f>
        <v>0.34344960815409498</v>
      </c>
    </row>
    <row r="497" spans="1:21" ht="18" x14ac:dyDescent="0.35">
      <c r="A497" s="21" t="s">
        <v>604</v>
      </c>
      <c r="B497" s="36">
        <v>45546</v>
      </c>
      <c r="C497" s="22">
        <f>YEAR(Table1_1[[#This Row],[Order Date]])</f>
        <v>2024</v>
      </c>
      <c r="D497" s="22" t="str">
        <f>TEXT(Table1_1[[#This Row],[Order Date]],"MMMM")</f>
        <v>September</v>
      </c>
      <c r="E497" s="22" t="s">
        <v>36</v>
      </c>
      <c r="F497" s="22" t="s">
        <v>59</v>
      </c>
      <c r="G497" s="22" t="s">
        <v>101</v>
      </c>
      <c r="H497" s="22" t="s">
        <v>29</v>
      </c>
      <c r="I497" s="22" t="s">
        <v>20</v>
      </c>
      <c r="J497" s="22" t="s">
        <v>45</v>
      </c>
      <c r="K497" s="22" t="s">
        <v>1618</v>
      </c>
      <c r="L497" s="22" t="s">
        <v>23</v>
      </c>
      <c r="M497" s="22" t="s">
        <v>66</v>
      </c>
      <c r="N497" s="22">
        <v>4</v>
      </c>
      <c r="O497" s="26">
        <v>1899</v>
      </c>
      <c r="P497" s="22">
        <v>0.15</v>
      </c>
      <c r="Q497" s="30">
        <v>1080</v>
      </c>
      <c r="R497" s="33">
        <f>Table1_1[[#This Row],[Units Sold]]*Table1_1[[#This Row],[Unit Price]]*1-Table1_1[[#This Row],[Discount]]</f>
        <v>7595.85</v>
      </c>
      <c r="S497" s="33">
        <f>Table1_1[[#This Row],[Units Sold]]*Table1_1[[#This Row],[Unit Cost]]</f>
        <v>4320</v>
      </c>
      <c r="T497" s="33">
        <f>Table1_1[[#This Row],[Sales Amount]]-S497</f>
        <v>3275.8500000000004</v>
      </c>
      <c r="U497" s="32">
        <f>IFERROR(Table1_1[[#This Row],[Profit/loss]]/Table1_1[[#This Row],[Sales Amount]],0)</f>
        <v>0.43126838997610539</v>
      </c>
    </row>
    <row r="498" spans="1:21" ht="18" x14ac:dyDescent="0.35">
      <c r="A498" s="21" t="s">
        <v>605</v>
      </c>
      <c r="B498" s="36">
        <v>45546</v>
      </c>
      <c r="C498" s="22">
        <f>YEAR(Table1_1[[#This Row],[Order Date]])</f>
        <v>2024</v>
      </c>
      <c r="D498" s="22" t="str">
        <f>TEXT(Table1_1[[#This Row],[Order Date]],"MMMM")</f>
        <v>September</v>
      </c>
      <c r="E498" s="22" t="s">
        <v>36</v>
      </c>
      <c r="F498" s="22" t="s">
        <v>37</v>
      </c>
      <c r="G498" s="22" t="s">
        <v>101</v>
      </c>
      <c r="H498" s="22" t="s">
        <v>39</v>
      </c>
      <c r="I498" s="22" t="s">
        <v>54</v>
      </c>
      <c r="J498" s="22" t="s">
        <v>55</v>
      </c>
      <c r="K498" s="22" t="s">
        <v>148</v>
      </c>
      <c r="L498" s="22" t="s">
        <v>23</v>
      </c>
      <c r="M498" s="22" t="s">
        <v>24</v>
      </c>
      <c r="N498" s="22">
        <v>1</v>
      </c>
      <c r="O498" s="26">
        <v>4680</v>
      </c>
      <c r="P498" s="22">
        <v>0.08</v>
      </c>
      <c r="Q498" s="30">
        <v>3250</v>
      </c>
      <c r="R498" s="33">
        <f>Table1_1[[#This Row],[Units Sold]]*Table1_1[[#This Row],[Unit Price]]*1-Table1_1[[#This Row],[Discount]]</f>
        <v>4679.92</v>
      </c>
      <c r="S498" s="33">
        <f>Table1_1[[#This Row],[Units Sold]]*Table1_1[[#This Row],[Unit Cost]]</f>
        <v>3250</v>
      </c>
      <c r="T498" s="33">
        <f>Table1_1[[#This Row],[Sales Amount]]-S498</f>
        <v>1429.92</v>
      </c>
      <c r="U498" s="32">
        <f>IFERROR(Table1_1[[#This Row],[Profit/loss]]/Table1_1[[#This Row],[Sales Amount]],0)</f>
        <v>0.30554368450742747</v>
      </c>
    </row>
    <row r="499" spans="1:21" ht="18" x14ac:dyDescent="0.35">
      <c r="A499" s="21" t="s">
        <v>606</v>
      </c>
      <c r="B499" s="36">
        <v>45546</v>
      </c>
      <c r="C499" s="22">
        <f>YEAR(Table1_1[[#This Row],[Order Date]])</f>
        <v>2024</v>
      </c>
      <c r="D499" s="22" t="str">
        <f>TEXT(Table1_1[[#This Row],[Order Date]],"MMMM")</f>
        <v>September</v>
      </c>
      <c r="E499" s="22" t="s">
        <v>48</v>
      </c>
      <c r="F499" s="22" t="s">
        <v>93</v>
      </c>
      <c r="G499" s="22" t="s">
        <v>50</v>
      </c>
      <c r="H499" s="22" t="s">
        <v>29</v>
      </c>
      <c r="I499" s="22" t="s">
        <v>54</v>
      </c>
      <c r="J499" s="22" t="s">
        <v>129</v>
      </c>
      <c r="K499" s="22" t="s">
        <v>145</v>
      </c>
      <c r="L499" s="22" t="s">
        <v>23</v>
      </c>
      <c r="M499" s="22" t="s">
        <v>24</v>
      </c>
      <c r="N499" s="22">
        <v>37</v>
      </c>
      <c r="O499" s="26">
        <v>31490</v>
      </c>
      <c r="P499" s="22">
        <v>0.05</v>
      </c>
      <c r="Q499" s="30">
        <v>21300</v>
      </c>
      <c r="R499" s="33">
        <f>Table1_1[[#This Row],[Units Sold]]*Table1_1[[#This Row],[Unit Price]]*1-Table1_1[[#This Row],[Discount]]</f>
        <v>1165129.95</v>
      </c>
      <c r="S499" s="33">
        <f>Table1_1[[#This Row],[Units Sold]]*Table1_1[[#This Row],[Unit Cost]]</f>
        <v>788100</v>
      </c>
      <c r="T499" s="33">
        <f>Table1_1[[#This Row],[Sales Amount]]-S499</f>
        <v>377029.94999999995</v>
      </c>
      <c r="U499" s="32">
        <f>IFERROR(Table1_1[[#This Row],[Profit/loss]]/Table1_1[[#This Row],[Sales Amount]],0)</f>
        <v>0.32359476297043088</v>
      </c>
    </row>
    <row r="500" spans="1:21" ht="18" x14ac:dyDescent="0.35">
      <c r="A500" s="21" t="s">
        <v>607</v>
      </c>
      <c r="B500" s="36">
        <v>45546</v>
      </c>
      <c r="C500" s="22">
        <f>YEAR(Table1_1[[#This Row],[Order Date]])</f>
        <v>2024</v>
      </c>
      <c r="D500" s="22" t="str">
        <f>TEXT(Table1_1[[#This Row],[Order Date]],"MMMM")</f>
        <v>September</v>
      </c>
      <c r="E500" s="22" t="s">
        <v>36</v>
      </c>
      <c r="F500" s="22" t="s">
        <v>121</v>
      </c>
      <c r="G500" s="22" t="s">
        <v>105</v>
      </c>
      <c r="H500" s="22" t="s">
        <v>39</v>
      </c>
      <c r="I500" s="22" t="s">
        <v>40</v>
      </c>
      <c r="J500" s="22" t="s">
        <v>64</v>
      </c>
      <c r="K500" s="22" t="s">
        <v>1627</v>
      </c>
      <c r="L500" s="22" t="s">
        <v>57</v>
      </c>
      <c r="M500" s="22" t="s">
        <v>24</v>
      </c>
      <c r="N500" s="22">
        <v>34</v>
      </c>
      <c r="O500" s="26">
        <v>4490</v>
      </c>
      <c r="P500" s="22">
        <v>0.18</v>
      </c>
      <c r="Q500" s="30">
        <v>2950</v>
      </c>
      <c r="R500" s="33">
        <f>Table1_1[[#This Row],[Units Sold]]*Table1_1[[#This Row],[Unit Price]]*1-Table1_1[[#This Row],[Discount]]</f>
        <v>152659.82</v>
      </c>
      <c r="S500" s="33">
        <f>Table1_1[[#This Row],[Units Sold]]*Table1_1[[#This Row],[Unit Cost]]</f>
        <v>100300</v>
      </c>
      <c r="T500" s="33">
        <f>Table1_1[[#This Row],[Sales Amount]]-S500</f>
        <v>52359.820000000007</v>
      </c>
      <c r="U500" s="32">
        <f>IFERROR(Table1_1[[#This Row],[Profit/loss]]/Table1_1[[#This Row],[Sales Amount]],0)</f>
        <v>0.34298363511760988</v>
      </c>
    </row>
    <row r="501" spans="1:21" ht="18" x14ac:dyDescent="0.35">
      <c r="A501" s="21" t="s">
        <v>608</v>
      </c>
      <c r="B501" s="36">
        <v>45546</v>
      </c>
      <c r="C501" s="22">
        <f>YEAR(Table1_1[[#This Row],[Order Date]])</f>
        <v>2024</v>
      </c>
      <c r="D501" s="22" t="str">
        <f>TEXT(Table1_1[[#This Row],[Order Date]],"MMMM")</f>
        <v>September</v>
      </c>
      <c r="E501" s="22" t="s">
        <v>16</v>
      </c>
      <c r="F501" s="22" t="s">
        <v>126</v>
      </c>
      <c r="G501" s="22" t="s">
        <v>50</v>
      </c>
      <c r="H501" s="22" t="s">
        <v>19</v>
      </c>
      <c r="I501" s="22" t="s">
        <v>30</v>
      </c>
      <c r="J501" s="22" t="s">
        <v>61</v>
      </c>
      <c r="K501" s="22" t="s">
        <v>186</v>
      </c>
      <c r="L501" s="22" t="s">
        <v>33</v>
      </c>
      <c r="M501" s="22" t="s">
        <v>66</v>
      </c>
      <c r="N501" s="22">
        <v>14</v>
      </c>
      <c r="O501" s="26">
        <v>6999</v>
      </c>
      <c r="P501" s="22">
        <v>0.1</v>
      </c>
      <c r="Q501" s="30">
        <v>4320</v>
      </c>
      <c r="R501" s="33">
        <f>Table1_1[[#This Row],[Units Sold]]*Table1_1[[#This Row],[Unit Price]]*1-Table1_1[[#This Row],[Discount]]</f>
        <v>97985.9</v>
      </c>
      <c r="S501" s="33">
        <f>Table1_1[[#This Row],[Units Sold]]*Table1_1[[#This Row],[Unit Cost]]</f>
        <v>60480</v>
      </c>
      <c r="T501" s="33">
        <f>Table1_1[[#This Row],[Sales Amount]]-S501</f>
        <v>37505.899999999994</v>
      </c>
      <c r="U501" s="32">
        <f>IFERROR(Table1_1[[#This Row],[Profit/loss]]/Table1_1[[#This Row],[Sales Amount]],0)</f>
        <v>0.3827683370770692</v>
      </c>
    </row>
    <row r="502" spans="1:21" ht="18" x14ac:dyDescent="0.35">
      <c r="A502" s="21" t="s">
        <v>609</v>
      </c>
      <c r="B502" s="36">
        <v>45547</v>
      </c>
      <c r="C502" s="22">
        <f>YEAR(Table1_1[[#This Row],[Order Date]])</f>
        <v>2024</v>
      </c>
      <c r="D502" s="22" t="str">
        <f>TEXT(Table1_1[[#This Row],[Order Date]],"MMMM")</f>
        <v>September</v>
      </c>
      <c r="E502" s="22" t="s">
        <v>16</v>
      </c>
      <c r="F502" s="22" t="s">
        <v>98</v>
      </c>
      <c r="G502" s="22" t="s">
        <v>101</v>
      </c>
      <c r="H502" s="22" t="s">
        <v>39</v>
      </c>
      <c r="I502" s="22" t="s">
        <v>70</v>
      </c>
      <c r="J502" s="22" t="s">
        <v>71</v>
      </c>
      <c r="K502" s="22" t="s">
        <v>72</v>
      </c>
      <c r="L502" s="22" t="s">
        <v>57</v>
      </c>
      <c r="M502" s="22" t="s">
        <v>78</v>
      </c>
      <c r="N502" s="22">
        <v>24</v>
      </c>
      <c r="O502" s="26">
        <v>3499</v>
      </c>
      <c r="P502" s="22">
        <v>0.05</v>
      </c>
      <c r="Q502" s="30">
        <v>2190</v>
      </c>
      <c r="R502" s="33">
        <f>Table1_1[[#This Row],[Units Sold]]*Table1_1[[#This Row],[Unit Price]]*1-Table1_1[[#This Row],[Discount]]</f>
        <v>83975.95</v>
      </c>
      <c r="S502" s="33">
        <f>Table1_1[[#This Row],[Units Sold]]*Table1_1[[#This Row],[Unit Cost]]</f>
        <v>52560</v>
      </c>
      <c r="T502" s="33">
        <f>Table1_1[[#This Row],[Sales Amount]]-S502</f>
        <v>31415.949999999997</v>
      </c>
      <c r="U502" s="32">
        <f>IFERROR(Table1_1[[#This Row],[Profit/loss]]/Table1_1[[#This Row],[Sales Amount]],0)</f>
        <v>0.37410651502007419</v>
      </c>
    </row>
    <row r="503" spans="1:21" ht="18" x14ac:dyDescent="0.35">
      <c r="A503" s="21" t="s">
        <v>610</v>
      </c>
      <c r="B503" s="36">
        <v>45547</v>
      </c>
      <c r="C503" s="22">
        <f>YEAR(Table1_1[[#This Row],[Order Date]])</f>
        <v>2024</v>
      </c>
      <c r="D503" s="22" t="str">
        <f>TEXT(Table1_1[[#This Row],[Order Date]],"MMMM")</f>
        <v>September</v>
      </c>
      <c r="E503" s="22" t="s">
        <v>36</v>
      </c>
      <c r="F503" s="22" t="s">
        <v>44</v>
      </c>
      <c r="G503" s="22" t="s">
        <v>69</v>
      </c>
      <c r="H503" s="22" t="s">
        <v>29</v>
      </c>
      <c r="I503" s="22" t="s">
        <v>54</v>
      </c>
      <c r="J503" s="22" t="s">
        <v>129</v>
      </c>
      <c r="K503" s="22" t="s">
        <v>130</v>
      </c>
      <c r="L503" s="22" t="s">
        <v>33</v>
      </c>
      <c r="M503" s="22" t="s">
        <v>78</v>
      </c>
      <c r="N503" s="22">
        <v>12</v>
      </c>
      <c r="O503" s="26">
        <v>27890</v>
      </c>
      <c r="P503" s="22">
        <v>0.18</v>
      </c>
      <c r="Q503" s="30">
        <v>18800</v>
      </c>
      <c r="R503" s="33">
        <f>Table1_1[[#This Row],[Units Sold]]*Table1_1[[#This Row],[Unit Price]]*1-Table1_1[[#This Row],[Discount]]</f>
        <v>334679.82</v>
      </c>
      <c r="S503" s="33">
        <f>Table1_1[[#This Row],[Units Sold]]*Table1_1[[#This Row],[Unit Cost]]</f>
        <v>225600</v>
      </c>
      <c r="T503" s="33">
        <f>Table1_1[[#This Row],[Sales Amount]]-S503</f>
        <v>109079.82</v>
      </c>
      <c r="U503" s="32">
        <f>IFERROR(Table1_1[[#This Row],[Profit/loss]]/Table1_1[[#This Row],[Sales Amount]],0)</f>
        <v>0.32592290745226288</v>
      </c>
    </row>
    <row r="504" spans="1:21" ht="18" x14ac:dyDescent="0.35">
      <c r="A504" s="21" t="s">
        <v>611</v>
      </c>
      <c r="B504" s="36">
        <v>45549</v>
      </c>
      <c r="C504" s="22">
        <f>YEAR(Table1_1[[#This Row],[Order Date]])</f>
        <v>2024</v>
      </c>
      <c r="D504" s="22" t="str">
        <f>TEXT(Table1_1[[#This Row],[Order Date]],"MMMM")</f>
        <v>September</v>
      </c>
      <c r="E504" s="22" t="s">
        <v>82</v>
      </c>
      <c r="F504" s="22" t="s">
        <v>100</v>
      </c>
      <c r="G504" s="22" t="s">
        <v>38</v>
      </c>
      <c r="H504" s="22" t="s">
        <v>29</v>
      </c>
      <c r="I504" s="22" t="s">
        <v>20</v>
      </c>
      <c r="J504" s="22" t="s">
        <v>45</v>
      </c>
      <c r="K504" s="22" t="s">
        <v>1622</v>
      </c>
      <c r="L504" s="22" t="s">
        <v>23</v>
      </c>
      <c r="M504" s="22" t="s">
        <v>34</v>
      </c>
      <c r="N504" s="22">
        <v>23</v>
      </c>
      <c r="O504" s="26">
        <v>1599</v>
      </c>
      <c r="P504" s="22">
        <v>0.15</v>
      </c>
      <c r="Q504" s="30">
        <v>920</v>
      </c>
      <c r="R504" s="33">
        <f>Table1_1[[#This Row],[Units Sold]]*Table1_1[[#This Row],[Unit Price]]*1-Table1_1[[#This Row],[Discount]]</f>
        <v>36776.85</v>
      </c>
      <c r="S504" s="33">
        <f>Table1_1[[#This Row],[Units Sold]]*Table1_1[[#This Row],[Unit Cost]]</f>
        <v>21160</v>
      </c>
      <c r="T504" s="33">
        <f>Table1_1[[#This Row],[Sales Amount]]-S504</f>
        <v>15616.849999999999</v>
      </c>
      <c r="U504" s="32">
        <f>IFERROR(Table1_1[[#This Row],[Profit/loss]]/Table1_1[[#This Row],[Sales Amount]],0)</f>
        <v>0.42463805355814865</v>
      </c>
    </row>
    <row r="505" spans="1:21" ht="18" x14ac:dyDescent="0.35">
      <c r="A505" s="21" t="s">
        <v>612</v>
      </c>
      <c r="B505" s="36">
        <v>45550</v>
      </c>
      <c r="C505" s="22">
        <f>YEAR(Table1_1[[#This Row],[Order Date]])</f>
        <v>2024</v>
      </c>
      <c r="D505" s="22" t="str">
        <f>TEXT(Table1_1[[#This Row],[Order Date]],"MMMM")</f>
        <v>September</v>
      </c>
      <c r="E505" s="22" t="s">
        <v>36</v>
      </c>
      <c r="F505" s="22" t="s">
        <v>121</v>
      </c>
      <c r="G505" s="22" t="s">
        <v>84</v>
      </c>
      <c r="H505" s="22" t="s">
        <v>29</v>
      </c>
      <c r="I505" s="22" t="s">
        <v>30</v>
      </c>
      <c r="J505" s="22" t="s">
        <v>31</v>
      </c>
      <c r="K505" s="22" t="s">
        <v>32</v>
      </c>
      <c r="L505" s="22" t="s">
        <v>23</v>
      </c>
      <c r="M505" s="22" t="s">
        <v>78</v>
      </c>
      <c r="N505" s="22">
        <v>19</v>
      </c>
      <c r="O505" s="26">
        <v>38990</v>
      </c>
      <c r="P505" s="22">
        <v>0.12</v>
      </c>
      <c r="Q505" s="30">
        <v>25400</v>
      </c>
      <c r="R505" s="33">
        <f>Table1_1[[#This Row],[Units Sold]]*Table1_1[[#This Row],[Unit Price]]*1-Table1_1[[#This Row],[Discount]]</f>
        <v>740809.88</v>
      </c>
      <c r="S505" s="33">
        <f>Table1_1[[#This Row],[Units Sold]]*Table1_1[[#This Row],[Unit Cost]]</f>
        <v>482600</v>
      </c>
      <c r="T505" s="33">
        <f>Table1_1[[#This Row],[Sales Amount]]-S505</f>
        <v>258209.88</v>
      </c>
      <c r="U505" s="32">
        <f>IFERROR(Table1_1[[#This Row],[Profit/loss]]/Table1_1[[#This Row],[Sales Amount]],0)</f>
        <v>0.34855080496496621</v>
      </c>
    </row>
    <row r="506" spans="1:21" ht="18" x14ac:dyDescent="0.35">
      <c r="A506" s="21" t="s">
        <v>613</v>
      </c>
      <c r="B506" s="36">
        <v>45550</v>
      </c>
      <c r="C506" s="22">
        <f>YEAR(Table1_1[[#This Row],[Order Date]])</f>
        <v>2024</v>
      </c>
      <c r="D506" s="22" t="str">
        <f>TEXT(Table1_1[[#This Row],[Order Date]],"MMMM")</f>
        <v>September</v>
      </c>
      <c r="E506" s="22" t="s">
        <v>26</v>
      </c>
      <c r="F506" s="22" t="s">
        <v>27</v>
      </c>
      <c r="G506" s="22" t="s">
        <v>50</v>
      </c>
      <c r="H506" s="22" t="s">
        <v>19</v>
      </c>
      <c r="I506" s="22" t="s">
        <v>20</v>
      </c>
      <c r="J506" s="22" t="s">
        <v>45</v>
      </c>
      <c r="K506" s="22" t="s">
        <v>1618</v>
      </c>
      <c r="L506" s="22" t="s">
        <v>33</v>
      </c>
      <c r="M506" s="22" t="s">
        <v>24</v>
      </c>
      <c r="N506" s="22">
        <v>36</v>
      </c>
      <c r="O506" s="26">
        <v>1899</v>
      </c>
      <c r="P506" s="22">
        <v>0.12</v>
      </c>
      <c r="Q506" s="30">
        <v>1080</v>
      </c>
      <c r="R506" s="33">
        <f>Table1_1[[#This Row],[Units Sold]]*Table1_1[[#This Row],[Unit Price]]*1-Table1_1[[#This Row],[Discount]]</f>
        <v>68363.88</v>
      </c>
      <c r="S506" s="33">
        <f>Table1_1[[#This Row],[Units Sold]]*Table1_1[[#This Row],[Unit Cost]]</f>
        <v>38880</v>
      </c>
      <c r="T506" s="33">
        <f>Table1_1[[#This Row],[Sales Amount]]-S506</f>
        <v>29483.880000000005</v>
      </c>
      <c r="U506" s="32">
        <f>IFERROR(Table1_1[[#This Row],[Profit/loss]]/Table1_1[[#This Row],[Sales Amount]],0)</f>
        <v>0.43127862257086641</v>
      </c>
    </row>
    <row r="507" spans="1:21" ht="18" x14ac:dyDescent="0.35">
      <c r="A507" s="21" t="s">
        <v>614</v>
      </c>
      <c r="B507" s="36">
        <v>45550</v>
      </c>
      <c r="C507" s="22">
        <f>YEAR(Table1_1[[#This Row],[Order Date]])</f>
        <v>2024</v>
      </c>
      <c r="D507" s="22" t="str">
        <f>TEXT(Table1_1[[#This Row],[Order Date]],"MMMM")</f>
        <v>September</v>
      </c>
      <c r="E507" s="22" t="s">
        <v>36</v>
      </c>
      <c r="F507" s="22" t="s">
        <v>121</v>
      </c>
      <c r="G507" s="22" t="s">
        <v>50</v>
      </c>
      <c r="H507" s="22" t="s">
        <v>29</v>
      </c>
      <c r="I507" s="22" t="s">
        <v>70</v>
      </c>
      <c r="J507" s="22" t="s">
        <v>71</v>
      </c>
      <c r="K507" s="22" t="s">
        <v>72</v>
      </c>
      <c r="L507" s="22" t="s">
        <v>33</v>
      </c>
      <c r="M507" s="22" t="s">
        <v>24</v>
      </c>
      <c r="N507" s="22">
        <v>31</v>
      </c>
      <c r="O507" s="26">
        <v>3499</v>
      </c>
      <c r="P507" s="22">
        <v>0.18</v>
      </c>
      <c r="Q507" s="30">
        <v>2190</v>
      </c>
      <c r="R507" s="33">
        <f>Table1_1[[#This Row],[Units Sold]]*Table1_1[[#This Row],[Unit Price]]*1-Table1_1[[#This Row],[Discount]]</f>
        <v>108468.82</v>
      </c>
      <c r="S507" s="33">
        <f>Table1_1[[#This Row],[Units Sold]]*Table1_1[[#This Row],[Unit Cost]]</f>
        <v>67890</v>
      </c>
      <c r="T507" s="33">
        <f>Table1_1[[#This Row],[Sales Amount]]-S507</f>
        <v>40578.820000000007</v>
      </c>
      <c r="U507" s="32">
        <f>IFERROR(Table1_1[[#This Row],[Profit/loss]]/Table1_1[[#This Row],[Sales Amount]],0)</f>
        <v>0.37410584903569527</v>
      </c>
    </row>
    <row r="508" spans="1:21" ht="18" x14ac:dyDescent="0.35">
      <c r="A508" s="21" t="s">
        <v>615</v>
      </c>
      <c r="B508" s="36">
        <v>45550</v>
      </c>
      <c r="C508" s="22">
        <f>YEAR(Table1_1[[#This Row],[Order Date]])</f>
        <v>2024</v>
      </c>
      <c r="D508" s="22" t="str">
        <f>TEXT(Table1_1[[#This Row],[Order Date]],"MMMM")</f>
        <v>September</v>
      </c>
      <c r="E508" s="22" t="s">
        <v>36</v>
      </c>
      <c r="F508" s="22" t="s">
        <v>37</v>
      </c>
      <c r="G508" s="22" t="s">
        <v>84</v>
      </c>
      <c r="H508" s="22" t="s">
        <v>39</v>
      </c>
      <c r="I508" s="22" t="s">
        <v>70</v>
      </c>
      <c r="J508" s="22" t="s">
        <v>71</v>
      </c>
      <c r="K508" s="22" t="s">
        <v>72</v>
      </c>
      <c r="L508" s="22" t="s">
        <v>33</v>
      </c>
      <c r="M508" s="22" t="s">
        <v>24</v>
      </c>
      <c r="N508" s="22">
        <v>32</v>
      </c>
      <c r="O508" s="26">
        <v>3499</v>
      </c>
      <c r="P508" s="22">
        <v>0.12</v>
      </c>
      <c r="Q508" s="30">
        <v>2190</v>
      </c>
      <c r="R508" s="33">
        <f>Table1_1[[#This Row],[Units Sold]]*Table1_1[[#This Row],[Unit Price]]*1-Table1_1[[#This Row],[Discount]]</f>
        <v>111967.88</v>
      </c>
      <c r="S508" s="33">
        <f>Table1_1[[#This Row],[Units Sold]]*Table1_1[[#This Row],[Unit Cost]]</f>
        <v>70080</v>
      </c>
      <c r="T508" s="33">
        <f>Table1_1[[#This Row],[Sales Amount]]-S508</f>
        <v>41887.880000000005</v>
      </c>
      <c r="U508" s="32">
        <f>IFERROR(Table1_1[[#This Row],[Profit/loss]]/Table1_1[[#This Row],[Sales Amount]],0)</f>
        <v>0.37410621689005813</v>
      </c>
    </row>
    <row r="509" spans="1:21" ht="18" x14ac:dyDescent="0.35">
      <c r="A509" s="21" t="s">
        <v>616</v>
      </c>
      <c r="B509" s="36">
        <v>45551</v>
      </c>
      <c r="C509" s="22">
        <f>YEAR(Table1_1[[#This Row],[Order Date]])</f>
        <v>2024</v>
      </c>
      <c r="D509" s="22" t="str">
        <f>TEXT(Table1_1[[#This Row],[Order Date]],"MMMM")</f>
        <v>September</v>
      </c>
      <c r="E509" s="22" t="s">
        <v>16</v>
      </c>
      <c r="F509" s="22" t="s">
        <v>17</v>
      </c>
      <c r="G509" s="22" t="s">
        <v>75</v>
      </c>
      <c r="H509" s="22" t="s">
        <v>39</v>
      </c>
      <c r="I509" s="22" t="s">
        <v>54</v>
      </c>
      <c r="J509" s="22" t="s">
        <v>129</v>
      </c>
      <c r="K509" s="22" t="s">
        <v>145</v>
      </c>
      <c r="L509" s="22" t="s">
        <v>57</v>
      </c>
      <c r="M509" s="22" t="s">
        <v>24</v>
      </c>
      <c r="N509" s="22">
        <v>20</v>
      </c>
      <c r="O509" s="26">
        <v>31490</v>
      </c>
      <c r="P509" s="22">
        <v>0.1</v>
      </c>
      <c r="Q509" s="30">
        <v>21300</v>
      </c>
      <c r="R509" s="33">
        <f>Table1_1[[#This Row],[Units Sold]]*Table1_1[[#This Row],[Unit Price]]*1-Table1_1[[#This Row],[Discount]]</f>
        <v>629799.9</v>
      </c>
      <c r="S509" s="33">
        <f>Table1_1[[#This Row],[Units Sold]]*Table1_1[[#This Row],[Unit Cost]]</f>
        <v>426000</v>
      </c>
      <c r="T509" s="33">
        <f>Table1_1[[#This Row],[Sales Amount]]-S509</f>
        <v>203799.90000000002</v>
      </c>
      <c r="U509" s="32">
        <f>IFERROR(Table1_1[[#This Row],[Profit/loss]]/Table1_1[[#This Row],[Sales Amount]],0)</f>
        <v>0.32359468459744123</v>
      </c>
    </row>
    <row r="510" spans="1:21" ht="18" x14ac:dyDescent="0.35">
      <c r="A510" s="21" t="s">
        <v>617</v>
      </c>
      <c r="B510" s="36">
        <v>45552</v>
      </c>
      <c r="C510" s="22">
        <f>YEAR(Table1_1[[#This Row],[Order Date]])</f>
        <v>2024</v>
      </c>
      <c r="D510" s="22" t="str">
        <f>TEXT(Table1_1[[#This Row],[Order Date]],"MMMM")</f>
        <v>September</v>
      </c>
      <c r="E510" s="22" t="s">
        <v>36</v>
      </c>
      <c r="F510" s="22" t="s">
        <v>37</v>
      </c>
      <c r="G510" s="22" t="s">
        <v>105</v>
      </c>
      <c r="H510" s="22" t="s">
        <v>29</v>
      </c>
      <c r="I510" s="22" t="s">
        <v>40</v>
      </c>
      <c r="J510" s="22" t="s">
        <v>64</v>
      </c>
      <c r="K510" s="22" t="s">
        <v>1629</v>
      </c>
      <c r="L510" s="22" t="s">
        <v>23</v>
      </c>
      <c r="M510" s="22" t="s">
        <v>78</v>
      </c>
      <c r="N510" s="22">
        <v>11</v>
      </c>
      <c r="O510" s="26">
        <v>3299</v>
      </c>
      <c r="P510" s="22">
        <v>0.05</v>
      </c>
      <c r="Q510" s="30">
        <v>2050</v>
      </c>
      <c r="R510" s="33">
        <f>Table1_1[[#This Row],[Units Sold]]*Table1_1[[#This Row],[Unit Price]]*1-Table1_1[[#This Row],[Discount]]</f>
        <v>36288.949999999997</v>
      </c>
      <c r="S510" s="33">
        <f>Table1_1[[#This Row],[Units Sold]]*Table1_1[[#This Row],[Unit Cost]]</f>
        <v>22550</v>
      </c>
      <c r="T510" s="33">
        <f>Table1_1[[#This Row],[Sales Amount]]-S510</f>
        <v>13738.949999999997</v>
      </c>
      <c r="U510" s="32">
        <f>IFERROR(Table1_1[[#This Row],[Profit/loss]]/Table1_1[[#This Row],[Sales Amount]],0)</f>
        <v>0.37859871944489987</v>
      </c>
    </row>
    <row r="511" spans="1:21" ht="18" x14ac:dyDescent="0.35">
      <c r="A511" s="21" t="s">
        <v>618</v>
      </c>
      <c r="B511" s="36">
        <v>45552</v>
      </c>
      <c r="C511" s="22">
        <f>YEAR(Table1_1[[#This Row],[Order Date]])</f>
        <v>2024</v>
      </c>
      <c r="D511" s="22" t="str">
        <f>TEXT(Table1_1[[#This Row],[Order Date]],"MMMM")</f>
        <v>September</v>
      </c>
      <c r="E511" s="22" t="s">
        <v>36</v>
      </c>
      <c r="F511" s="22" t="s">
        <v>121</v>
      </c>
      <c r="G511" s="22" t="s">
        <v>105</v>
      </c>
      <c r="H511" s="22" t="s">
        <v>29</v>
      </c>
      <c r="I511" s="22" t="s">
        <v>30</v>
      </c>
      <c r="J511" s="22" t="s">
        <v>61</v>
      </c>
      <c r="K511" s="22" t="s">
        <v>62</v>
      </c>
      <c r="L511" s="22" t="s">
        <v>23</v>
      </c>
      <c r="M511" s="22" t="s">
        <v>66</v>
      </c>
      <c r="N511" s="22">
        <v>8</v>
      </c>
      <c r="O511" s="26">
        <v>12490</v>
      </c>
      <c r="P511" s="22">
        <v>0.08</v>
      </c>
      <c r="Q511" s="30">
        <v>7900</v>
      </c>
      <c r="R511" s="33">
        <f>Table1_1[[#This Row],[Units Sold]]*Table1_1[[#This Row],[Unit Price]]*1-Table1_1[[#This Row],[Discount]]</f>
        <v>99919.92</v>
      </c>
      <c r="S511" s="33">
        <f>Table1_1[[#This Row],[Units Sold]]*Table1_1[[#This Row],[Unit Cost]]</f>
        <v>63200</v>
      </c>
      <c r="T511" s="33">
        <f>Table1_1[[#This Row],[Sales Amount]]-S511</f>
        <v>36719.919999999998</v>
      </c>
      <c r="U511" s="32">
        <f>IFERROR(Table1_1[[#This Row],[Profit/loss]]/Table1_1[[#This Row],[Sales Amount]],0)</f>
        <v>0.36749348878581967</v>
      </c>
    </row>
    <row r="512" spans="1:21" ht="18" x14ac:dyDescent="0.35">
      <c r="A512" s="21" t="s">
        <v>619</v>
      </c>
      <c r="B512" s="36">
        <v>45553</v>
      </c>
      <c r="C512" s="22">
        <f>YEAR(Table1_1[[#This Row],[Order Date]])</f>
        <v>2024</v>
      </c>
      <c r="D512" s="22" t="str">
        <f>TEXT(Table1_1[[#This Row],[Order Date]],"MMMM")</f>
        <v>September</v>
      </c>
      <c r="E512" s="22" t="s">
        <v>82</v>
      </c>
      <c r="F512" s="22" t="s">
        <v>183</v>
      </c>
      <c r="G512" s="22" t="s">
        <v>84</v>
      </c>
      <c r="H512" s="22" t="s">
        <v>29</v>
      </c>
      <c r="I512" s="22" t="s">
        <v>20</v>
      </c>
      <c r="J512" s="22" t="s">
        <v>45</v>
      </c>
      <c r="K512" s="22" t="s">
        <v>1618</v>
      </c>
      <c r="L512" s="22" t="s">
        <v>23</v>
      </c>
      <c r="M512" s="22" t="s">
        <v>66</v>
      </c>
      <c r="N512" s="22">
        <v>25</v>
      </c>
      <c r="O512" s="26">
        <v>1899</v>
      </c>
      <c r="P512" s="22">
        <v>0.18</v>
      </c>
      <c r="Q512" s="30">
        <v>1080</v>
      </c>
      <c r="R512" s="33">
        <f>Table1_1[[#This Row],[Units Sold]]*Table1_1[[#This Row],[Unit Price]]*1-Table1_1[[#This Row],[Discount]]</f>
        <v>47474.82</v>
      </c>
      <c r="S512" s="33">
        <f>Table1_1[[#This Row],[Units Sold]]*Table1_1[[#This Row],[Unit Cost]]</f>
        <v>27000</v>
      </c>
      <c r="T512" s="33">
        <f>Table1_1[[#This Row],[Sales Amount]]-S512</f>
        <v>20474.82</v>
      </c>
      <c r="U512" s="32">
        <f>IFERROR(Table1_1[[#This Row],[Profit/loss]]/Table1_1[[#This Row],[Sales Amount]],0)</f>
        <v>0.43127746455910732</v>
      </c>
    </row>
    <row r="513" spans="1:21" ht="18" x14ac:dyDescent="0.35">
      <c r="A513" s="21" t="s">
        <v>620</v>
      </c>
      <c r="B513" s="36">
        <v>45554</v>
      </c>
      <c r="C513" s="22">
        <f>YEAR(Table1_1[[#This Row],[Order Date]])</f>
        <v>2024</v>
      </c>
      <c r="D513" s="22" t="str">
        <f>TEXT(Table1_1[[#This Row],[Order Date]],"MMMM")</f>
        <v>September</v>
      </c>
      <c r="E513" s="22" t="s">
        <v>82</v>
      </c>
      <c r="F513" s="22" t="s">
        <v>87</v>
      </c>
      <c r="G513" s="22" t="s">
        <v>38</v>
      </c>
      <c r="H513" s="22" t="s">
        <v>29</v>
      </c>
      <c r="I513" s="22" t="s">
        <v>70</v>
      </c>
      <c r="J513" s="22" t="s">
        <v>71</v>
      </c>
      <c r="K513" s="22" t="s">
        <v>88</v>
      </c>
      <c r="L513" s="22" t="s">
        <v>57</v>
      </c>
      <c r="M513" s="22" t="s">
        <v>24</v>
      </c>
      <c r="N513" s="22">
        <v>8</v>
      </c>
      <c r="O513" s="26">
        <v>999</v>
      </c>
      <c r="P513" s="22">
        <v>0.2</v>
      </c>
      <c r="Q513" s="30">
        <v>540</v>
      </c>
      <c r="R513" s="33">
        <f>Table1_1[[#This Row],[Units Sold]]*Table1_1[[#This Row],[Unit Price]]*1-Table1_1[[#This Row],[Discount]]</f>
        <v>7991.8</v>
      </c>
      <c r="S513" s="33">
        <f>Table1_1[[#This Row],[Units Sold]]*Table1_1[[#This Row],[Unit Cost]]</f>
        <v>4320</v>
      </c>
      <c r="T513" s="33">
        <f>Table1_1[[#This Row],[Sales Amount]]-S513</f>
        <v>3671.8</v>
      </c>
      <c r="U513" s="32">
        <f>IFERROR(Table1_1[[#This Row],[Profit/loss]]/Table1_1[[#This Row],[Sales Amount]],0)</f>
        <v>0.45944593208038242</v>
      </c>
    </row>
    <row r="514" spans="1:21" ht="18" x14ac:dyDescent="0.35">
      <c r="A514" s="21" t="s">
        <v>621</v>
      </c>
      <c r="B514" s="36">
        <v>45555</v>
      </c>
      <c r="C514" s="22">
        <f>YEAR(Table1_1[[#This Row],[Order Date]])</f>
        <v>2024</v>
      </c>
      <c r="D514" s="22" t="str">
        <f>TEXT(Table1_1[[#This Row],[Order Date]],"MMMM")</f>
        <v>September</v>
      </c>
      <c r="E514" s="22" t="s">
        <v>16</v>
      </c>
      <c r="F514" s="22" t="s">
        <v>17</v>
      </c>
      <c r="G514" s="22" t="s">
        <v>18</v>
      </c>
      <c r="H514" s="22" t="s">
        <v>19</v>
      </c>
      <c r="I514" s="22" t="s">
        <v>20</v>
      </c>
      <c r="J514" s="22" t="s">
        <v>21</v>
      </c>
      <c r="K514" s="22" t="s">
        <v>22</v>
      </c>
      <c r="L514" s="22" t="s">
        <v>33</v>
      </c>
      <c r="M514" s="22" t="s">
        <v>24</v>
      </c>
      <c r="N514" s="22">
        <v>12</v>
      </c>
      <c r="O514" s="26">
        <v>4499</v>
      </c>
      <c r="P514" s="22">
        <v>0.18</v>
      </c>
      <c r="Q514" s="30">
        <v>2910</v>
      </c>
      <c r="R514" s="33">
        <f>Table1_1[[#This Row],[Units Sold]]*Table1_1[[#This Row],[Unit Price]]*1-Table1_1[[#This Row],[Discount]]</f>
        <v>53987.82</v>
      </c>
      <c r="S514" s="33">
        <f>Table1_1[[#This Row],[Units Sold]]*Table1_1[[#This Row],[Unit Cost]]</f>
        <v>34920</v>
      </c>
      <c r="T514" s="33">
        <f>Table1_1[[#This Row],[Sales Amount]]-S514</f>
        <v>19067.82</v>
      </c>
      <c r="U514" s="32">
        <f>IFERROR(Table1_1[[#This Row],[Profit/loss]]/Table1_1[[#This Row],[Sales Amount]],0)</f>
        <v>0.35318744116728551</v>
      </c>
    </row>
    <row r="515" spans="1:21" ht="18" x14ac:dyDescent="0.35">
      <c r="A515" s="21" t="s">
        <v>622</v>
      </c>
      <c r="B515" s="36">
        <v>45555</v>
      </c>
      <c r="C515" s="22">
        <f>YEAR(Table1_1[[#This Row],[Order Date]])</f>
        <v>2024</v>
      </c>
      <c r="D515" s="22" t="str">
        <f>TEXT(Table1_1[[#This Row],[Order Date]],"MMMM")</f>
        <v>September</v>
      </c>
      <c r="E515" s="22" t="s">
        <v>48</v>
      </c>
      <c r="F515" s="22" t="s">
        <v>68</v>
      </c>
      <c r="G515" s="22" t="s">
        <v>38</v>
      </c>
      <c r="H515" s="22" t="s">
        <v>39</v>
      </c>
      <c r="I515" s="22" t="s">
        <v>20</v>
      </c>
      <c r="J515" s="22" t="s">
        <v>45</v>
      </c>
      <c r="K515" s="22" t="s">
        <v>1618</v>
      </c>
      <c r="L515" s="22" t="s">
        <v>57</v>
      </c>
      <c r="M515" s="22" t="s">
        <v>66</v>
      </c>
      <c r="N515" s="22">
        <v>13</v>
      </c>
      <c r="O515" s="26">
        <v>1899</v>
      </c>
      <c r="P515" s="22">
        <v>0.1</v>
      </c>
      <c r="Q515" s="30">
        <v>1080</v>
      </c>
      <c r="R515" s="33">
        <f>Table1_1[[#This Row],[Units Sold]]*Table1_1[[#This Row],[Unit Price]]*1-Table1_1[[#This Row],[Discount]]</f>
        <v>24686.9</v>
      </c>
      <c r="S515" s="33">
        <f>Table1_1[[#This Row],[Units Sold]]*Table1_1[[#This Row],[Unit Cost]]</f>
        <v>14040</v>
      </c>
      <c r="T515" s="33">
        <f>Table1_1[[#This Row],[Sales Amount]]-S515</f>
        <v>10646.900000000001</v>
      </c>
      <c r="U515" s="32">
        <f>IFERROR(Table1_1[[#This Row],[Profit/loss]]/Table1_1[[#This Row],[Sales Amount]],0)</f>
        <v>0.43127731711960599</v>
      </c>
    </row>
    <row r="516" spans="1:21" ht="18" x14ac:dyDescent="0.35">
      <c r="A516" s="21" t="s">
        <v>623</v>
      </c>
      <c r="B516" s="36">
        <v>45555</v>
      </c>
      <c r="C516" s="22">
        <f>YEAR(Table1_1[[#This Row],[Order Date]])</f>
        <v>2024</v>
      </c>
      <c r="D516" s="22" t="str">
        <f>TEXT(Table1_1[[#This Row],[Order Date]],"MMMM")</f>
        <v>September</v>
      </c>
      <c r="E516" s="22" t="s">
        <v>26</v>
      </c>
      <c r="F516" s="22" t="s">
        <v>163</v>
      </c>
      <c r="G516" s="22" t="s">
        <v>50</v>
      </c>
      <c r="H516" s="22" t="s">
        <v>29</v>
      </c>
      <c r="I516" s="22" t="s">
        <v>20</v>
      </c>
      <c r="J516" s="22" t="s">
        <v>21</v>
      </c>
      <c r="K516" s="22" t="s">
        <v>115</v>
      </c>
      <c r="L516" s="22" t="s">
        <v>57</v>
      </c>
      <c r="M516" s="22" t="s">
        <v>34</v>
      </c>
      <c r="N516" s="22">
        <v>28</v>
      </c>
      <c r="O516" s="26">
        <v>6499</v>
      </c>
      <c r="P516" s="22">
        <v>0.08</v>
      </c>
      <c r="Q516" s="30">
        <v>4210</v>
      </c>
      <c r="R516" s="33">
        <f>Table1_1[[#This Row],[Units Sold]]*Table1_1[[#This Row],[Unit Price]]*1-Table1_1[[#This Row],[Discount]]</f>
        <v>181971.92</v>
      </c>
      <c r="S516" s="33">
        <f>Table1_1[[#This Row],[Units Sold]]*Table1_1[[#This Row],[Unit Cost]]</f>
        <v>117880</v>
      </c>
      <c r="T516" s="33">
        <f>Table1_1[[#This Row],[Sales Amount]]-S516</f>
        <v>64091.920000000013</v>
      </c>
      <c r="U516" s="32">
        <f>IFERROR(Table1_1[[#This Row],[Profit/loss]]/Table1_1[[#This Row],[Sales Amount]],0)</f>
        <v>0.352207747217263</v>
      </c>
    </row>
    <row r="517" spans="1:21" ht="18" x14ac:dyDescent="0.35">
      <c r="A517" s="21" t="s">
        <v>624</v>
      </c>
      <c r="B517" s="36">
        <v>45555</v>
      </c>
      <c r="C517" s="22">
        <f>YEAR(Table1_1[[#This Row],[Order Date]])</f>
        <v>2024</v>
      </c>
      <c r="D517" s="22" t="str">
        <f>TEXT(Table1_1[[#This Row],[Order Date]],"MMMM")</f>
        <v>September</v>
      </c>
      <c r="E517" s="22" t="s">
        <v>36</v>
      </c>
      <c r="F517" s="22" t="s">
        <v>59</v>
      </c>
      <c r="G517" s="22" t="s">
        <v>69</v>
      </c>
      <c r="H517" s="22" t="s">
        <v>39</v>
      </c>
      <c r="I517" s="22" t="s">
        <v>70</v>
      </c>
      <c r="J517" s="22" t="s">
        <v>71</v>
      </c>
      <c r="K517" s="22" t="s">
        <v>80</v>
      </c>
      <c r="L517" s="22" t="s">
        <v>57</v>
      </c>
      <c r="M517" s="22" t="s">
        <v>34</v>
      </c>
      <c r="N517" s="22">
        <v>17</v>
      </c>
      <c r="O517" s="26">
        <v>1299</v>
      </c>
      <c r="P517" s="22">
        <v>0.15</v>
      </c>
      <c r="Q517" s="30">
        <v>720</v>
      </c>
      <c r="R517" s="33">
        <f>Table1_1[[#This Row],[Units Sold]]*Table1_1[[#This Row],[Unit Price]]*1-Table1_1[[#This Row],[Discount]]</f>
        <v>22082.85</v>
      </c>
      <c r="S517" s="33">
        <f>Table1_1[[#This Row],[Units Sold]]*Table1_1[[#This Row],[Unit Cost]]</f>
        <v>12240</v>
      </c>
      <c r="T517" s="33">
        <f>Table1_1[[#This Row],[Sales Amount]]-S517</f>
        <v>9842.8499999999985</v>
      </c>
      <c r="U517" s="32">
        <f>IFERROR(Table1_1[[#This Row],[Profit/loss]]/Table1_1[[#This Row],[Sales Amount]],0)</f>
        <v>0.44572371772665209</v>
      </c>
    </row>
    <row r="518" spans="1:21" ht="18" x14ac:dyDescent="0.35">
      <c r="A518" s="21" t="s">
        <v>625</v>
      </c>
      <c r="B518" s="36">
        <v>45556</v>
      </c>
      <c r="C518" s="22">
        <f>YEAR(Table1_1[[#This Row],[Order Date]])</f>
        <v>2024</v>
      </c>
      <c r="D518" s="22" t="str">
        <f>TEXT(Table1_1[[#This Row],[Order Date]],"MMMM")</f>
        <v>September</v>
      </c>
      <c r="E518" s="22" t="s">
        <v>36</v>
      </c>
      <c r="F518" s="22" t="s">
        <v>44</v>
      </c>
      <c r="G518" s="22" t="s">
        <v>18</v>
      </c>
      <c r="H518" s="22" t="s">
        <v>39</v>
      </c>
      <c r="I518" s="22" t="s">
        <v>54</v>
      </c>
      <c r="J518" s="22" t="s">
        <v>129</v>
      </c>
      <c r="K518" s="22" t="s">
        <v>145</v>
      </c>
      <c r="L518" s="22" t="s">
        <v>57</v>
      </c>
      <c r="M518" s="22" t="s">
        <v>66</v>
      </c>
      <c r="N518" s="22">
        <v>24</v>
      </c>
      <c r="O518" s="26">
        <v>31490</v>
      </c>
      <c r="P518" s="22">
        <v>0.12</v>
      </c>
      <c r="Q518" s="30">
        <v>21300</v>
      </c>
      <c r="R518" s="33">
        <f>Table1_1[[#This Row],[Units Sold]]*Table1_1[[#This Row],[Unit Price]]*1-Table1_1[[#This Row],[Discount]]</f>
        <v>755759.88</v>
      </c>
      <c r="S518" s="33">
        <f>Table1_1[[#This Row],[Units Sold]]*Table1_1[[#This Row],[Unit Cost]]</f>
        <v>511200</v>
      </c>
      <c r="T518" s="33">
        <f>Table1_1[[#This Row],[Sales Amount]]-S518</f>
        <v>244559.88</v>
      </c>
      <c r="U518" s="32">
        <f>IFERROR(Table1_1[[#This Row],[Profit/loss]]/Table1_1[[#This Row],[Sales Amount]],0)</f>
        <v>0.32359468459744117</v>
      </c>
    </row>
    <row r="519" spans="1:21" ht="18" x14ac:dyDescent="0.35">
      <c r="A519" s="21" t="s">
        <v>626</v>
      </c>
      <c r="B519" s="36">
        <v>45556</v>
      </c>
      <c r="C519" s="22">
        <f>YEAR(Table1_1[[#This Row],[Order Date]])</f>
        <v>2024</v>
      </c>
      <c r="D519" s="22" t="str">
        <f>TEXT(Table1_1[[#This Row],[Order Date]],"MMMM")</f>
        <v>September</v>
      </c>
      <c r="E519" s="22" t="s">
        <v>16</v>
      </c>
      <c r="F519" s="22" t="s">
        <v>126</v>
      </c>
      <c r="G519" s="22" t="s">
        <v>50</v>
      </c>
      <c r="H519" s="22" t="s">
        <v>39</v>
      </c>
      <c r="I519" s="22" t="s">
        <v>40</v>
      </c>
      <c r="J519" s="22" t="s">
        <v>41</v>
      </c>
      <c r="K519" s="22" t="s">
        <v>42</v>
      </c>
      <c r="L519" s="22" t="s">
        <v>33</v>
      </c>
      <c r="M519" s="22" t="s">
        <v>34</v>
      </c>
      <c r="N519" s="22">
        <v>32</v>
      </c>
      <c r="O519" s="26">
        <v>55230</v>
      </c>
      <c r="P519" s="22">
        <v>0.2</v>
      </c>
      <c r="Q519" s="30">
        <v>33800</v>
      </c>
      <c r="R519" s="33">
        <f>Table1_1[[#This Row],[Units Sold]]*Table1_1[[#This Row],[Unit Price]]*1-Table1_1[[#This Row],[Discount]]</f>
        <v>1767359.8</v>
      </c>
      <c r="S519" s="33">
        <f>Table1_1[[#This Row],[Units Sold]]*Table1_1[[#This Row],[Unit Cost]]</f>
        <v>1081600</v>
      </c>
      <c r="T519" s="33">
        <f>Table1_1[[#This Row],[Sales Amount]]-S519</f>
        <v>685759.8</v>
      </c>
      <c r="U519" s="32">
        <f>IFERROR(Table1_1[[#This Row],[Profit/loss]]/Table1_1[[#This Row],[Sales Amount]],0)</f>
        <v>0.38801369138304492</v>
      </c>
    </row>
    <row r="520" spans="1:21" ht="18" x14ac:dyDescent="0.35">
      <c r="A520" s="21" t="s">
        <v>627</v>
      </c>
      <c r="B520" s="36">
        <v>45558</v>
      </c>
      <c r="C520" s="22">
        <f>YEAR(Table1_1[[#This Row],[Order Date]])</f>
        <v>2024</v>
      </c>
      <c r="D520" s="22" t="str">
        <f>TEXT(Table1_1[[#This Row],[Order Date]],"MMMM")</f>
        <v>September</v>
      </c>
      <c r="E520" s="22" t="s">
        <v>36</v>
      </c>
      <c r="F520" s="22" t="s">
        <v>121</v>
      </c>
      <c r="G520" s="22" t="s">
        <v>69</v>
      </c>
      <c r="H520" s="22" t="s">
        <v>19</v>
      </c>
      <c r="I520" s="22" t="s">
        <v>40</v>
      </c>
      <c r="J520" s="22" t="s">
        <v>41</v>
      </c>
      <c r="K520" s="22" t="s">
        <v>1624</v>
      </c>
      <c r="L520" s="22" t="s">
        <v>57</v>
      </c>
      <c r="M520" s="22" t="s">
        <v>24</v>
      </c>
      <c r="N520" s="22">
        <v>3</v>
      </c>
      <c r="O520" s="26">
        <v>48990</v>
      </c>
      <c r="P520" s="22">
        <v>0.08</v>
      </c>
      <c r="Q520" s="30">
        <v>30100</v>
      </c>
      <c r="R520" s="33">
        <f>Table1_1[[#This Row],[Units Sold]]*Table1_1[[#This Row],[Unit Price]]*1-Table1_1[[#This Row],[Discount]]</f>
        <v>146969.92000000001</v>
      </c>
      <c r="S520" s="33">
        <f>Table1_1[[#This Row],[Units Sold]]*Table1_1[[#This Row],[Unit Cost]]</f>
        <v>90300</v>
      </c>
      <c r="T520" s="33">
        <f>Table1_1[[#This Row],[Sales Amount]]-S520</f>
        <v>56669.920000000013</v>
      </c>
      <c r="U520" s="32">
        <f>IFERROR(Table1_1[[#This Row],[Profit/loss]]/Table1_1[[#This Row],[Sales Amount]],0)</f>
        <v>0.38558856125117308</v>
      </c>
    </row>
    <row r="521" spans="1:21" ht="18" x14ac:dyDescent="0.35">
      <c r="A521" s="21" t="s">
        <v>628</v>
      </c>
      <c r="B521" s="36">
        <v>45558</v>
      </c>
      <c r="C521" s="22">
        <f>YEAR(Table1_1[[#This Row],[Order Date]])</f>
        <v>2024</v>
      </c>
      <c r="D521" s="22" t="str">
        <f>TEXT(Table1_1[[#This Row],[Order Date]],"MMMM")</f>
        <v>September</v>
      </c>
      <c r="E521" s="22" t="s">
        <v>16</v>
      </c>
      <c r="F521" s="22" t="s">
        <v>111</v>
      </c>
      <c r="G521" s="22" t="s">
        <v>69</v>
      </c>
      <c r="H521" s="22" t="s">
        <v>19</v>
      </c>
      <c r="I521" s="22" t="s">
        <v>30</v>
      </c>
      <c r="J521" s="22" t="s">
        <v>31</v>
      </c>
      <c r="K521" s="22" t="s">
        <v>32</v>
      </c>
      <c r="L521" s="22" t="s">
        <v>33</v>
      </c>
      <c r="M521" s="22" t="s">
        <v>34</v>
      </c>
      <c r="N521" s="22">
        <v>20</v>
      </c>
      <c r="O521" s="26">
        <v>38990</v>
      </c>
      <c r="P521" s="22">
        <v>0.18</v>
      </c>
      <c r="Q521" s="30">
        <v>25400</v>
      </c>
      <c r="R521" s="33">
        <f>Table1_1[[#This Row],[Units Sold]]*Table1_1[[#This Row],[Unit Price]]*1-Table1_1[[#This Row],[Discount]]</f>
        <v>779799.82</v>
      </c>
      <c r="S521" s="33">
        <f>Table1_1[[#This Row],[Units Sold]]*Table1_1[[#This Row],[Unit Cost]]</f>
        <v>508000</v>
      </c>
      <c r="T521" s="33">
        <f>Table1_1[[#This Row],[Sales Amount]]-S521</f>
        <v>271799.81999999995</v>
      </c>
      <c r="U521" s="32">
        <f>IFERROR(Table1_1[[#This Row],[Profit/loss]]/Table1_1[[#This Row],[Sales Amount]],0)</f>
        <v>0.34855076011687203</v>
      </c>
    </row>
    <row r="522" spans="1:21" ht="18" x14ac:dyDescent="0.35">
      <c r="A522" s="21" t="s">
        <v>629</v>
      </c>
      <c r="B522" s="36">
        <v>45558</v>
      </c>
      <c r="C522" s="22">
        <f>YEAR(Table1_1[[#This Row],[Order Date]])</f>
        <v>2024</v>
      </c>
      <c r="D522" s="22" t="str">
        <f>TEXT(Table1_1[[#This Row],[Order Date]],"MMMM")</f>
        <v>September</v>
      </c>
      <c r="E522" s="22" t="s">
        <v>82</v>
      </c>
      <c r="F522" s="22" t="s">
        <v>83</v>
      </c>
      <c r="G522" s="22" t="s">
        <v>69</v>
      </c>
      <c r="H522" s="22" t="s">
        <v>19</v>
      </c>
      <c r="I522" s="22" t="s">
        <v>20</v>
      </c>
      <c r="J522" s="22" t="s">
        <v>21</v>
      </c>
      <c r="K522" s="22" t="s">
        <v>115</v>
      </c>
      <c r="L522" s="22" t="s">
        <v>23</v>
      </c>
      <c r="M522" s="22" t="s">
        <v>24</v>
      </c>
      <c r="N522" s="22">
        <v>7</v>
      </c>
      <c r="O522" s="26">
        <v>6499</v>
      </c>
      <c r="P522" s="22">
        <v>0.18</v>
      </c>
      <c r="Q522" s="30">
        <v>4210</v>
      </c>
      <c r="R522" s="33">
        <f>Table1_1[[#This Row],[Units Sold]]*Table1_1[[#This Row],[Unit Price]]*1-Table1_1[[#This Row],[Discount]]</f>
        <v>45492.82</v>
      </c>
      <c r="S522" s="33">
        <f>Table1_1[[#This Row],[Units Sold]]*Table1_1[[#This Row],[Unit Cost]]</f>
        <v>29470</v>
      </c>
      <c r="T522" s="33">
        <f>Table1_1[[#This Row],[Sales Amount]]-S522</f>
        <v>16022.82</v>
      </c>
      <c r="U522" s="32">
        <f>IFERROR(Table1_1[[#This Row],[Profit/loss]]/Table1_1[[#This Row],[Sales Amount]],0)</f>
        <v>0.35220546890696158</v>
      </c>
    </row>
    <row r="523" spans="1:21" ht="18" x14ac:dyDescent="0.35">
      <c r="A523" s="21" t="s">
        <v>630</v>
      </c>
      <c r="B523" s="36">
        <v>45558</v>
      </c>
      <c r="C523" s="22">
        <f>YEAR(Table1_1[[#This Row],[Order Date]])</f>
        <v>2024</v>
      </c>
      <c r="D523" s="22" t="str">
        <f>TEXT(Table1_1[[#This Row],[Order Date]],"MMMM")</f>
        <v>September</v>
      </c>
      <c r="E523" s="22" t="s">
        <v>16</v>
      </c>
      <c r="F523" s="22" t="s">
        <v>17</v>
      </c>
      <c r="G523" s="22" t="s">
        <v>105</v>
      </c>
      <c r="H523" s="22" t="s">
        <v>29</v>
      </c>
      <c r="I523" s="22" t="s">
        <v>70</v>
      </c>
      <c r="J523" s="22" t="s">
        <v>71</v>
      </c>
      <c r="K523" s="22" t="s">
        <v>88</v>
      </c>
      <c r="L523" s="22" t="s">
        <v>57</v>
      </c>
      <c r="M523" s="22" t="s">
        <v>34</v>
      </c>
      <c r="N523" s="22">
        <v>40</v>
      </c>
      <c r="O523" s="26">
        <v>999</v>
      </c>
      <c r="P523" s="22">
        <v>0.18</v>
      </c>
      <c r="Q523" s="30">
        <v>540</v>
      </c>
      <c r="R523" s="33">
        <f>Table1_1[[#This Row],[Units Sold]]*Table1_1[[#This Row],[Unit Price]]*1-Table1_1[[#This Row],[Discount]]</f>
        <v>39959.82</v>
      </c>
      <c r="S523" s="33">
        <f>Table1_1[[#This Row],[Units Sold]]*Table1_1[[#This Row],[Unit Cost]]</f>
        <v>21600</v>
      </c>
      <c r="T523" s="33">
        <f>Table1_1[[#This Row],[Sales Amount]]-S523</f>
        <v>18359.82</v>
      </c>
      <c r="U523" s="32">
        <f>IFERROR(Table1_1[[#This Row],[Profit/loss]]/Table1_1[[#This Row],[Sales Amount]],0)</f>
        <v>0.45945702458119181</v>
      </c>
    </row>
    <row r="524" spans="1:21" ht="18" x14ac:dyDescent="0.35">
      <c r="A524" s="21" t="s">
        <v>631</v>
      </c>
      <c r="B524" s="36">
        <v>45559</v>
      </c>
      <c r="C524" s="22">
        <f>YEAR(Table1_1[[#This Row],[Order Date]])</f>
        <v>2024</v>
      </c>
      <c r="D524" s="22" t="str">
        <f>TEXT(Table1_1[[#This Row],[Order Date]],"MMMM")</f>
        <v>September</v>
      </c>
      <c r="E524" s="22" t="s">
        <v>26</v>
      </c>
      <c r="F524" s="22" t="s">
        <v>163</v>
      </c>
      <c r="G524" s="22" t="s">
        <v>84</v>
      </c>
      <c r="H524" s="22" t="s">
        <v>19</v>
      </c>
      <c r="I524" s="22" t="s">
        <v>54</v>
      </c>
      <c r="J524" s="22" t="s">
        <v>55</v>
      </c>
      <c r="K524" s="22" t="s">
        <v>148</v>
      </c>
      <c r="L524" s="22" t="s">
        <v>23</v>
      </c>
      <c r="M524" s="22" t="s">
        <v>66</v>
      </c>
      <c r="N524" s="22">
        <v>33</v>
      </c>
      <c r="O524" s="26">
        <v>4680</v>
      </c>
      <c r="P524" s="22">
        <v>0.05</v>
      </c>
      <c r="Q524" s="30">
        <v>3250</v>
      </c>
      <c r="R524" s="33">
        <f>Table1_1[[#This Row],[Units Sold]]*Table1_1[[#This Row],[Unit Price]]*1-Table1_1[[#This Row],[Discount]]</f>
        <v>154439.95000000001</v>
      </c>
      <c r="S524" s="33">
        <f>Table1_1[[#This Row],[Units Sold]]*Table1_1[[#This Row],[Unit Cost]]</f>
        <v>107250</v>
      </c>
      <c r="T524" s="33">
        <f>Table1_1[[#This Row],[Sales Amount]]-S524</f>
        <v>47189.950000000012</v>
      </c>
      <c r="U524" s="32">
        <f>IFERROR(Table1_1[[#This Row],[Profit/loss]]/Table1_1[[#This Row],[Sales Amount]],0)</f>
        <v>0.30555533072886909</v>
      </c>
    </row>
    <row r="525" spans="1:21" ht="18" x14ac:dyDescent="0.35">
      <c r="A525" s="21" t="s">
        <v>632</v>
      </c>
      <c r="B525" s="36">
        <v>45560</v>
      </c>
      <c r="C525" s="22">
        <f>YEAR(Table1_1[[#This Row],[Order Date]])</f>
        <v>2024</v>
      </c>
      <c r="D525" s="22" t="str">
        <f>TEXT(Table1_1[[#This Row],[Order Date]],"MMMM")</f>
        <v>September</v>
      </c>
      <c r="E525" s="22" t="s">
        <v>16</v>
      </c>
      <c r="F525" s="22" t="s">
        <v>98</v>
      </c>
      <c r="G525" s="22" t="s">
        <v>50</v>
      </c>
      <c r="H525" s="22" t="s">
        <v>19</v>
      </c>
      <c r="I525" s="22" t="s">
        <v>30</v>
      </c>
      <c r="J525" s="22" t="s">
        <v>61</v>
      </c>
      <c r="K525" s="22" t="s">
        <v>62</v>
      </c>
      <c r="L525" s="22" t="s">
        <v>33</v>
      </c>
      <c r="M525" s="22" t="s">
        <v>78</v>
      </c>
      <c r="N525" s="22">
        <v>31</v>
      </c>
      <c r="O525" s="26">
        <v>12490</v>
      </c>
      <c r="P525" s="22">
        <v>0.08</v>
      </c>
      <c r="Q525" s="30">
        <v>7900</v>
      </c>
      <c r="R525" s="33">
        <f>Table1_1[[#This Row],[Units Sold]]*Table1_1[[#This Row],[Unit Price]]*1-Table1_1[[#This Row],[Discount]]</f>
        <v>387189.92</v>
      </c>
      <c r="S525" s="33">
        <f>Table1_1[[#This Row],[Units Sold]]*Table1_1[[#This Row],[Unit Cost]]</f>
        <v>244900</v>
      </c>
      <c r="T525" s="33">
        <f>Table1_1[[#This Row],[Sales Amount]]-S525</f>
        <v>142289.91999999998</v>
      </c>
      <c r="U525" s="32">
        <f>IFERROR(Table1_1[[#This Row],[Profit/loss]]/Table1_1[[#This Row],[Sales Amount]],0)</f>
        <v>0.3674938645096959</v>
      </c>
    </row>
    <row r="526" spans="1:21" ht="18" x14ac:dyDescent="0.35">
      <c r="A526" s="21" t="s">
        <v>633</v>
      </c>
      <c r="B526" s="36">
        <v>45560</v>
      </c>
      <c r="C526" s="22">
        <f>YEAR(Table1_1[[#This Row],[Order Date]])</f>
        <v>2024</v>
      </c>
      <c r="D526" s="22" t="str">
        <f>TEXT(Table1_1[[#This Row],[Order Date]],"MMMM")</f>
        <v>September</v>
      </c>
      <c r="E526" s="22" t="s">
        <v>16</v>
      </c>
      <c r="F526" s="22" t="s">
        <v>98</v>
      </c>
      <c r="G526" s="22" t="s">
        <v>38</v>
      </c>
      <c r="H526" s="22" t="s">
        <v>29</v>
      </c>
      <c r="I526" s="22" t="s">
        <v>40</v>
      </c>
      <c r="J526" s="22" t="s">
        <v>76</v>
      </c>
      <c r="K526" s="22" t="s">
        <v>1620</v>
      </c>
      <c r="L526" s="22" t="s">
        <v>23</v>
      </c>
      <c r="M526" s="22" t="s">
        <v>34</v>
      </c>
      <c r="N526" s="22">
        <v>9</v>
      </c>
      <c r="O526" s="26">
        <v>52990</v>
      </c>
      <c r="P526" s="22">
        <v>0.2</v>
      </c>
      <c r="Q526" s="30">
        <v>39500</v>
      </c>
      <c r="R526" s="33">
        <f>Table1_1[[#This Row],[Units Sold]]*Table1_1[[#This Row],[Unit Price]]*1-Table1_1[[#This Row],[Discount]]</f>
        <v>476909.8</v>
      </c>
      <c r="S526" s="33">
        <f>Table1_1[[#This Row],[Units Sold]]*Table1_1[[#This Row],[Unit Cost]]</f>
        <v>355500</v>
      </c>
      <c r="T526" s="33">
        <f>Table1_1[[#This Row],[Sales Amount]]-S526</f>
        <v>121409.79999999999</v>
      </c>
      <c r="U526" s="32">
        <f>IFERROR(Table1_1[[#This Row],[Profit/loss]]/Table1_1[[#This Row],[Sales Amount]],0)</f>
        <v>0.25457602255185358</v>
      </c>
    </row>
    <row r="527" spans="1:21" ht="18" x14ac:dyDescent="0.35">
      <c r="A527" s="21" t="s">
        <v>634</v>
      </c>
      <c r="B527" s="36">
        <v>45560</v>
      </c>
      <c r="C527" s="22">
        <f>YEAR(Table1_1[[#This Row],[Order Date]])</f>
        <v>2024</v>
      </c>
      <c r="D527" s="22" t="str">
        <f>TEXT(Table1_1[[#This Row],[Order Date]],"MMMM")</f>
        <v>September</v>
      </c>
      <c r="E527" s="22" t="s">
        <v>16</v>
      </c>
      <c r="F527" s="22" t="s">
        <v>126</v>
      </c>
      <c r="G527" s="22" t="s">
        <v>60</v>
      </c>
      <c r="H527" s="22" t="s">
        <v>39</v>
      </c>
      <c r="I527" s="22" t="s">
        <v>70</v>
      </c>
      <c r="J527" s="22" t="s">
        <v>71</v>
      </c>
      <c r="K527" s="22" t="s">
        <v>88</v>
      </c>
      <c r="L527" s="22" t="s">
        <v>23</v>
      </c>
      <c r="M527" s="22" t="s">
        <v>34</v>
      </c>
      <c r="N527" s="22">
        <v>37</v>
      </c>
      <c r="O527" s="26">
        <v>999</v>
      </c>
      <c r="P527" s="22">
        <v>0.12</v>
      </c>
      <c r="Q527" s="30">
        <v>540</v>
      </c>
      <c r="R527" s="33">
        <f>Table1_1[[#This Row],[Units Sold]]*Table1_1[[#This Row],[Unit Price]]*1-Table1_1[[#This Row],[Discount]]</f>
        <v>36962.879999999997</v>
      </c>
      <c r="S527" s="33">
        <f>Table1_1[[#This Row],[Units Sold]]*Table1_1[[#This Row],[Unit Cost]]</f>
        <v>19980</v>
      </c>
      <c r="T527" s="33">
        <f>Table1_1[[#This Row],[Sales Amount]]-S527</f>
        <v>16982.879999999997</v>
      </c>
      <c r="U527" s="32">
        <f>IFERROR(Table1_1[[#This Row],[Profit/loss]]/Table1_1[[#This Row],[Sales Amount]],0)</f>
        <v>0.45945770459444712</v>
      </c>
    </row>
    <row r="528" spans="1:21" ht="18" x14ac:dyDescent="0.35">
      <c r="A528" s="21" t="s">
        <v>635</v>
      </c>
      <c r="B528" s="36">
        <v>45560</v>
      </c>
      <c r="C528" s="22">
        <f>YEAR(Table1_1[[#This Row],[Order Date]])</f>
        <v>2024</v>
      </c>
      <c r="D528" s="22" t="str">
        <f>TEXT(Table1_1[[#This Row],[Order Date]],"MMMM")</f>
        <v>September</v>
      </c>
      <c r="E528" s="22" t="s">
        <v>26</v>
      </c>
      <c r="F528" s="22" t="s">
        <v>74</v>
      </c>
      <c r="G528" s="22" t="s">
        <v>60</v>
      </c>
      <c r="H528" s="22" t="s">
        <v>39</v>
      </c>
      <c r="I528" s="22" t="s">
        <v>70</v>
      </c>
      <c r="J528" s="22" t="s">
        <v>71</v>
      </c>
      <c r="K528" s="22" t="s">
        <v>80</v>
      </c>
      <c r="L528" s="22" t="s">
        <v>33</v>
      </c>
      <c r="M528" s="22" t="s">
        <v>24</v>
      </c>
      <c r="N528" s="22">
        <v>31</v>
      </c>
      <c r="O528" s="26">
        <v>1299</v>
      </c>
      <c r="P528" s="22">
        <v>0.2</v>
      </c>
      <c r="Q528" s="30">
        <v>720</v>
      </c>
      <c r="R528" s="33">
        <f>Table1_1[[#This Row],[Units Sold]]*Table1_1[[#This Row],[Unit Price]]*1-Table1_1[[#This Row],[Discount]]</f>
        <v>40268.800000000003</v>
      </c>
      <c r="S528" s="33">
        <f>Table1_1[[#This Row],[Units Sold]]*Table1_1[[#This Row],[Unit Cost]]</f>
        <v>22320</v>
      </c>
      <c r="T528" s="33">
        <f>Table1_1[[#This Row],[Sales Amount]]-S528</f>
        <v>17948.800000000003</v>
      </c>
      <c r="U528" s="32">
        <f>IFERROR(Table1_1[[#This Row],[Profit/loss]]/Table1_1[[#This Row],[Sales Amount]],0)</f>
        <v>0.44572472981563893</v>
      </c>
    </row>
    <row r="529" spans="1:21" ht="18" x14ac:dyDescent="0.35">
      <c r="A529" s="21" t="s">
        <v>636</v>
      </c>
      <c r="B529" s="36">
        <v>45561</v>
      </c>
      <c r="C529" s="22">
        <f>YEAR(Table1_1[[#This Row],[Order Date]])</f>
        <v>2024</v>
      </c>
      <c r="D529" s="22" t="str">
        <f>TEXT(Table1_1[[#This Row],[Order Date]],"MMMM")</f>
        <v>September</v>
      </c>
      <c r="E529" s="22" t="s">
        <v>36</v>
      </c>
      <c r="F529" s="22" t="s">
        <v>59</v>
      </c>
      <c r="G529" s="22" t="s">
        <v>28</v>
      </c>
      <c r="H529" s="22" t="s">
        <v>29</v>
      </c>
      <c r="I529" s="22" t="s">
        <v>70</v>
      </c>
      <c r="J529" s="22" t="s">
        <v>71</v>
      </c>
      <c r="K529" s="22" t="s">
        <v>72</v>
      </c>
      <c r="L529" s="22" t="s">
        <v>33</v>
      </c>
      <c r="M529" s="22" t="s">
        <v>78</v>
      </c>
      <c r="N529" s="22">
        <v>9</v>
      </c>
      <c r="O529" s="26">
        <v>3499</v>
      </c>
      <c r="P529" s="22">
        <v>0.05</v>
      </c>
      <c r="Q529" s="30">
        <v>2190</v>
      </c>
      <c r="R529" s="33">
        <f>Table1_1[[#This Row],[Units Sold]]*Table1_1[[#This Row],[Unit Price]]*1-Table1_1[[#This Row],[Discount]]</f>
        <v>31490.95</v>
      </c>
      <c r="S529" s="33">
        <f>Table1_1[[#This Row],[Units Sold]]*Table1_1[[#This Row],[Unit Cost]]</f>
        <v>19710</v>
      </c>
      <c r="T529" s="33">
        <f>Table1_1[[#This Row],[Sales Amount]]-S529</f>
        <v>11780.95</v>
      </c>
      <c r="U529" s="32">
        <f>IFERROR(Table1_1[[#This Row],[Profit/loss]]/Table1_1[[#This Row],[Sales Amount]],0)</f>
        <v>0.37410589391555354</v>
      </c>
    </row>
    <row r="530" spans="1:21" ht="18" x14ac:dyDescent="0.35">
      <c r="A530" s="21" t="s">
        <v>637</v>
      </c>
      <c r="B530" s="36">
        <v>45561</v>
      </c>
      <c r="C530" s="22">
        <f>YEAR(Table1_1[[#This Row],[Order Date]])</f>
        <v>2024</v>
      </c>
      <c r="D530" s="22" t="str">
        <f>TEXT(Table1_1[[#This Row],[Order Date]],"MMMM")</f>
        <v>September</v>
      </c>
      <c r="E530" s="22" t="s">
        <v>48</v>
      </c>
      <c r="F530" s="22" t="s">
        <v>93</v>
      </c>
      <c r="G530" s="22" t="s">
        <v>38</v>
      </c>
      <c r="H530" s="22" t="s">
        <v>29</v>
      </c>
      <c r="I530" s="22" t="s">
        <v>30</v>
      </c>
      <c r="J530" s="22" t="s">
        <v>31</v>
      </c>
      <c r="K530" s="22" t="s">
        <v>85</v>
      </c>
      <c r="L530" s="22" t="s">
        <v>33</v>
      </c>
      <c r="M530" s="22" t="s">
        <v>66</v>
      </c>
      <c r="N530" s="22">
        <v>18</v>
      </c>
      <c r="O530" s="26">
        <v>43500</v>
      </c>
      <c r="P530" s="22">
        <v>0.1</v>
      </c>
      <c r="Q530" s="30">
        <v>29520</v>
      </c>
      <c r="R530" s="33">
        <f>Table1_1[[#This Row],[Units Sold]]*Table1_1[[#This Row],[Unit Price]]*1-Table1_1[[#This Row],[Discount]]</f>
        <v>782999.9</v>
      </c>
      <c r="S530" s="33">
        <f>Table1_1[[#This Row],[Units Sold]]*Table1_1[[#This Row],[Unit Cost]]</f>
        <v>531360</v>
      </c>
      <c r="T530" s="33">
        <f>Table1_1[[#This Row],[Sales Amount]]-S530</f>
        <v>251639.90000000002</v>
      </c>
      <c r="U530" s="32">
        <f>IFERROR(Table1_1[[#This Row],[Profit/loss]]/Table1_1[[#This Row],[Sales Amount]],0)</f>
        <v>0.32137922367550753</v>
      </c>
    </row>
    <row r="531" spans="1:21" ht="18" x14ac:dyDescent="0.35">
      <c r="A531" s="21" t="s">
        <v>638</v>
      </c>
      <c r="B531" s="36">
        <v>45562</v>
      </c>
      <c r="C531" s="22">
        <f>YEAR(Table1_1[[#This Row],[Order Date]])</f>
        <v>2024</v>
      </c>
      <c r="D531" s="22" t="str">
        <f>TEXT(Table1_1[[#This Row],[Order Date]],"MMMM")</f>
        <v>September</v>
      </c>
      <c r="E531" s="22" t="s">
        <v>48</v>
      </c>
      <c r="F531" s="22" t="s">
        <v>93</v>
      </c>
      <c r="G531" s="22" t="s">
        <v>84</v>
      </c>
      <c r="H531" s="22" t="s">
        <v>39</v>
      </c>
      <c r="I531" s="22" t="s">
        <v>54</v>
      </c>
      <c r="J531" s="22" t="s">
        <v>55</v>
      </c>
      <c r="K531" s="22" t="s">
        <v>1623</v>
      </c>
      <c r="L531" s="22" t="s">
        <v>57</v>
      </c>
      <c r="M531" s="22" t="s">
        <v>78</v>
      </c>
      <c r="N531" s="22">
        <v>11</v>
      </c>
      <c r="O531" s="26">
        <v>5890</v>
      </c>
      <c r="P531" s="22">
        <v>0.1</v>
      </c>
      <c r="Q531" s="30">
        <v>3980</v>
      </c>
      <c r="R531" s="33">
        <f>Table1_1[[#This Row],[Units Sold]]*Table1_1[[#This Row],[Unit Price]]*1-Table1_1[[#This Row],[Discount]]</f>
        <v>64789.9</v>
      </c>
      <c r="S531" s="33">
        <f>Table1_1[[#This Row],[Units Sold]]*Table1_1[[#This Row],[Unit Cost]]</f>
        <v>43780</v>
      </c>
      <c r="T531" s="33">
        <f>Table1_1[[#This Row],[Sales Amount]]-S531</f>
        <v>21009.9</v>
      </c>
      <c r="U531" s="32">
        <f>IFERROR(Table1_1[[#This Row],[Profit/loss]]/Table1_1[[#This Row],[Sales Amount]],0)</f>
        <v>0.32427739508781461</v>
      </c>
    </row>
    <row r="532" spans="1:21" ht="18" x14ac:dyDescent="0.35">
      <c r="A532" s="21" t="s">
        <v>639</v>
      </c>
      <c r="B532" s="36">
        <v>45562</v>
      </c>
      <c r="C532" s="22">
        <f>YEAR(Table1_1[[#This Row],[Order Date]])</f>
        <v>2024</v>
      </c>
      <c r="D532" s="22" t="str">
        <f>TEXT(Table1_1[[#This Row],[Order Date]],"MMMM")</f>
        <v>September</v>
      </c>
      <c r="E532" s="22" t="s">
        <v>16</v>
      </c>
      <c r="F532" s="22" t="s">
        <v>98</v>
      </c>
      <c r="G532" s="22" t="s">
        <v>18</v>
      </c>
      <c r="H532" s="22" t="s">
        <v>19</v>
      </c>
      <c r="I532" s="22" t="s">
        <v>20</v>
      </c>
      <c r="J532" s="22" t="s">
        <v>21</v>
      </c>
      <c r="K532" s="22" t="s">
        <v>115</v>
      </c>
      <c r="L532" s="22" t="s">
        <v>57</v>
      </c>
      <c r="M532" s="22" t="s">
        <v>66</v>
      </c>
      <c r="N532" s="22">
        <v>39</v>
      </c>
      <c r="O532" s="26">
        <v>6499</v>
      </c>
      <c r="P532" s="22">
        <v>0.05</v>
      </c>
      <c r="Q532" s="30">
        <v>4210</v>
      </c>
      <c r="R532" s="33">
        <f>Table1_1[[#This Row],[Units Sold]]*Table1_1[[#This Row],[Unit Price]]*1-Table1_1[[#This Row],[Discount]]</f>
        <v>253460.95</v>
      </c>
      <c r="S532" s="33">
        <f>Table1_1[[#This Row],[Units Sold]]*Table1_1[[#This Row],[Unit Cost]]</f>
        <v>164190</v>
      </c>
      <c r="T532" s="33">
        <f>Table1_1[[#This Row],[Sales Amount]]-S532</f>
        <v>89270.950000000012</v>
      </c>
      <c r="U532" s="32">
        <f>IFERROR(Table1_1[[#This Row],[Profit/loss]]/Table1_1[[#This Row],[Sales Amount]],0)</f>
        <v>0.35220790421561982</v>
      </c>
    </row>
    <row r="533" spans="1:21" ht="18" x14ac:dyDescent="0.35">
      <c r="A533" s="21" t="s">
        <v>640</v>
      </c>
      <c r="B533" s="36">
        <v>45563</v>
      </c>
      <c r="C533" s="22">
        <f>YEAR(Table1_1[[#This Row],[Order Date]])</f>
        <v>2024</v>
      </c>
      <c r="D533" s="22" t="str">
        <f>TEXT(Table1_1[[#This Row],[Order Date]],"MMMM")</f>
        <v>September</v>
      </c>
      <c r="E533" s="22" t="s">
        <v>36</v>
      </c>
      <c r="F533" s="22" t="s">
        <v>37</v>
      </c>
      <c r="G533" s="22" t="s">
        <v>101</v>
      </c>
      <c r="H533" s="22" t="s">
        <v>39</v>
      </c>
      <c r="I533" s="22" t="s">
        <v>70</v>
      </c>
      <c r="J533" s="22" t="s">
        <v>71</v>
      </c>
      <c r="K533" s="22" t="s">
        <v>80</v>
      </c>
      <c r="L533" s="22" t="s">
        <v>57</v>
      </c>
      <c r="M533" s="22" t="s">
        <v>24</v>
      </c>
      <c r="N533" s="22">
        <v>35</v>
      </c>
      <c r="O533" s="26">
        <v>1299</v>
      </c>
      <c r="P533" s="22">
        <v>0.2</v>
      </c>
      <c r="Q533" s="30">
        <v>720</v>
      </c>
      <c r="R533" s="33">
        <f>Table1_1[[#This Row],[Units Sold]]*Table1_1[[#This Row],[Unit Price]]*1-Table1_1[[#This Row],[Discount]]</f>
        <v>45464.800000000003</v>
      </c>
      <c r="S533" s="33">
        <f>Table1_1[[#This Row],[Units Sold]]*Table1_1[[#This Row],[Unit Cost]]</f>
        <v>25200</v>
      </c>
      <c r="T533" s="33">
        <f>Table1_1[[#This Row],[Sales Amount]]-S533</f>
        <v>20264.800000000003</v>
      </c>
      <c r="U533" s="32">
        <f>IFERROR(Table1_1[[#This Row],[Profit/loss]]/Table1_1[[#This Row],[Sales Amount]],0)</f>
        <v>0.44572504442997662</v>
      </c>
    </row>
    <row r="534" spans="1:21" ht="18" x14ac:dyDescent="0.35">
      <c r="A534" s="21" t="s">
        <v>641</v>
      </c>
      <c r="B534" s="36">
        <v>45563</v>
      </c>
      <c r="C534" s="22">
        <f>YEAR(Table1_1[[#This Row],[Order Date]])</f>
        <v>2024</v>
      </c>
      <c r="D534" s="22" t="str">
        <f>TEXT(Table1_1[[#This Row],[Order Date]],"MMMM")</f>
        <v>September</v>
      </c>
      <c r="E534" s="22" t="s">
        <v>48</v>
      </c>
      <c r="F534" s="22" t="s">
        <v>136</v>
      </c>
      <c r="G534" s="22" t="s">
        <v>60</v>
      </c>
      <c r="H534" s="22" t="s">
        <v>39</v>
      </c>
      <c r="I534" s="22" t="s">
        <v>20</v>
      </c>
      <c r="J534" s="22" t="s">
        <v>21</v>
      </c>
      <c r="K534" s="22" t="s">
        <v>115</v>
      </c>
      <c r="L534" s="22" t="s">
        <v>23</v>
      </c>
      <c r="M534" s="22" t="s">
        <v>66</v>
      </c>
      <c r="N534" s="22">
        <v>2</v>
      </c>
      <c r="O534" s="26">
        <v>6499</v>
      </c>
      <c r="P534" s="22">
        <v>0.05</v>
      </c>
      <c r="Q534" s="30">
        <v>4210</v>
      </c>
      <c r="R534" s="33">
        <f>Table1_1[[#This Row],[Units Sold]]*Table1_1[[#This Row],[Unit Price]]*1-Table1_1[[#This Row],[Discount]]</f>
        <v>12997.95</v>
      </c>
      <c r="S534" s="33">
        <f>Table1_1[[#This Row],[Units Sold]]*Table1_1[[#This Row],[Unit Cost]]</f>
        <v>8420</v>
      </c>
      <c r="T534" s="33">
        <f>Table1_1[[#This Row],[Sales Amount]]-S534</f>
        <v>4577.9500000000007</v>
      </c>
      <c r="U534" s="32">
        <f>IFERROR(Table1_1[[#This Row],[Profit/loss]]/Table1_1[[#This Row],[Sales Amount]],0)</f>
        <v>0.35220554010440114</v>
      </c>
    </row>
    <row r="535" spans="1:21" ht="18" x14ac:dyDescent="0.35">
      <c r="A535" s="21" t="s">
        <v>642</v>
      </c>
      <c r="B535" s="36">
        <v>45563</v>
      </c>
      <c r="C535" s="22">
        <f>YEAR(Table1_1[[#This Row],[Order Date]])</f>
        <v>2024</v>
      </c>
      <c r="D535" s="22" t="str">
        <f>TEXT(Table1_1[[#This Row],[Order Date]],"MMMM")</f>
        <v>September</v>
      </c>
      <c r="E535" s="22" t="s">
        <v>26</v>
      </c>
      <c r="F535" s="22" t="s">
        <v>53</v>
      </c>
      <c r="G535" s="22" t="s">
        <v>18</v>
      </c>
      <c r="H535" s="22" t="s">
        <v>19</v>
      </c>
      <c r="I535" s="22" t="s">
        <v>54</v>
      </c>
      <c r="J535" s="22" t="s">
        <v>90</v>
      </c>
      <c r="K535" s="22" t="s">
        <v>1625</v>
      </c>
      <c r="L535" s="22" t="s">
        <v>23</v>
      </c>
      <c r="M535" s="22" t="s">
        <v>34</v>
      </c>
      <c r="N535" s="22">
        <v>27</v>
      </c>
      <c r="O535" s="26">
        <v>32800</v>
      </c>
      <c r="P535" s="22">
        <v>0.15</v>
      </c>
      <c r="Q535" s="30">
        <v>23100</v>
      </c>
      <c r="R535" s="33">
        <f>Table1_1[[#This Row],[Units Sold]]*Table1_1[[#This Row],[Unit Price]]*1-Table1_1[[#This Row],[Discount]]</f>
        <v>885599.85</v>
      </c>
      <c r="S535" s="33">
        <f>Table1_1[[#This Row],[Units Sold]]*Table1_1[[#This Row],[Unit Cost]]</f>
        <v>623700</v>
      </c>
      <c r="T535" s="33">
        <f>Table1_1[[#This Row],[Sales Amount]]-S535</f>
        <v>261899.84999999998</v>
      </c>
      <c r="U535" s="32">
        <f>IFERROR(Table1_1[[#This Row],[Profit/loss]]/Table1_1[[#This Row],[Sales Amount]],0)</f>
        <v>0.29573158803041799</v>
      </c>
    </row>
    <row r="536" spans="1:21" ht="18" x14ac:dyDescent="0.35">
      <c r="A536" s="21" t="s">
        <v>643</v>
      </c>
      <c r="B536" s="36">
        <v>45564</v>
      </c>
      <c r="C536" s="22">
        <f>YEAR(Table1_1[[#This Row],[Order Date]])</f>
        <v>2024</v>
      </c>
      <c r="D536" s="22" t="str">
        <f>TEXT(Table1_1[[#This Row],[Order Date]],"MMMM")</f>
        <v>September</v>
      </c>
      <c r="E536" s="22" t="s">
        <v>36</v>
      </c>
      <c r="F536" s="22" t="s">
        <v>121</v>
      </c>
      <c r="G536" s="22" t="s">
        <v>18</v>
      </c>
      <c r="H536" s="22" t="s">
        <v>29</v>
      </c>
      <c r="I536" s="22" t="s">
        <v>40</v>
      </c>
      <c r="J536" s="22" t="s">
        <v>76</v>
      </c>
      <c r="K536" s="22" t="s">
        <v>113</v>
      </c>
      <c r="L536" s="22" t="s">
        <v>23</v>
      </c>
      <c r="M536" s="22" t="s">
        <v>66</v>
      </c>
      <c r="N536" s="22">
        <v>35</v>
      </c>
      <c r="O536" s="26">
        <v>22999</v>
      </c>
      <c r="P536" s="22">
        <v>0.12</v>
      </c>
      <c r="Q536" s="30">
        <v>15100</v>
      </c>
      <c r="R536" s="33">
        <f>Table1_1[[#This Row],[Units Sold]]*Table1_1[[#This Row],[Unit Price]]*1-Table1_1[[#This Row],[Discount]]</f>
        <v>804964.88</v>
      </c>
      <c r="S536" s="33">
        <f>Table1_1[[#This Row],[Units Sold]]*Table1_1[[#This Row],[Unit Cost]]</f>
        <v>528500</v>
      </c>
      <c r="T536" s="33">
        <f>Table1_1[[#This Row],[Sales Amount]]-S536</f>
        <v>276464.88</v>
      </c>
      <c r="U536" s="32">
        <f>IFERROR(Table1_1[[#This Row],[Profit/loss]]/Table1_1[[#This Row],[Sales Amount]],0)</f>
        <v>0.34344961732988899</v>
      </c>
    </row>
    <row r="537" spans="1:21" ht="18" x14ac:dyDescent="0.35">
      <c r="A537" s="21" t="s">
        <v>644</v>
      </c>
      <c r="B537" s="36">
        <v>45564</v>
      </c>
      <c r="C537" s="22">
        <f>YEAR(Table1_1[[#This Row],[Order Date]])</f>
        <v>2024</v>
      </c>
      <c r="D537" s="22" t="str">
        <f>TEXT(Table1_1[[#This Row],[Order Date]],"MMMM")</f>
        <v>September</v>
      </c>
      <c r="E537" s="22" t="s">
        <v>16</v>
      </c>
      <c r="F537" s="22" t="s">
        <v>98</v>
      </c>
      <c r="G537" s="22" t="s">
        <v>101</v>
      </c>
      <c r="H537" s="22" t="s">
        <v>29</v>
      </c>
      <c r="I537" s="22" t="s">
        <v>40</v>
      </c>
      <c r="J537" s="22" t="s">
        <v>41</v>
      </c>
      <c r="K537" s="22" t="s">
        <v>42</v>
      </c>
      <c r="L537" s="22" t="s">
        <v>57</v>
      </c>
      <c r="M537" s="22" t="s">
        <v>34</v>
      </c>
      <c r="N537" s="22">
        <v>20</v>
      </c>
      <c r="O537" s="26">
        <v>55230</v>
      </c>
      <c r="P537" s="22">
        <v>0.12</v>
      </c>
      <c r="Q537" s="30">
        <v>33800</v>
      </c>
      <c r="R537" s="33">
        <f>Table1_1[[#This Row],[Units Sold]]*Table1_1[[#This Row],[Unit Price]]*1-Table1_1[[#This Row],[Discount]]</f>
        <v>1104599.8799999999</v>
      </c>
      <c r="S537" s="33">
        <f>Table1_1[[#This Row],[Units Sold]]*Table1_1[[#This Row],[Unit Cost]]</f>
        <v>676000</v>
      </c>
      <c r="T537" s="33">
        <f>Table1_1[[#This Row],[Sales Amount]]-S537</f>
        <v>428599.87999999989</v>
      </c>
      <c r="U537" s="32">
        <f>IFERROR(Table1_1[[#This Row],[Profit/loss]]/Table1_1[[#This Row],[Sales Amount]],0)</f>
        <v>0.38801369415321674</v>
      </c>
    </row>
    <row r="538" spans="1:21" ht="18" x14ac:dyDescent="0.35">
      <c r="A538" s="21" t="s">
        <v>645</v>
      </c>
      <c r="B538" s="36">
        <v>45565</v>
      </c>
      <c r="C538" s="22">
        <f>YEAR(Table1_1[[#This Row],[Order Date]])</f>
        <v>2024</v>
      </c>
      <c r="D538" s="22" t="str">
        <f>TEXT(Table1_1[[#This Row],[Order Date]],"MMMM")</f>
        <v>September</v>
      </c>
      <c r="E538" s="22" t="s">
        <v>48</v>
      </c>
      <c r="F538" s="22" t="s">
        <v>93</v>
      </c>
      <c r="G538" s="22" t="s">
        <v>105</v>
      </c>
      <c r="H538" s="22" t="s">
        <v>39</v>
      </c>
      <c r="I538" s="22" t="s">
        <v>54</v>
      </c>
      <c r="J538" s="22" t="s">
        <v>90</v>
      </c>
      <c r="K538" s="22" t="s">
        <v>1621</v>
      </c>
      <c r="L538" s="22" t="s">
        <v>57</v>
      </c>
      <c r="M538" s="22" t="s">
        <v>66</v>
      </c>
      <c r="N538" s="22">
        <v>29</v>
      </c>
      <c r="O538" s="26">
        <v>31990</v>
      </c>
      <c r="P538" s="22">
        <v>0.08</v>
      </c>
      <c r="Q538" s="30">
        <v>21800</v>
      </c>
      <c r="R538" s="33">
        <f>Table1_1[[#This Row],[Units Sold]]*Table1_1[[#This Row],[Unit Price]]*1-Table1_1[[#This Row],[Discount]]</f>
        <v>927709.92</v>
      </c>
      <c r="S538" s="33">
        <f>Table1_1[[#This Row],[Units Sold]]*Table1_1[[#This Row],[Unit Cost]]</f>
        <v>632200</v>
      </c>
      <c r="T538" s="33">
        <f>Table1_1[[#This Row],[Sales Amount]]-S538</f>
        <v>295509.92000000004</v>
      </c>
      <c r="U538" s="32">
        <f>IFERROR(Table1_1[[#This Row],[Profit/loss]]/Table1_1[[#This Row],[Sales Amount]],0)</f>
        <v>0.3185369840607073</v>
      </c>
    </row>
    <row r="539" spans="1:21" ht="18" x14ac:dyDescent="0.35">
      <c r="A539" s="21" t="s">
        <v>646</v>
      </c>
      <c r="B539" s="36">
        <v>45565</v>
      </c>
      <c r="C539" s="22">
        <f>YEAR(Table1_1[[#This Row],[Order Date]])</f>
        <v>2024</v>
      </c>
      <c r="D539" s="22" t="str">
        <f>TEXT(Table1_1[[#This Row],[Order Date]],"MMMM")</f>
        <v>September</v>
      </c>
      <c r="E539" s="22" t="s">
        <v>36</v>
      </c>
      <c r="F539" s="22" t="s">
        <v>59</v>
      </c>
      <c r="G539" s="22" t="s">
        <v>105</v>
      </c>
      <c r="H539" s="22" t="s">
        <v>39</v>
      </c>
      <c r="I539" s="22" t="s">
        <v>30</v>
      </c>
      <c r="J539" s="22" t="s">
        <v>31</v>
      </c>
      <c r="K539" s="22" t="s">
        <v>85</v>
      </c>
      <c r="L539" s="22" t="s">
        <v>23</v>
      </c>
      <c r="M539" s="22" t="s">
        <v>66</v>
      </c>
      <c r="N539" s="22">
        <v>6</v>
      </c>
      <c r="O539" s="26">
        <v>43500</v>
      </c>
      <c r="P539" s="22">
        <v>0.1</v>
      </c>
      <c r="Q539" s="30">
        <v>29520</v>
      </c>
      <c r="R539" s="33">
        <f>Table1_1[[#This Row],[Units Sold]]*Table1_1[[#This Row],[Unit Price]]*1-Table1_1[[#This Row],[Discount]]</f>
        <v>260999.9</v>
      </c>
      <c r="S539" s="33">
        <f>Table1_1[[#This Row],[Units Sold]]*Table1_1[[#This Row],[Unit Cost]]</f>
        <v>177120</v>
      </c>
      <c r="T539" s="33">
        <f>Table1_1[[#This Row],[Sales Amount]]-S539</f>
        <v>83879.899999999994</v>
      </c>
      <c r="U539" s="32">
        <f>IFERROR(Table1_1[[#This Row],[Profit/loss]]/Table1_1[[#This Row],[Sales Amount]],0)</f>
        <v>0.32137905033680086</v>
      </c>
    </row>
    <row r="540" spans="1:21" ht="18" x14ac:dyDescent="0.35">
      <c r="A540" s="21" t="s">
        <v>647</v>
      </c>
      <c r="B540" s="36">
        <v>45566</v>
      </c>
      <c r="C540" s="22">
        <f>YEAR(Table1_1[[#This Row],[Order Date]])</f>
        <v>2024</v>
      </c>
      <c r="D540" s="22" t="str">
        <f>TEXT(Table1_1[[#This Row],[Order Date]],"MMMM")</f>
        <v>October</v>
      </c>
      <c r="E540" s="22" t="s">
        <v>26</v>
      </c>
      <c r="F540" s="22" t="s">
        <v>163</v>
      </c>
      <c r="G540" s="22" t="s">
        <v>101</v>
      </c>
      <c r="H540" s="22" t="s">
        <v>19</v>
      </c>
      <c r="I540" s="22" t="s">
        <v>54</v>
      </c>
      <c r="J540" s="22" t="s">
        <v>55</v>
      </c>
      <c r="K540" s="22" t="s">
        <v>1623</v>
      </c>
      <c r="L540" s="22" t="s">
        <v>33</v>
      </c>
      <c r="M540" s="22" t="s">
        <v>24</v>
      </c>
      <c r="N540" s="22">
        <v>8</v>
      </c>
      <c r="O540" s="26">
        <v>5890</v>
      </c>
      <c r="P540" s="22">
        <v>0.18</v>
      </c>
      <c r="Q540" s="30">
        <v>3980</v>
      </c>
      <c r="R540" s="33">
        <f>Table1_1[[#This Row],[Units Sold]]*Table1_1[[#This Row],[Unit Price]]*1-Table1_1[[#This Row],[Discount]]</f>
        <v>47119.82</v>
      </c>
      <c r="S540" s="33">
        <f>Table1_1[[#This Row],[Units Sold]]*Table1_1[[#This Row],[Unit Cost]]</f>
        <v>31840</v>
      </c>
      <c r="T540" s="33">
        <f>Table1_1[[#This Row],[Sales Amount]]-S540</f>
        <v>15279.82</v>
      </c>
      <c r="U540" s="32">
        <f>IFERROR(Table1_1[[#This Row],[Profit/loss]]/Table1_1[[#This Row],[Sales Amount]],0)</f>
        <v>0.3242758567413882</v>
      </c>
    </row>
    <row r="541" spans="1:21" ht="18" x14ac:dyDescent="0.35">
      <c r="A541" s="21" t="s">
        <v>648</v>
      </c>
      <c r="B541" s="36">
        <v>45566</v>
      </c>
      <c r="C541" s="22">
        <f>YEAR(Table1_1[[#This Row],[Order Date]])</f>
        <v>2024</v>
      </c>
      <c r="D541" s="22" t="str">
        <f>TEXT(Table1_1[[#This Row],[Order Date]],"MMMM")</f>
        <v>October</v>
      </c>
      <c r="E541" s="22" t="s">
        <v>36</v>
      </c>
      <c r="F541" s="22" t="s">
        <v>59</v>
      </c>
      <c r="G541" s="22" t="s">
        <v>75</v>
      </c>
      <c r="H541" s="22" t="s">
        <v>29</v>
      </c>
      <c r="I541" s="22" t="s">
        <v>30</v>
      </c>
      <c r="J541" s="22" t="s">
        <v>31</v>
      </c>
      <c r="K541" s="22" t="s">
        <v>106</v>
      </c>
      <c r="L541" s="22" t="s">
        <v>23</v>
      </c>
      <c r="M541" s="22" t="s">
        <v>66</v>
      </c>
      <c r="N541" s="22">
        <v>31</v>
      </c>
      <c r="O541" s="26">
        <v>52990</v>
      </c>
      <c r="P541" s="22">
        <v>0.1</v>
      </c>
      <c r="Q541" s="30">
        <v>35100</v>
      </c>
      <c r="R541" s="33">
        <f>Table1_1[[#This Row],[Units Sold]]*Table1_1[[#This Row],[Unit Price]]*1-Table1_1[[#This Row],[Discount]]</f>
        <v>1642689.9</v>
      </c>
      <c r="S541" s="33">
        <f>Table1_1[[#This Row],[Units Sold]]*Table1_1[[#This Row],[Unit Cost]]</f>
        <v>1088100</v>
      </c>
      <c r="T541" s="33">
        <f>Table1_1[[#This Row],[Sales Amount]]-S541</f>
        <v>554589.89999999991</v>
      </c>
      <c r="U541" s="32">
        <f>IFERROR(Table1_1[[#This Row],[Profit/loss]]/Table1_1[[#This Row],[Sales Amount]],0)</f>
        <v>0.33761082965202377</v>
      </c>
    </row>
    <row r="542" spans="1:21" ht="18" x14ac:dyDescent="0.35">
      <c r="A542" s="21" t="s">
        <v>649</v>
      </c>
      <c r="B542" s="36">
        <v>45566</v>
      </c>
      <c r="C542" s="22">
        <f>YEAR(Table1_1[[#This Row],[Order Date]])</f>
        <v>2024</v>
      </c>
      <c r="D542" s="22" t="str">
        <f>TEXT(Table1_1[[#This Row],[Order Date]],"MMMM")</f>
        <v>October</v>
      </c>
      <c r="E542" s="22" t="s">
        <v>82</v>
      </c>
      <c r="F542" s="22" t="s">
        <v>87</v>
      </c>
      <c r="G542" s="22" t="s">
        <v>18</v>
      </c>
      <c r="H542" s="22" t="s">
        <v>19</v>
      </c>
      <c r="I542" s="22" t="s">
        <v>54</v>
      </c>
      <c r="J542" s="22" t="s">
        <v>90</v>
      </c>
      <c r="K542" s="22" t="s">
        <v>1621</v>
      </c>
      <c r="L542" s="22" t="s">
        <v>33</v>
      </c>
      <c r="M542" s="22" t="s">
        <v>34</v>
      </c>
      <c r="N542" s="22">
        <v>24</v>
      </c>
      <c r="O542" s="26">
        <v>31990</v>
      </c>
      <c r="P542" s="22">
        <v>0.05</v>
      </c>
      <c r="Q542" s="30">
        <v>21800</v>
      </c>
      <c r="R542" s="33">
        <f>Table1_1[[#This Row],[Units Sold]]*Table1_1[[#This Row],[Unit Price]]*1-Table1_1[[#This Row],[Discount]]</f>
        <v>767759.95</v>
      </c>
      <c r="S542" s="33">
        <f>Table1_1[[#This Row],[Units Sold]]*Table1_1[[#This Row],[Unit Cost]]</f>
        <v>523200</v>
      </c>
      <c r="T542" s="33">
        <f>Table1_1[[#This Row],[Sales Amount]]-S542</f>
        <v>244559.94999999995</v>
      </c>
      <c r="U542" s="32">
        <f>IFERROR(Table1_1[[#This Row],[Profit/loss]]/Table1_1[[#This Row],[Sales Amount]],0)</f>
        <v>0.31853699844593347</v>
      </c>
    </row>
    <row r="543" spans="1:21" ht="18" x14ac:dyDescent="0.35">
      <c r="A543" s="21" t="s">
        <v>650</v>
      </c>
      <c r="B543" s="36">
        <v>45566</v>
      </c>
      <c r="C543" s="22">
        <f>YEAR(Table1_1[[#This Row],[Order Date]])</f>
        <v>2024</v>
      </c>
      <c r="D543" s="22" t="str">
        <f>TEXT(Table1_1[[#This Row],[Order Date]],"MMMM")</f>
        <v>October</v>
      </c>
      <c r="E543" s="22" t="s">
        <v>48</v>
      </c>
      <c r="F543" s="22" t="s">
        <v>93</v>
      </c>
      <c r="G543" s="22" t="s">
        <v>60</v>
      </c>
      <c r="H543" s="22" t="s">
        <v>29</v>
      </c>
      <c r="I543" s="22" t="s">
        <v>70</v>
      </c>
      <c r="J543" s="22" t="s">
        <v>71</v>
      </c>
      <c r="K543" s="22" t="s">
        <v>80</v>
      </c>
      <c r="L543" s="22" t="s">
        <v>23</v>
      </c>
      <c r="M543" s="22" t="s">
        <v>24</v>
      </c>
      <c r="N543" s="22">
        <v>19</v>
      </c>
      <c r="O543" s="26">
        <v>1299</v>
      </c>
      <c r="P543" s="22">
        <v>0.2</v>
      </c>
      <c r="Q543" s="30">
        <v>720</v>
      </c>
      <c r="R543" s="33">
        <f>Table1_1[[#This Row],[Units Sold]]*Table1_1[[#This Row],[Unit Price]]*1-Table1_1[[#This Row],[Discount]]</f>
        <v>24680.799999999999</v>
      </c>
      <c r="S543" s="33">
        <f>Table1_1[[#This Row],[Units Sold]]*Table1_1[[#This Row],[Unit Cost]]</f>
        <v>13680</v>
      </c>
      <c r="T543" s="33">
        <f>Table1_1[[#This Row],[Sales Amount]]-S543</f>
        <v>11000.8</v>
      </c>
      <c r="U543" s="32">
        <f>IFERROR(Table1_1[[#This Row],[Profit/loss]]/Table1_1[[#This Row],[Sales Amount]],0)</f>
        <v>0.44572299115101616</v>
      </c>
    </row>
    <row r="544" spans="1:21" ht="18" x14ac:dyDescent="0.35">
      <c r="A544" s="21" t="s">
        <v>651</v>
      </c>
      <c r="B544" s="36">
        <v>45566</v>
      </c>
      <c r="C544" s="22">
        <f>YEAR(Table1_1[[#This Row],[Order Date]])</f>
        <v>2024</v>
      </c>
      <c r="D544" s="22" t="str">
        <f>TEXT(Table1_1[[#This Row],[Order Date]],"MMMM")</f>
        <v>October</v>
      </c>
      <c r="E544" s="22" t="s">
        <v>82</v>
      </c>
      <c r="F544" s="22" t="s">
        <v>83</v>
      </c>
      <c r="G544" s="22" t="s">
        <v>69</v>
      </c>
      <c r="H544" s="22" t="s">
        <v>19</v>
      </c>
      <c r="I544" s="22" t="s">
        <v>40</v>
      </c>
      <c r="J544" s="22" t="s">
        <v>41</v>
      </c>
      <c r="K544" s="22" t="s">
        <v>42</v>
      </c>
      <c r="L544" s="22" t="s">
        <v>23</v>
      </c>
      <c r="M544" s="22" t="s">
        <v>78</v>
      </c>
      <c r="N544" s="22">
        <v>17</v>
      </c>
      <c r="O544" s="26">
        <v>55230</v>
      </c>
      <c r="P544" s="22">
        <v>0.1</v>
      </c>
      <c r="Q544" s="30">
        <v>33800</v>
      </c>
      <c r="R544" s="33">
        <f>Table1_1[[#This Row],[Units Sold]]*Table1_1[[#This Row],[Unit Price]]*1-Table1_1[[#This Row],[Discount]]</f>
        <v>938909.9</v>
      </c>
      <c r="S544" s="33">
        <f>Table1_1[[#This Row],[Units Sold]]*Table1_1[[#This Row],[Unit Cost]]</f>
        <v>574600</v>
      </c>
      <c r="T544" s="33">
        <f>Table1_1[[#This Row],[Sales Amount]]-S544</f>
        <v>364309.9</v>
      </c>
      <c r="U544" s="32">
        <f>IFERROR(Table1_1[[#This Row],[Profit/loss]]/Table1_1[[#This Row],[Sales Amount]],0)</f>
        <v>0.38801369545682712</v>
      </c>
    </row>
    <row r="545" spans="1:21" ht="18" x14ac:dyDescent="0.35">
      <c r="A545" s="21" t="s">
        <v>652</v>
      </c>
      <c r="B545" s="36">
        <v>45566</v>
      </c>
      <c r="C545" s="22">
        <f>YEAR(Table1_1[[#This Row],[Order Date]])</f>
        <v>2024</v>
      </c>
      <c r="D545" s="22" t="str">
        <f>TEXT(Table1_1[[#This Row],[Order Date]],"MMMM")</f>
        <v>October</v>
      </c>
      <c r="E545" s="22" t="s">
        <v>26</v>
      </c>
      <c r="F545" s="22" t="s">
        <v>163</v>
      </c>
      <c r="G545" s="22" t="s">
        <v>28</v>
      </c>
      <c r="H545" s="22" t="s">
        <v>19</v>
      </c>
      <c r="I545" s="22" t="s">
        <v>40</v>
      </c>
      <c r="J545" s="22" t="s">
        <v>64</v>
      </c>
      <c r="K545" s="22" t="s">
        <v>1629</v>
      </c>
      <c r="L545" s="22" t="s">
        <v>23</v>
      </c>
      <c r="M545" s="22" t="s">
        <v>66</v>
      </c>
      <c r="N545" s="22">
        <v>21</v>
      </c>
      <c r="O545" s="26">
        <v>3299</v>
      </c>
      <c r="P545" s="22">
        <v>0.15</v>
      </c>
      <c r="Q545" s="30">
        <v>2050</v>
      </c>
      <c r="R545" s="33">
        <f>Table1_1[[#This Row],[Units Sold]]*Table1_1[[#This Row],[Unit Price]]*1-Table1_1[[#This Row],[Discount]]</f>
        <v>69278.850000000006</v>
      </c>
      <c r="S545" s="33">
        <f>Table1_1[[#This Row],[Units Sold]]*Table1_1[[#This Row],[Unit Cost]]</f>
        <v>43050</v>
      </c>
      <c r="T545" s="33">
        <f>Table1_1[[#This Row],[Sales Amount]]-S545</f>
        <v>26228.850000000006</v>
      </c>
      <c r="U545" s="32">
        <f>IFERROR(Table1_1[[#This Row],[Profit/loss]]/Table1_1[[#This Row],[Sales Amount]],0)</f>
        <v>0.37859823019579575</v>
      </c>
    </row>
    <row r="546" spans="1:21" ht="18" x14ac:dyDescent="0.35">
      <c r="A546" s="21" t="s">
        <v>653</v>
      </c>
      <c r="B546" s="36">
        <v>45566</v>
      </c>
      <c r="C546" s="22">
        <f>YEAR(Table1_1[[#This Row],[Order Date]])</f>
        <v>2024</v>
      </c>
      <c r="D546" s="22" t="str">
        <f>TEXT(Table1_1[[#This Row],[Order Date]],"MMMM")</f>
        <v>October</v>
      </c>
      <c r="E546" s="22" t="s">
        <v>36</v>
      </c>
      <c r="F546" s="22" t="s">
        <v>59</v>
      </c>
      <c r="G546" s="22" t="s">
        <v>60</v>
      </c>
      <c r="H546" s="22" t="s">
        <v>39</v>
      </c>
      <c r="I546" s="22" t="s">
        <v>30</v>
      </c>
      <c r="J546" s="22" t="s">
        <v>31</v>
      </c>
      <c r="K546" s="22" t="s">
        <v>32</v>
      </c>
      <c r="L546" s="22" t="s">
        <v>33</v>
      </c>
      <c r="M546" s="22" t="s">
        <v>34</v>
      </c>
      <c r="N546" s="22">
        <v>5</v>
      </c>
      <c r="O546" s="26">
        <v>38990</v>
      </c>
      <c r="P546" s="22">
        <v>0.2</v>
      </c>
      <c r="Q546" s="30">
        <v>25400</v>
      </c>
      <c r="R546" s="33">
        <f>Table1_1[[#This Row],[Units Sold]]*Table1_1[[#This Row],[Unit Price]]*1-Table1_1[[#This Row],[Discount]]</f>
        <v>194949.8</v>
      </c>
      <c r="S546" s="33">
        <f>Table1_1[[#This Row],[Units Sold]]*Table1_1[[#This Row],[Unit Cost]]</f>
        <v>127000</v>
      </c>
      <c r="T546" s="33">
        <f>Table1_1[[#This Row],[Sales Amount]]-S546</f>
        <v>67949.799999999988</v>
      </c>
      <c r="U546" s="32">
        <f>IFERROR(Table1_1[[#This Row],[Profit/loss]]/Table1_1[[#This Row],[Sales Amount]],0)</f>
        <v>0.34855024216490599</v>
      </c>
    </row>
    <row r="547" spans="1:21" ht="18" x14ac:dyDescent="0.35">
      <c r="A547" s="21" t="s">
        <v>654</v>
      </c>
      <c r="B547" s="36">
        <v>45567</v>
      </c>
      <c r="C547" s="22">
        <f>YEAR(Table1_1[[#This Row],[Order Date]])</f>
        <v>2024</v>
      </c>
      <c r="D547" s="22" t="str">
        <f>TEXT(Table1_1[[#This Row],[Order Date]],"MMMM")</f>
        <v>October</v>
      </c>
      <c r="E547" s="22" t="s">
        <v>16</v>
      </c>
      <c r="F547" s="22" t="s">
        <v>126</v>
      </c>
      <c r="G547" s="22" t="s">
        <v>38</v>
      </c>
      <c r="H547" s="22" t="s">
        <v>19</v>
      </c>
      <c r="I547" s="22" t="s">
        <v>20</v>
      </c>
      <c r="J547" s="22" t="s">
        <v>45</v>
      </c>
      <c r="K547" s="22" t="s">
        <v>1618</v>
      </c>
      <c r="L547" s="22" t="s">
        <v>57</v>
      </c>
      <c r="M547" s="22" t="s">
        <v>34</v>
      </c>
      <c r="N547" s="22">
        <v>12</v>
      </c>
      <c r="O547" s="26">
        <v>1899</v>
      </c>
      <c r="P547" s="22">
        <v>0.2</v>
      </c>
      <c r="Q547" s="30">
        <v>1080</v>
      </c>
      <c r="R547" s="33">
        <f>Table1_1[[#This Row],[Units Sold]]*Table1_1[[#This Row],[Unit Price]]*1-Table1_1[[#This Row],[Discount]]</f>
        <v>22787.8</v>
      </c>
      <c r="S547" s="33">
        <f>Table1_1[[#This Row],[Units Sold]]*Table1_1[[#This Row],[Unit Cost]]</f>
        <v>12960</v>
      </c>
      <c r="T547" s="33">
        <f>Table1_1[[#This Row],[Sales Amount]]-S547</f>
        <v>9827.7999999999993</v>
      </c>
      <c r="U547" s="32">
        <f>IFERROR(Table1_1[[#This Row],[Profit/loss]]/Table1_1[[#This Row],[Sales Amount]],0)</f>
        <v>0.43127462940696337</v>
      </c>
    </row>
    <row r="548" spans="1:21" ht="18" x14ac:dyDescent="0.35">
      <c r="A548" s="21" t="s">
        <v>655</v>
      </c>
      <c r="B548" s="36">
        <v>45568</v>
      </c>
      <c r="C548" s="22">
        <f>YEAR(Table1_1[[#This Row],[Order Date]])</f>
        <v>2024</v>
      </c>
      <c r="D548" s="22" t="str">
        <f>TEXT(Table1_1[[#This Row],[Order Date]],"MMMM")</f>
        <v>October</v>
      </c>
      <c r="E548" s="22" t="s">
        <v>82</v>
      </c>
      <c r="F548" s="22" t="s">
        <v>100</v>
      </c>
      <c r="G548" s="22" t="s">
        <v>38</v>
      </c>
      <c r="H548" s="22" t="s">
        <v>29</v>
      </c>
      <c r="I548" s="22" t="s">
        <v>40</v>
      </c>
      <c r="J548" s="22" t="s">
        <v>41</v>
      </c>
      <c r="K548" s="22" t="s">
        <v>1624</v>
      </c>
      <c r="L548" s="22" t="s">
        <v>57</v>
      </c>
      <c r="M548" s="22" t="s">
        <v>24</v>
      </c>
      <c r="N548" s="22">
        <v>31</v>
      </c>
      <c r="O548" s="26">
        <v>48990</v>
      </c>
      <c r="P548" s="22">
        <v>0.12</v>
      </c>
      <c r="Q548" s="30">
        <v>30100</v>
      </c>
      <c r="R548" s="33">
        <f>Table1_1[[#This Row],[Units Sold]]*Table1_1[[#This Row],[Unit Price]]*1-Table1_1[[#This Row],[Discount]]</f>
        <v>1518689.88</v>
      </c>
      <c r="S548" s="33">
        <f>Table1_1[[#This Row],[Units Sold]]*Table1_1[[#This Row],[Unit Cost]]</f>
        <v>933100</v>
      </c>
      <c r="T548" s="33">
        <f>Table1_1[[#This Row],[Sales Amount]]-S548</f>
        <v>585589.87999999989</v>
      </c>
      <c r="U548" s="32">
        <f>IFERROR(Table1_1[[#This Row],[Profit/loss]]/Table1_1[[#This Row],[Sales Amount]],0)</f>
        <v>0.38558884714501418</v>
      </c>
    </row>
    <row r="549" spans="1:21" ht="18" x14ac:dyDescent="0.35">
      <c r="A549" s="21" t="s">
        <v>656</v>
      </c>
      <c r="B549" s="36">
        <v>45568</v>
      </c>
      <c r="C549" s="22">
        <f>YEAR(Table1_1[[#This Row],[Order Date]])</f>
        <v>2024</v>
      </c>
      <c r="D549" s="22" t="str">
        <f>TEXT(Table1_1[[#This Row],[Order Date]],"MMMM")</f>
        <v>October</v>
      </c>
      <c r="E549" s="22" t="s">
        <v>82</v>
      </c>
      <c r="F549" s="22" t="s">
        <v>83</v>
      </c>
      <c r="G549" s="22" t="s">
        <v>69</v>
      </c>
      <c r="H549" s="22" t="s">
        <v>19</v>
      </c>
      <c r="I549" s="22" t="s">
        <v>40</v>
      </c>
      <c r="J549" s="22" t="s">
        <v>64</v>
      </c>
      <c r="K549" s="22" t="s">
        <v>1627</v>
      </c>
      <c r="L549" s="22" t="s">
        <v>57</v>
      </c>
      <c r="M549" s="22" t="s">
        <v>66</v>
      </c>
      <c r="N549" s="22">
        <v>36</v>
      </c>
      <c r="O549" s="26">
        <v>4490</v>
      </c>
      <c r="P549" s="22">
        <v>0.18</v>
      </c>
      <c r="Q549" s="30">
        <v>2950</v>
      </c>
      <c r="R549" s="33">
        <f>Table1_1[[#This Row],[Units Sold]]*Table1_1[[#This Row],[Unit Price]]*1-Table1_1[[#This Row],[Discount]]</f>
        <v>161639.82</v>
      </c>
      <c r="S549" s="33">
        <f>Table1_1[[#This Row],[Units Sold]]*Table1_1[[#This Row],[Unit Cost]]</f>
        <v>106200</v>
      </c>
      <c r="T549" s="33">
        <f>Table1_1[[#This Row],[Sales Amount]]-S549</f>
        <v>55439.820000000007</v>
      </c>
      <c r="U549" s="32">
        <f>IFERROR(Table1_1[[#This Row],[Profit/loss]]/Table1_1[[#This Row],[Sales Amount]],0)</f>
        <v>0.34298367815554365</v>
      </c>
    </row>
    <row r="550" spans="1:21" ht="18" x14ac:dyDescent="0.35">
      <c r="A550" s="21" t="s">
        <v>657</v>
      </c>
      <c r="B550" s="36">
        <v>45569</v>
      </c>
      <c r="C550" s="22">
        <f>YEAR(Table1_1[[#This Row],[Order Date]])</f>
        <v>2024</v>
      </c>
      <c r="D550" s="22" t="str">
        <f>TEXT(Table1_1[[#This Row],[Order Date]],"MMMM")</f>
        <v>October</v>
      </c>
      <c r="E550" s="22" t="s">
        <v>82</v>
      </c>
      <c r="F550" s="22" t="s">
        <v>100</v>
      </c>
      <c r="G550" s="22" t="s">
        <v>50</v>
      </c>
      <c r="H550" s="22" t="s">
        <v>39</v>
      </c>
      <c r="I550" s="22" t="s">
        <v>30</v>
      </c>
      <c r="J550" s="22" t="s">
        <v>31</v>
      </c>
      <c r="K550" s="22" t="s">
        <v>106</v>
      </c>
      <c r="L550" s="22" t="s">
        <v>33</v>
      </c>
      <c r="M550" s="22" t="s">
        <v>66</v>
      </c>
      <c r="N550" s="22">
        <v>12</v>
      </c>
      <c r="O550" s="26">
        <v>52990</v>
      </c>
      <c r="P550" s="22">
        <v>0.15</v>
      </c>
      <c r="Q550" s="30">
        <v>35100</v>
      </c>
      <c r="R550" s="33">
        <f>Table1_1[[#This Row],[Units Sold]]*Table1_1[[#This Row],[Unit Price]]*1-Table1_1[[#This Row],[Discount]]</f>
        <v>635879.85</v>
      </c>
      <c r="S550" s="33">
        <f>Table1_1[[#This Row],[Units Sold]]*Table1_1[[#This Row],[Unit Cost]]</f>
        <v>421200</v>
      </c>
      <c r="T550" s="33">
        <f>Table1_1[[#This Row],[Sales Amount]]-S550</f>
        <v>214679.84999999998</v>
      </c>
      <c r="U550" s="32">
        <f>IFERROR(Table1_1[[#This Row],[Profit/loss]]/Table1_1[[#This Row],[Sales Amount]],0)</f>
        <v>0.337610713722097</v>
      </c>
    </row>
    <row r="551" spans="1:21" ht="18" x14ac:dyDescent="0.35">
      <c r="A551" s="21" t="s">
        <v>658</v>
      </c>
      <c r="B551" s="36">
        <v>45569</v>
      </c>
      <c r="C551" s="22">
        <f>YEAR(Table1_1[[#This Row],[Order Date]])</f>
        <v>2024</v>
      </c>
      <c r="D551" s="22" t="str">
        <f>TEXT(Table1_1[[#This Row],[Order Date]],"MMMM")</f>
        <v>October</v>
      </c>
      <c r="E551" s="22" t="s">
        <v>36</v>
      </c>
      <c r="F551" s="22" t="s">
        <v>121</v>
      </c>
      <c r="G551" s="22" t="s">
        <v>69</v>
      </c>
      <c r="H551" s="22" t="s">
        <v>29</v>
      </c>
      <c r="I551" s="22" t="s">
        <v>70</v>
      </c>
      <c r="J551" s="22" t="s">
        <v>71</v>
      </c>
      <c r="K551" s="22" t="s">
        <v>72</v>
      </c>
      <c r="L551" s="22" t="s">
        <v>57</v>
      </c>
      <c r="M551" s="22" t="s">
        <v>78</v>
      </c>
      <c r="N551" s="22">
        <v>22</v>
      </c>
      <c r="O551" s="26">
        <v>3499</v>
      </c>
      <c r="P551" s="22">
        <v>0.12</v>
      </c>
      <c r="Q551" s="30">
        <v>2190</v>
      </c>
      <c r="R551" s="33">
        <f>Table1_1[[#This Row],[Units Sold]]*Table1_1[[#This Row],[Unit Price]]*1-Table1_1[[#This Row],[Discount]]</f>
        <v>76977.88</v>
      </c>
      <c r="S551" s="33">
        <f>Table1_1[[#This Row],[Units Sold]]*Table1_1[[#This Row],[Unit Cost]]</f>
        <v>48180</v>
      </c>
      <c r="T551" s="33">
        <f>Table1_1[[#This Row],[Sales Amount]]-S551</f>
        <v>28797.880000000005</v>
      </c>
      <c r="U551" s="32">
        <f>IFERROR(Table1_1[[#This Row],[Profit/loss]]/Table1_1[[#This Row],[Sales Amount]],0)</f>
        <v>0.37410591198406612</v>
      </c>
    </row>
    <row r="552" spans="1:21" ht="18" x14ac:dyDescent="0.35">
      <c r="A552" s="21" t="s">
        <v>659</v>
      </c>
      <c r="B552" s="36">
        <v>45571</v>
      </c>
      <c r="C552" s="22">
        <f>YEAR(Table1_1[[#This Row],[Order Date]])</f>
        <v>2024</v>
      </c>
      <c r="D552" s="22" t="str">
        <f>TEXT(Table1_1[[#This Row],[Order Date]],"MMMM")</f>
        <v>October</v>
      </c>
      <c r="E552" s="22" t="s">
        <v>36</v>
      </c>
      <c r="F552" s="22" t="s">
        <v>121</v>
      </c>
      <c r="G552" s="22" t="s">
        <v>38</v>
      </c>
      <c r="H552" s="22" t="s">
        <v>19</v>
      </c>
      <c r="I552" s="22" t="s">
        <v>20</v>
      </c>
      <c r="J552" s="22" t="s">
        <v>45</v>
      </c>
      <c r="K552" s="22" t="s">
        <v>1622</v>
      </c>
      <c r="L552" s="22" t="s">
        <v>33</v>
      </c>
      <c r="M552" s="22" t="s">
        <v>34</v>
      </c>
      <c r="N552" s="22">
        <v>35</v>
      </c>
      <c r="O552" s="26">
        <v>1599</v>
      </c>
      <c r="P552" s="22">
        <v>0.1</v>
      </c>
      <c r="Q552" s="30">
        <v>920</v>
      </c>
      <c r="R552" s="33">
        <f>Table1_1[[#This Row],[Units Sold]]*Table1_1[[#This Row],[Unit Price]]*1-Table1_1[[#This Row],[Discount]]</f>
        <v>55964.9</v>
      </c>
      <c r="S552" s="33">
        <f>Table1_1[[#This Row],[Units Sold]]*Table1_1[[#This Row],[Unit Cost]]</f>
        <v>32200</v>
      </c>
      <c r="T552" s="33">
        <f>Table1_1[[#This Row],[Sales Amount]]-S552</f>
        <v>23764.9</v>
      </c>
      <c r="U552" s="32">
        <f>IFERROR(Table1_1[[#This Row],[Profit/loss]]/Table1_1[[#This Row],[Sales Amount]],0)</f>
        <v>0.42463937217791869</v>
      </c>
    </row>
    <row r="553" spans="1:21" ht="18" x14ac:dyDescent="0.35">
      <c r="A553" s="21" t="s">
        <v>660</v>
      </c>
      <c r="B553" s="36">
        <v>45571</v>
      </c>
      <c r="C553" s="22">
        <f>YEAR(Table1_1[[#This Row],[Order Date]])</f>
        <v>2024</v>
      </c>
      <c r="D553" s="22" t="str">
        <f>TEXT(Table1_1[[#This Row],[Order Date]],"MMMM")</f>
        <v>October</v>
      </c>
      <c r="E553" s="22" t="s">
        <v>16</v>
      </c>
      <c r="F553" s="22" t="s">
        <v>111</v>
      </c>
      <c r="G553" s="22" t="s">
        <v>28</v>
      </c>
      <c r="H553" s="22" t="s">
        <v>39</v>
      </c>
      <c r="I553" s="22" t="s">
        <v>20</v>
      </c>
      <c r="J553" s="22" t="s">
        <v>45</v>
      </c>
      <c r="K553" s="22" t="s">
        <v>1618</v>
      </c>
      <c r="L553" s="22" t="s">
        <v>23</v>
      </c>
      <c r="M553" s="22" t="s">
        <v>24</v>
      </c>
      <c r="N553" s="22">
        <v>11</v>
      </c>
      <c r="O553" s="26">
        <v>1899</v>
      </c>
      <c r="P553" s="22">
        <v>0.08</v>
      </c>
      <c r="Q553" s="30">
        <v>1080</v>
      </c>
      <c r="R553" s="33">
        <f>Table1_1[[#This Row],[Units Sold]]*Table1_1[[#This Row],[Unit Price]]*1-Table1_1[[#This Row],[Discount]]</f>
        <v>20888.919999999998</v>
      </c>
      <c r="S553" s="33">
        <f>Table1_1[[#This Row],[Units Sold]]*Table1_1[[#This Row],[Unit Cost]]</f>
        <v>11880</v>
      </c>
      <c r="T553" s="33">
        <f>Table1_1[[#This Row],[Sales Amount]]-S553</f>
        <v>9008.9199999999983</v>
      </c>
      <c r="U553" s="32">
        <f>IFERROR(Table1_1[[#This Row],[Profit/loss]]/Table1_1[[#This Row],[Sales Amount]],0)</f>
        <v>0.43127744277827668</v>
      </c>
    </row>
    <row r="554" spans="1:21" ht="18" x14ac:dyDescent="0.35">
      <c r="A554" s="21" t="s">
        <v>661</v>
      </c>
      <c r="B554" s="36">
        <v>45573</v>
      </c>
      <c r="C554" s="22">
        <f>YEAR(Table1_1[[#This Row],[Order Date]])</f>
        <v>2024</v>
      </c>
      <c r="D554" s="22" t="str">
        <f>TEXT(Table1_1[[#This Row],[Order Date]],"MMMM")</f>
        <v>October</v>
      </c>
      <c r="E554" s="22" t="s">
        <v>16</v>
      </c>
      <c r="F554" s="22" t="s">
        <v>126</v>
      </c>
      <c r="G554" s="22" t="s">
        <v>38</v>
      </c>
      <c r="H554" s="22" t="s">
        <v>29</v>
      </c>
      <c r="I554" s="22" t="s">
        <v>30</v>
      </c>
      <c r="J554" s="22" t="s">
        <v>31</v>
      </c>
      <c r="K554" s="22" t="s">
        <v>85</v>
      </c>
      <c r="L554" s="22" t="s">
        <v>33</v>
      </c>
      <c r="M554" s="22" t="s">
        <v>34</v>
      </c>
      <c r="N554" s="22">
        <v>29</v>
      </c>
      <c r="O554" s="26">
        <v>43500</v>
      </c>
      <c r="P554" s="22">
        <v>0.15</v>
      </c>
      <c r="Q554" s="30">
        <v>29520</v>
      </c>
      <c r="R554" s="33">
        <f>Table1_1[[#This Row],[Units Sold]]*Table1_1[[#This Row],[Unit Price]]*1-Table1_1[[#This Row],[Discount]]</f>
        <v>1261499.8500000001</v>
      </c>
      <c r="S554" s="33">
        <f>Table1_1[[#This Row],[Units Sold]]*Table1_1[[#This Row],[Unit Cost]]</f>
        <v>856080</v>
      </c>
      <c r="T554" s="33">
        <f>Table1_1[[#This Row],[Sales Amount]]-S554</f>
        <v>405419.85000000009</v>
      </c>
      <c r="U554" s="32">
        <f>IFERROR(Table1_1[[#This Row],[Profit/loss]]/Table1_1[[#This Row],[Sales Amount]],0)</f>
        <v>0.32137922965270277</v>
      </c>
    </row>
    <row r="555" spans="1:21" ht="18" x14ac:dyDescent="0.35">
      <c r="A555" s="21" t="s">
        <v>662</v>
      </c>
      <c r="B555" s="36">
        <v>45573</v>
      </c>
      <c r="C555" s="22">
        <f>YEAR(Table1_1[[#This Row],[Order Date]])</f>
        <v>2024</v>
      </c>
      <c r="D555" s="22" t="str">
        <f>TEXT(Table1_1[[#This Row],[Order Date]],"MMMM")</f>
        <v>October</v>
      </c>
      <c r="E555" s="22" t="s">
        <v>48</v>
      </c>
      <c r="F555" s="22" t="s">
        <v>136</v>
      </c>
      <c r="G555" s="22" t="s">
        <v>28</v>
      </c>
      <c r="H555" s="22" t="s">
        <v>39</v>
      </c>
      <c r="I555" s="22" t="s">
        <v>54</v>
      </c>
      <c r="J555" s="22" t="s">
        <v>55</v>
      </c>
      <c r="K555" s="22" t="s">
        <v>148</v>
      </c>
      <c r="L555" s="22" t="s">
        <v>23</v>
      </c>
      <c r="M555" s="22" t="s">
        <v>34</v>
      </c>
      <c r="N555" s="22">
        <v>22</v>
      </c>
      <c r="O555" s="26">
        <v>4680</v>
      </c>
      <c r="P555" s="22">
        <v>0.2</v>
      </c>
      <c r="Q555" s="30">
        <v>3250</v>
      </c>
      <c r="R555" s="33">
        <f>Table1_1[[#This Row],[Units Sold]]*Table1_1[[#This Row],[Unit Price]]*1-Table1_1[[#This Row],[Discount]]</f>
        <v>102959.8</v>
      </c>
      <c r="S555" s="33">
        <f>Table1_1[[#This Row],[Units Sold]]*Table1_1[[#This Row],[Unit Cost]]</f>
        <v>71500</v>
      </c>
      <c r="T555" s="33">
        <f>Table1_1[[#This Row],[Sales Amount]]-S555</f>
        <v>31459.800000000003</v>
      </c>
      <c r="U555" s="32">
        <f>IFERROR(Table1_1[[#This Row],[Profit/loss]]/Table1_1[[#This Row],[Sales Amount]],0)</f>
        <v>0.30555420659325294</v>
      </c>
    </row>
    <row r="556" spans="1:21" ht="18" x14ac:dyDescent="0.35">
      <c r="A556" s="21" t="s">
        <v>663</v>
      </c>
      <c r="B556" s="36">
        <v>45573</v>
      </c>
      <c r="C556" s="22">
        <f>YEAR(Table1_1[[#This Row],[Order Date]])</f>
        <v>2024</v>
      </c>
      <c r="D556" s="22" t="str">
        <f>TEXT(Table1_1[[#This Row],[Order Date]],"MMMM")</f>
        <v>October</v>
      </c>
      <c r="E556" s="22" t="s">
        <v>26</v>
      </c>
      <c r="F556" s="22" t="s">
        <v>163</v>
      </c>
      <c r="G556" s="22" t="s">
        <v>69</v>
      </c>
      <c r="H556" s="22" t="s">
        <v>19</v>
      </c>
      <c r="I556" s="22" t="s">
        <v>70</v>
      </c>
      <c r="J556" s="22" t="s">
        <v>71</v>
      </c>
      <c r="K556" s="22" t="s">
        <v>88</v>
      </c>
      <c r="L556" s="22" t="s">
        <v>33</v>
      </c>
      <c r="M556" s="22" t="s">
        <v>66</v>
      </c>
      <c r="N556" s="22">
        <v>5</v>
      </c>
      <c r="O556" s="26">
        <v>999</v>
      </c>
      <c r="P556" s="22">
        <v>0.05</v>
      </c>
      <c r="Q556" s="30">
        <v>540</v>
      </c>
      <c r="R556" s="33">
        <f>Table1_1[[#This Row],[Units Sold]]*Table1_1[[#This Row],[Unit Price]]*1-Table1_1[[#This Row],[Discount]]</f>
        <v>4994.95</v>
      </c>
      <c r="S556" s="33">
        <f>Table1_1[[#This Row],[Units Sold]]*Table1_1[[#This Row],[Unit Cost]]</f>
        <v>2700</v>
      </c>
      <c r="T556" s="33">
        <f>Table1_1[[#This Row],[Sales Amount]]-S556</f>
        <v>2294.9499999999998</v>
      </c>
      <c r="U556" s="32">
        <f>IFERROR(Table1_1[[#This Row],[Profit/loss]]/Table1_1[[#This Row],[Sales Amount]],0)</f>
        <v>0.45945404858907496</v>
      </c>
    </row>
    <row r="557" spans="1:21" ht="18" x14ac:dyDescent="0.35">
      <c r="A557" s="21" t="s">
        <v>664</v>
      </c>
      <c r="B557" s="36">
        <v>45574</v>
      </c>
      <c r="C557" s="22">
        <f>YEAR(Table1_1[[#This Row],[Order Date]])</f>
        <v>2024</v>
      </c>
      <c r="D557" s="22" t="str">
        <f>TEXT(Table1_1[[#This Row],[Order Date]],"MMMM")</f>
        <v>October</v>
      </c>
      <c r="E557" s="22" t="s">
        <v>48</v>
      </c>
      <c r="F557" s="22" t="s">
        <v>49</v>
      </c>
      <c r="G557" s="22" t="s">
        <v>18</v>
      </c>
      <c r="H557" s="22" t="s">
        <v>39</v>
      </c>
      <c r="I557" s="22" t="s">
        <v>54</v>
      </c>
      <c r="J557" s="22" t="s">
        <v>90</v>
      </c>
      <c r="K557" s="22" t="s">
        <v>1621</v>
      </c>
      <c r="L557" s="22" t="s">
        <v>33</v>
      </c>
      <c r="M557" s="22" t="s">
        <v>24</v>
      </c>
      <c r="N557" s="22">
        <v>16</v>
      </c>
      <c r="O557" s="26">
        <v>31990</v>
      </c>
      <c r="P557" s="22">
        <v>0.08</v>
      </c>
      <c r="Q557" s="30">
        <v>21800</v>
      </c>
      <c r="R557" s="33">
        <f>Table1_1[[#This Row],[Units Sold]]*Table1_1[[#This Row],[Unit Price]]*1-Table1_1[[#This Row],[Discount]]</f>
        <v>511839.92</v>
      </c>
      <c r="S557" s="33">
        <f>Table1_1[[#This Row],[Units Sold]]*Table1_1[[#This Row],[Unit Cost]]</f>
        <v>348800</v>
      </c>
      <c r="T557" s="33">
        <f>Table1_1[[#This Row],[Sales Amount]]-S557</f>
        <v>163039.91999999998</v>
      </c>
      <c r="U557" s="32">
        <f>IFERROR(Table1_1[[#This Row],[Profit/loss]]/Table1_1[[#This Row],[Sales Amount]],0)</f>
        <v>0.31853693631399438</v>
      </c>
    </row>
    <row r="558" spans="1:21" ht="18" x14ac:dyDescent="0.35">
      <c r="A558" s="21" t="s">
        <v>665</v>
      </c>
      <c r="B558" s="36">
        <v>45574</v>
      </c>
      <c r="C558" s="22">
        <f>YEAR(Table1_1[[#This Row],[Order Date]])</f>
        <v>2024</v>
      </c>
      <c r="D558" s="22" t="str">
        <f>TEXT(Table1_1[[#This Row],[Order Date]],"MMMM")</f>
        <v>October</v>
      </c>
      <c r="E558" s="22" t="s">
        <v>16</v>
      </c>
      <c r="F558" s="22" t="s">
        <v>111</v>
      </c>
      <c r="G558" s="22" t="s">
        <v>50</v>
      </c>
      <c r="H558" s="22" t="s">
        <v>39</v>
      </c>
      <c r="I558" s="22" t="s">
        <v>20</v>
      </c>
      <c r="J558" s="22" t="s">
        <v>21</v>
      </c>
      <c r="K558" s="22" t="s">
        <v>51</v>
      </c>
      <c r="L558" s="22" t="s">
        <v>23</v>
      </c>
      <c r="M558" s="22" t="s">
        <v>34</v>
      </c>
      <c r="N558" s="22">
        <v>23</v>
      </c>
      <c r="O558" s="26">
        <v>5999</v>
      </c>
      <c r="P558" s="22">
        <v>0.1</v>
      </c>
      <c r="Q558" s="30">
        <v>3890</v>
      </c>
      <c r="R558" s="33">
        <f>Table1_1[[#This Row],[Units Sold]]*Table1_1[[#This Row],[Unit Price]]*1-Table1_1[[#This Row],[Discount]]</f>
        <v>137976.9</v>
      </c>
      <c r="S558" s="33">
        <f>Table1_1[[#This Row],[Units Sold]]*Table1_1[[#This Row],[Unit Cost]]</f>
        <v>89470</v>
      </c>
      <c r="T558" s="33">
        <f>Table1_1[[#This Row],[Sales Amount]]-S558</f>
        <v>48506.899999999994</v>
      </c>
      <c r="U558" s="32">
        <f>IFERROR(Table1_1[[#This Row],[Profit/loss]]/Table1_1[[#This Row],[Sales Amount]],0)</f>
        <v>0.35155812313510448</v>
      </c>
    </row>
    <row r="559" spans="1:21" ht="18" x14ac:dyDescent="0.35">
      <c r="A559" s="21" t="s">
        <v>666</v>
      </c>
      <c r="B559" s="36">
        <v>45574</v>
      </c>
      <c r="C559" s="22">
        <f>YEAR(Table1_1[[#This Row],[Order Date]])</f>
        <v>2024</v>
      </c>
      <c r="D559" s="22" t="str">
        <f>TEXT(Table1_1[[#This Row],[Order Date]],"MMMM")</f>
        <v>October</v>
      </c>
      <c r="E559" s="22" t="s">
        <v>26</v>
      </c>
      <c r="F559" s="22" t="s">
        <v>163</v>
      </c>
      <c r="G559" s="22" t="s">
        <v>105</v>
      </c>
      <c r="H559" s="22" t="s">
        <v>29</v>
      </c>
      <c r="I559" s="22" t="s">
        <v>30</v>
      </c>
      <c r="J559" s="22" t="s">
        <v>31</v>
      </c>
      <c r="K559" s="22" t="s">
        <v>32</v>
      </c>
      <c r="L559" s="22" t="s">
        <v>57</v>
      </c>
      <c r="M559" s="22" t="s">
        <v>24</v>
      </c>
      <c r="N559" s="22">
        <v>20</v>
      </c>
      <c r="O559" s="26">
        <v>38990</v>
      </c>
      <c r="P559" s="22">
        <v>0.12</v>
      </c>
      <c r="Q559" s="30">
        <v>25400</v>
      </c>
      <c r="R559" s="33">
        <f>Table1_1[[#This Row],[Units Sold]]*Table1_1[[#This Row],[Unit Price]]*1-Table1_1[[#This Row],[Discount]]</f>
        <v>779799.88</v>
      </c>
      <c r="S559" s="33">
        <f>Table1_1[[#This Row],[Units Sold]]*Table1_1[[#This Row],[Unit Cost]]</f>
        <v>508000</v>
      </c>
      <c r="T559" s="33">
        <f>Table1_1[[#This Row],[Sales Amount]]-S559</f>
        <v>271799.88</v>
      </c>
      <c r="U559" s="32">
        <f>IFERROR(Table1_1[[#This Row],[Profit/loss]]/Table1_1[[#This Row],[Sales Amount]],0)</f>
        <v>0.34855081024121215</v>
      </c>
    </row>
    <row r="560" spans="1:21" ht="18" x14ac:dyDescent="0.35">
      <c r="A560" s="21" t="s">
        <v>667</v>
      </c>
      <c r="B560" s="36">
        <v>45574</v>
      </c>
      <c r="C560" s="22">
        <f>YEAR(Table1_1[[#This Row],[Order Date]])</f>
        <v>2024</v>
      </c>
      <c r="D560" s="22" t="str">
        <f>TEXT(Table1_1[[#This Row],[Order Date]],"MMMM")</f>
        <v>October</v>
      </c>
      <c r="E560" s="22" t="s">
        <v>16</v>
      </c>
      <c r="F560" s="22" t="s">
        <v>17</v>
      </c>
      <c r="G560" s="22" t="s">
        <v>60</v>
      </c>
      <c r="H560" s="22" t="s">
        <v>39</v>
      </c>
      <c r="I560" s="22" t="s">
        <v>30</v>
      </c>
      <c r="J560" s="22" t="s">
        <v>61</v>
      </c>
      <c r="K560" s="22" t="s">
        <v>62</v>
      </c>
      <c r="L560" s="22" t="s">
        <v>57</v>
      </c>
      <c r="M560" s="22" t="s">
        <v>24</v>
      </c>
      <c r="N560" s="22">
        <v>37</v>
      </c>
      <c r="O560" s="26">
        <v>12490</v>
      </c>
      <c r="P560" s="22">
        <v>0.05</v>
      </c>
      <c r="Q560" s="30">
        <v>7900</v>
      </c>
      <c r="R560" s="33">
        <f>Table1_1[[#This Row],[Units Sold]]*Table1_1[[#This Row],[Unit Price]]*1-Table1_1[[#This Row],[Discount]]</f>
        <v>462129.95</v>
      </c>
      <c r="S560" s="33">
        <f>Table1_1[[#This Row],[Units Sold]]*Table1_1[[#This Row],[Unit Cost]]</f>
        <v>292300</v>
      </c>
      <c r="T560" s="33">
        <f>Table1_1[[#This Row],[Sales Amount]]-S560</f>
        <v>169829.95</v>
      </c>
      <c r="U560" s="32">
        <f>IFERROR(Table1_1[[#This Row],[Profit/loss]]/Table1_1[[#This Row],[Sales Amount]],0)</f>
        <v>0.36749392676237497</v>
      </c>
    </row>
    <row r="561" spans="1:21" ht="18" x14ac:dyDescent="0.35">
      <c r="A561" s="21" t="s">
        <v>668</v>
      </c>
      <c r="B561" s="36">
        <v>45575</v>
      </c>
      <c r="C561" s="22">
        <f>YEAR(Table1_1[[#This Row],[Order Date]])</f>
        <v>2024</v>
      </c>
      <c r="D561" s="22" t="str">
        <f>TEXT(Table1_1[[#This Row],[Order Date]],"MMMM")</f>
        <v>October</v>
      </c>
      <c r="E561" s="22" t="s">
        <v>48</v>
      </c>
      <c r="F561" s="22" t="s">
        <v>136</v>
      </c>
      <c r="G561" s="22" t="s">
        <v>50</v>
      </c>
      <c r="H561" s="22" t="s">
        <v>29</v>
      </c>
      <c r="I561" s="22" t="s">
        <v>40</v>
      </c>
      <c r="J561" s="22" t="s">
        <v>76</v>
      </c>
      <c r="K561" s="22" t="s">
        <v>1626</v>
      </c>
      <c r="L561" s="22" t="s">
        <v>33</v>
      </c>
      <c r="M561" s="22" t="s">
        <v>78</v>
      </c>
      <c r="N561" s="22">
        <v>14</v>
      </c>
      <c r="O561" s="26">
        <v>25999</v>
      </c>
      <c r="P561" s="22">
        <v>0.05</v>
      </c>
      <c r="Q561" s="30">
        <v>17800</v>
      </c>
      <c r="R561" s="33">
        <f>Table1_1[[#This Row],[Units Sold]]*Table1_1[[#This Row],[Unit Price]]*1-Table1_1[[#This Row],[Discount]]</f>
        <v>363985.95</v>
      </c>
      <c r="S561" s="33">
        <f>Table1_1[[#This Row],[Units Sold]]*Table1_1[[#This Row],[Unit Cost]]</f>
        <v>249200</v>
      </c>
      <c r="T561" s="33">
        <f>Table1_1[[#This Row],[Sales Amount]]-S561</f>
        <v>114785.95000000001</v>
      </c>
      <c r="U561" s="32">
        <f>IFERROR(Table1_1[[#This Row],[Profit/loss]]/Table1_1[[#This Row],[Sales Amount]],0)</f>
        <v>0.315358188963063</v>
      </c>
    </row>
    <row r="562" spans="1:21" ht="18" x14ac:dyDescent="0.35">
      <c r="A562" s="21" t="s">
        <v>669</v>
      </c>
      <c r="B562" s="36">
        <v>45575</v>
      </c>
      <c r="C562" s="22">
        <f>YEAR(Table1_1[[#This Row],[Order Date]])</f>
        <v>2024</v>
      </c>
      <c r="D562" s="22" t="str">
        <f>TEXT(Table1_1[[#This Row],[Order Date]],"MMMM")</f>
        <v>October</v>
      </c>
      <c r="E562" s="22" t="s">
        <v>36</v>
      </c>
      <c r="F562" s="22" t="s">
        <v>37</v>
      </c>
      <c r="G562" s="22" t="s">
        <v>101</v>
      </c>
      <c r="H562" s="22" t="s">
        <v>29</v>
      </c>
      <c r="I562" s="22" t="s">
        <v>30</v>
      </c>
      <c r="J562" s="22" t="s">
        <v>61</v>
      </c>
      <c r="K562" s="22" t="s">
        <v>186</v>
      </c>
      <c r="L562" s="22" t="s">
        <v>23</v>
      </c>
      <c r="M562" s="22" t="s">
        <v>66</v>
      </c>
      <c r="N562" s="22">
        <v>22</v>
      </c>
      <c r="O562" s="26">
        <v>6999</v>
      </c>
      <c r="P562" s="22">
        <v>0.05</v>
      </c>
      <c r="Q562" s="30">
        <v>4320</v>
      </c>
      <c r="R562" s="33">
        <f>Table1_1[[#This Row],[Units Sold]]*Table1_1[[#This Row],[Unit Price]]*1-Table1_1[[#This Row],[Discount]]</f>
        <v>153977.95000000001</v>
      </c>
      <c r="S562" s="33">
        <f>Table1_1[[#This Row],[Units Sold]]*Table1_1[[#This Row],[Unit Cost]]</f>
        <v>95040</v>
      </c>
      <c r="T562" s="33">
        <f>Table1_1[[#This Row],[Sales Amount]]-S562</f>
        <v>58937.950000000012</v>
      </c>
      <c r="U562" s="32">
        <f>IFERROR(Table1_1[[#This Row],[Profit/loss]]/Table1_1[[#This Row],[Sales Amount]],0)</f>
        <v>0.38276876656690134</v>
      </c>
    </row>
    <row r="563" spans="1:21" ht="18" x14ac:dyDescent="0.35">
      <c r="A563" s="21" t="s">
        <v>670</v>
      </c>
      <c r="B563" s="36">
        <v>45576</v>
      </c>
      <c r="C563" s="22">
        <f>YEAR(Table1_1[[#This Row],[Order Date]])</f>
        <v>2024</v>
      </c>
      <c r="D563" s="22" t="str">
        <f>TEXT(Table1_1[[#This Row],[Order Date]],"MMMM")</f>
        <v>October</v>
      </c>
      <c r="E563" s="22" t="s">
        <v>26</v>
      </c>
      <c r="F563" s="22" t="s">
        <v>74</v>
      </c>
      <c r="G563" s="22" t="s">
        <v>69</v>
      </c>
      <c r="H563" s="22" t="s">
        <v>19</v>
      </c>
      <c r="I563" s="22" t="s">
        <v>70</v>
      </c>
      <c r="J563" s="22" t="s">
        <v>71</v>
      </c>
      <c r="K563" s="22" t="s">
        <v>88</v>
      </c>
      <c r="L563" s="22" t="s">
        <v>33</v>
      </c>
      <c r="M563" s="22" t="s">
        <v>34</v>
      </c>
      <c r="N563" s="22">
        <v>9</v>
      </c>
      <c r="O563" s="26">
        <v>999</v>
      </c>
      <c r="P563" s="22">
        <v>0.08</v>
      </c>
      <c r="Q563" s="30">
        <v>540</v>
      </c>
      <c r="R563" s="33">
        <f>Table1_1[[#This Row],[Units Sold]]*Table1_1[[#This Row],[Unit Price]]*1-Table1_1[[#This Row],[Discount]]</f>
        <v>8990.92</v>
      </c>
      <c r="S563" s="33">
        <f>Table1_1[[#This Row],[Units Sold]]*Table1_1[[#This Row],[Unit Cost]]</f>
        <v>4860</v>
      </c>
      <c r="T563" s="33">
        <f>Table1_1[[#This Row],[Sales Amount]]-S563</f>
        <v>4130.92</v>
      </c>
      <c r="U563" s="32">
        <f>IFERROR(Table1_1[[#This Row],[Profit/loss]]/Table1_1[[#This Row],[Sales Amount]],0)</f>
        <v>0.45945464980224493</v>
      </c>
    </row>
    <row r="564" spans="1:21" ht="18" x14ac:dyDescent="0.35">
      <c r="A564" s="21" t="s">
        <v>671</v>
      </c>
      <c r="B564" s="36">
        <v>45576</v>
      </c>
      <c r="C564" s="22">
        <f>YEAR(Table1_1[[#This Row],[Order Date]])</f>
        <v>2024</v>
      </c>
      <c r="D564" s="22" t="str">
        <f>TEXT(Table1_1[[#This Row],[Order Date]],"MMMM")</f>
        <v>October</v>
      </c>
      <c r="E564" s="22" t="s">
        <v>16</v>
      </c>
      <c r="F564" s="22" t="s">
        <v>98</v>
      </c>
      <c r="G564" s="22" t="s">
        <v>50</v>
      </c>
      <c r="H564" s="22" t="s">
        <v>19</v>
      </c>
      <c r="I564" s="22" t="s">
        <v>40</v>
      </c>
      <c r="J564" s="22" t="s">
        <v>41</v>
      </c>
      <c r="K564" s="22" t="s">
        <v>42</v>
      </c>
      <c r="L564" s="22" t="s">
        <v>23</v>
      </c>
      <c r="M564" s="22" t="s">
        <v>24</v>
      </c>
      <c r="N564" s="22">
        <v>27</v>
      </c>
      <c r="O564" s="26">
        <v>55230</v>
      </c>
      <c r="P564" s="22">
        <v>0.08</v>
      </c>
      <c r="Q564" s="30">
        <v>33800</v>
      </c>
      <c r="R564" s="33">
        <f>Table1_1[[#This Row],[Units Sold]]*Table1_1[[#This Row],[Unit Price]]*1-Table1_1[[#This Row],[Discount]]</f>
        <v>1491209.92</v>
      </c>
      <c r="S564" s="33">
        <f>Table1_1[[#This Row],[Units Sold]]*Table1_1[[#This Row],[Unit Cost]]</f>
        <v>912600</v>
      </c>
      <c r="T564" s="33">
        <f>Table1_1[[#This Row],[Sales Amount]]-S564</f>
        <v>578609.91999999993</v>
      </c>
      <c r="U564" s="32">
        <f>IFERROR(Table1_1[[#This Row],[Profit/loss]]/Table1_1[[#This Row],[Sales Amount]],0)</f>
        <v>0.38801372780567339</v>
      </c>
    </row>
    <row r="565" spans="1:21" ht="18" x14ac:dyDescent="0.35">
      <c r="A565" s="21" t="s">
        <v>672</v>
      </c>
      <c r="B565" s="36">
        <v>45577</v>
      </c>
      <c r="C565" s="22">
        <f>YEAR(Table1_1[[#This Row],[Order Date]])</f>
        <v>2024</v>
      </c>
      <c r="D565" s="22" t="str">
        <f>TEXT(Table1_1[[#This Row],[Order Date]],"MMMM")</f>
        <v>October</v>
      </c>
      <c r="E565" s="22" t="s">
        <v>36</v>
      </c>
      <c r="F565" s="22" t="s">
        <v>37</v>
      </c>
      <c r="G565" s="22" t="s">
        <v>69</v>
      </c>
      <c r="H565" s="22" t="s">
        <v>39</v>
      </c>
      <c r="I565" s="22" t="s">
        <v>54</v>
      </c>
      <c r="J565" s="22" t="s">
        <v>90</v>
      </c>
      <c r="K565" s="22" t="s">
        <v>1631</v>
      </c>
      <c r="L565" s="22" t="s">
        <v>23</v>
      </c>
      <c r="M565" s="22" t="s">
        <v>66</v>
      </c>
      <c r="N565" s="22">
        <v>25</v>
      </c>
      <c r="O565" s="26">
        <v>29010</v>
      </c>
      <c r="P565" s="22">
        <v>0.08</v>
      </c>
      <c r="Q565" s="30">
        <v>19150</v>
      </c>
      <c r="R565" s="33">
        <f>Table1_1[[#This Row],[Units Sold]]*Table1_1[[#This Row],[Unit Price]]*1-Table1_1[[#This Row],[Discount]]</f>
        <v>725249.92</v>
      </c>
      <c r="S565" s="33">
        <f>Table1_1[[#This Row],[Units Sold]]*Table1_1[[#This Row],[Unit Cost]]</f>
        <v>478750</v>
      </c>
      <c r="T565" s="33">
        <f>Table1_1[[#This Row],[Sales Amount]]-S565</f>
        <v>246499.92000000004</v>
      </c>
      <c r="U565" s="32">
        <f>IFERROR(Table1_1[[#This Row],[Profit/loss]]/Table1_1[[#This Row],[Sales Amount]],0)</f>
        <v>0.33988272621939764</v>
      </c>
    </row>
    <row r="566" spans="1:21" ht="18" x14ac:dyDescent="0.35">
      <c r="A566" s="21" t="s">
        <v>673</v>
      </c>
      <c r="B566" s="36">
        <v>45577</v>
      </c>
      <c r="C566" s="22">
        <f>YEAR(Table1_1[[#This Row],[Order Date]])</f>
        <v>2024</v>
      </c>
      <c r="D566" s="22" t="str">
        <f>TEXT(Table1_1[[#This Row],[Order Date]],"MMMM")</f>
        <v>October</v>
      </c>
      <c r="E566" s="22" t="s">
        <v>36</v>
      </c>
      <c r="F566" s="22" t="s">
        <v>44</v>
      </c>
      <c r="G566" s="22" t="s">
        <v>18</v>
      </c>
      <c r="H566" s="22" t="s">
        <v>29</v>
      </c>
      <c r="I566" s="22" t="s">
        <v>70</v>
      </c>
      <c r="J566" s="22" t="s">
        <v>71</v>
      </c>
      <c r="K566" s="22" t="s">
        <v>88</v>
      </c>
      <c r="L566" s="22" t="s">
        <v>23</v>
      </c>
      <c r="M566" s="22" t="s">
        <v>24</v>
      </c>
      <c r="N566" s="22">
        <v>36</v>
      </c>
      <c r="O566" s="26">
        <v>999</v>
      </c>
      <c r="P566" s="22">
        <v>0.18</v>
      </c>
      <c r="Q566" s="30">
        <v>540</v>
      </c>
      <c r="R566" s="33">
        <f>Table1_1[[#This Row],[Units Sold]]*Table1_1[[#This Row],[Unit Price]]*1-Table1_1[[#This Row],[Discount]]</f>
        <v>35963.82</v>
      </c>
      <c r="S566" s="33">
        <f>Table1_1[[#This Row],[Units Sold]]*Table1_1[[#This Row],[Unit Cost]]</f>
        <v>19440</v>
      </c>
      <c r="T566" s="33">
        <f>Table1_1[[#This Row],[Sales Amount]]-S566</f>
        <v>16523.82</v>
      </c>
      <c r="U566" s="32">
        <f>IFERROR(Table1_1[[#This Row],[Profit/loss]]/Table1_1[[#This Row],[Sales Amount]],0)</f>
        <v>0.459456754037808</v>
      </c>
    </row>
    <row r="567" spans="1:21" ht="18" x14ac:dyDescent="0.35">
      <c r="A567" s="21" t="s">
        <v>674</v>
      </c>
      <c r="B567" s="36">
        <v>45577</v>
      </c>
      <c r="C567" s="22">
        <f>YEAR(Table1_1[[#This Row],[Order Date]])</f>
        <v>2024</v>
      </c>
      <c r="D567" s="22" t="str">
        <f>TEXT(Table1_1[[#This Row],[Order Date]],"MMMM")</f>
        <v>October</v>
      </c>
      <c r="E567" s="22" t="s">
        <v>82</v>
      </c>
      <c r="F567" s="22" t="s">
        <v>183</v>
      </c>
      <c r="G567" s="22" t="s">
        <v>69</v>
      </c>
      <c r="H567" s="22" t="s">
        <v>19</v>
      </c>
      <c r="I567" s="22" t="s">
        <v>54</v>
      </c>
      <c r="J567" s="22" t="s">
        <v>90</v>
      </c>
      <c r="K567" s="22" t="s">
        <v>1631</v>
      </c>
      <c r="L567" s="22" t="s">
        <v>23</v>
      </c>
      <c r="M567" s="22" t="s">
        <v>24</v>
      </c>
      <c r="N567" s="22">
        <v>2</v>
      </c>
      <c r="O567" s="26">
        <v>29010</v>
      </c>
      <c r="P567" s="22">
        <v>0.05</v>
      </c>
      <c r="Q567" s="30">
        <v>19150</v>
      </c>
      <c r="R567" s="33">
        <f>Table1_1[[#This Row],[Units Sold]]*Table1_1[[#This Row],[Unit Price]]*1-Table1_1[[#This Row],[Discount]]</f>
        <v>58019.95</v>
      </c>
      <c r="S567" s="33">
        <f>Table1_1[[#This Row],[Units Sold]]*Table1_1[[#This Row],[Unit Cost]]</f>
        <v>38300</v>
      </c>
      <c r="T567" s="33">
        <f>Table1_1[[#This Row],[Sales Amount]]-S567</f>
        <v>19719.949999999997</v>
      </c>
      <c r="U567" s="32">
        <f>IFERROR(Table1_1[[#This Row],[Profit/loss]]/Table1_1[[#This Row],[Sales Amount]],0)</f>
        <v>0.33988223016393498</v>
      </c>
    </row>
    <row r="568" spans="1:21" ht="18" x14ac:dyDescent="0.35">
      <c r="A568" s="21" t="s">
        <v>675</v>
      </c>
      <c r="B568" s="36">
        <v>45578</v>
      </c>
      <c r="C568" s="22">
        <f>YEAR(Table1_1[[#This Row],[Order Date]])</f>
        <v>2024</v>
      </c>
      <c r="D568" s="22" t="str">
        <f>TEXT(Table1_1[[#This Row],[Order Date]],"MMMM")</f>
        <v>October</v>
      </c>
      <c r="E568" s="22" t="s">
        <v>36</v>
      </c>
      <c r="F568" s="22" t="s">
        <v>37</v>
      </c>
      <c r="G568" s="22" t="s">
        <v>75</v>
      </c>
      <c r="H568" s="22" t="s">
        <v>19</v>
      </c>
      <c r="I568" s="22" t="s">
        <v>70</v>
      </c>
      <c r="J568" s="22" t="s">
        <v>71</v>
      </c>
      <c r="K568" s="22" t="s">
        <v>72</v>
      </c>
      <c r="L568" s="22" t="s">
        <v>57</v>
      </c>
      <c r="M568" s="22" t="s">
        <v>66</v>
      </c>
      <c r="N568" s="22">
        <v>24</v>
      </c>
      <c r="O568" s="26">
        <v>3499</v>
      </c>
      <c r="P568" s="22">
        <v>0.08</v>
      </c>
      <c r="Q568" s="30">
        <v>2190</v>
      </c>
      <c r="R568" s="33">
        <f>Table1_1[[#This Row],[Units Sold]]*Table1_1[[#This Row],[Unit Price]]*1-Table1_1[[#This Row],[Discount]]</f>
        <v>83975.92</v>
      </c>
      <c r="S568" s="33">
        <f>Table1_1[[#This Row],[Units Sold]]*Table1_1[[#This Row],[Unit Cost]]</f>
        <v>52560</v>
      </c>
      <c r="T568" s="33">
        <f>Table1_1[[#This Row],[Sales Amount]]-S568</f>
        <v>31415.919999999998</v>
      </c>
      <c r="U568" s="32">
        <f>IFERROR(Table1_1[[#This Row],[Profit/loss]]/Table1_1[[#This Row],[Sales Amount]],0)</f>
        <v>0.37410629142258872</v>
      </c>
    </row>
    <row r="569" spans="1:21" ht="18" x14ac:dyDescent="0.35">
      <c r="A569" s="21" t="s">
        <v>676</v>
      </c>
      <c r="B569" s="36">
        <v>45581</v>
      </c>
      <c r="C569" s="22">
        <f>YEAR(Table1_1[[#This Row],[Order Date]])</f>
        <v>2024</v>
      </c>
      <c r="D569" s="22" t="str">
        <f>TEXT(Table1_1[[#This Row],[Order Date]],"MMMM")</f>
        <v>October</v>
      </c>
      <c r="E569" s="22" t="s">
        <v>16</v>
      </c>
      <c r="F569" s="22" t="s">
        <v>98</v>
      </c>
      <c r="G569" s="22" t="s">
        <v>18</v>
      </c>
      <c r="H569" s="22" t="s">
        <v>39</v>
      </c>
      <c r="I569" s="22" t="s">
        <v>54</v>
      </c>
      <c r="J569" s="22" t="s">
        <v>129</v>
      </c>
      <c r="K569" s="22" t="s">
        <v>1630</v>
      </c>
      <c r="L569" s="22" t="s">
        <v>57</v>
      </c>
      <c r="M569" s="22" t="s">
        <v>24</v>
      </c>
      <c r="N569" s="22">
        <v>12</v>
      </c>
      <c r="O569" s="26">
        <v>29010</v>
      </c>
      <c r="P569" s="22">
        <v>0.15</v>
      </c>
      <c r="Q569" s="30">
        <v>19100</v>
      </c>
      <c r="R569" s="33">
        <f>Table1_1[[#This Row],[Units Sold]]*Table1_1[[#This Row],[Unit Price]]*1-Table1_1[[#This Row],[Discount]]</f>
        <v>348119.85</v>
      </c>
      <c r="S569" s="33">
        <f>Table1_1[[#This Row],[Units Sold]]*Table1_1[[#This Row],[Unit Cost]]</f>
        <v>229200</v>
      </c>
      <c r="T569" s="33">
        <f>Table1_1[[#This Row],[Sales Amount]]-S569</f>
        <v>118919.84999999998</v>
      </c>
      <c r="U569" s="32">
        <f>IFERROR(Table1_1[[#This Row],[Profit/loss]]/Table1_1[[#This Row],[Sales Amount]],0)</f>
        <v>0.34160605894780199</v>
      </c>
    </row>
    <row r="570" spans="1:21" ht="18" x14ac:dyDescent="0.35">
      <c r="A570" s="21" t="s">
        <v>677</v>
      </c>
      <c r="B570" s="36">
        <v>45582</v>
      </c>
      <c r="C570" s="22">
        <f>YEAR(Table1_1[[#This Row],[Order Date]])</f>
        <v>2024</v>
      </c>
      <c r="D570" s="22" t="str">
        <f>TEXT(Table1_1[[#This Row],[Order Date]],"MMMM")</f>
        <v>October</v>
      </c>
      <c r="E570" s="22" t="s">
        <v>82</v>
      </c>
      <c r="F570" s="22" t="s">
        <v>87</v>
      </c>
      <c r="G570" s="22" t="s">
        <v>69</v>
      </c>
      <c r="H570" s="22" t="s">
        <v>19</v>
      </c>
      <c r="I570" s="22" t="s">
        <v>30</v>
      </c>
      <c r="J570" s="22" t="s">
        <v>61</v>
      </c>
      <c r="K570" s="22" t="s">
        <v>186</v>
      </c>
      <c r="L570" s="22" t="s">
        <v>57</v>
      </c>
      <c r="M570" s="22" t="s">
        <v>66</v>
      </c>
      <c r="N570" s="22">
        <v>21</v>
      </c>
      <c r="O570" s="26">
        <v>6999</v>
      </c>
      <c r="P570" s="22">
        <v>0.2</v>
      </c>
      <c r="Q570" s="30">
        <v>4320</v>
      </c>
      <c r="R570" s="33">
        <f>Table1_1[[#This Row],[Units Sold]]*Table1_1[[#This Row],[Unit Price]]*1-Table1_1[[#This Row],[Discount]]</f>
        <v>146978.79999999999</v>
      </c>
      <c r="S570" s="33">
        <f>Table1_1[[#This Row],[Units Sold]]*Table1_1[[#This Row],[Unit Cost]]</f>
        <v>90720</v>
      </c>
      <c r="T570" s="33">
        <f>Table1_1[[#This Row],[Sales Amount]]-S570</f>
        <v>56258.799999999988</v>
      </c>
      <c r="U570" s="32">
        <f>IFERROR(Table1_1[[#This Row],[Profit/loss]]/Table1_1[[#This Row],[Sales Amount]],0)</f>
        <v>0.3827681271040449</v>
      </c>
    </row>
    <row r="571" spans="1:21" ht="18" x14ac:dyDescent="0.35">
      <c r="A571" s="21" t="s">
        <v>678</v>
      </c>
      <c r="B571" s="36">
        <v>45582</v>
      </c>
      <c r="C571" s="22">
        <f>YEAR(Table1_1[[#This Row],[Order Date]])</f>
        <v>2024</v>
      </c>
      <c r="D571" s="22" t="str">
        <f>TEXT(Table1_1[[#This Row],[Order Date]],"MMMM")</f>
        <v>October</v>
      </c>
      <c r="E571" s="22" t="s">
        <v>36</v>
      </c>
      <c r="F571" s="22" t="s">
        <v>121</v>
      </c>
      <c r="G571" s="22" t="s">
        <v>60</v>
      </c>
      <c r="H571" s="22" t="s">
        <v>29</v>
      </c>
      <c r="I571" s="22" t="s">
        <v>54</v>
      </c>
      <c r="J571" s="22" t="s">
        <v>129</v>
      </c>
      <c r="K571" s="22" t="s">
        <v>145</v>
      </c>
      <c r="L571" s="22" t="s">
        <v>33</v>
      </c>
      <c r="M571" s="22" t="s">
        <v>24</v>
      </c>
      <c r="N571" s="22">
        <v>12</v>
      </c>
      <c r="O571" s="26">
        <v>31490</v>
      </c>
      <c r="P571" s="22">
        <v>0.18</v>
      </c>
      <c r="Q571" s="30">
        <v>21300</v>
      </c>
      <c r="R571" s="33">
        <f>Table1_1[[#This Row],[Units Sold]]*Table1_1[[#This Row],[Unit Price]]*1-Table1_1[[#This Row],[Discount]]</f>
        <v>377879.82</v>
      </c>
      <c r="S571" s="33">
        <f>Table1_1[[#This Row],[Units Sold]]*Table1_1[[#This Row],[Unit Cost]]</f>
        <v>255600</v>
      </c>
      <c r="T571" s="33">
        <f>Table1_1[[#This Row],[Sales Amount]]-S571</f>
        <v>122279.82</v>
      </c>
      <c r="U571" s="32">
        <f>IFERROR(Table1_1[[#This Row],[Profit/loss]]/Table1_1[[#This Row],[Sales Amount]],0)</f>
        <v>0.32359446979730222</v>
      </c>
    </row>
    <row r="572" spans="1:21" ht="18" x14ac:dyDescent="0.35">
      <c r="A572" s="21" t="s">
        <v>679</v>
      </c>
      <c r="B572" s="36">
        <v>45582</v>
      </c>
      <c r="C572" s="22">
        <f>YEAR(Table1_1[[#This Row],[Order Date]])</f>
        <v>2024</v>
      </c>
      <c r="D572" s="22" t="str">
        <f>TEXT(Table1_1[[#This Row],[Order Date]],"MMMM")</f>
        <v>October</v>
      </c>
      <c r="E572" s="22" t="s">
        <v>26</v>
      </c>
      <c r="F572" s="22" t="s">
        <v>74</v>
      </c>
      <c r="G572" s="22" t="s">
        <v>69</v>
      </c>
      <c r="H572" s="22" t="s">
        <v>19</v>
      </c>
      <c r="I572" s="22" t="s">
        <v>40</v>
      </c>
      <c r="J572" s="22" t="s">
        <v>64</v>
      </c>
      <c r="K572" s="22" t="s">
        <v>1619</v>
      </c>
      <c r="L572" s="22" t="s">
        <v>33</v>
      </c>
      <c r="M572" s="22" t="s">
        <v>34</v>
      </c>
      <c r="N572" s="22">
        <v>31</v>
      </c>
      <c r="O572" s="26">
        <v>1930</v>
      </c>
      <c r="P572" s="22">
        <v>0.05</v>
      </c>
      <c r="Q572" s="30">
        <v>1120</v>
      </c>
      <c r="R572" s="33">
        <f>Table1_1[[#This Row],[Units Sold]]*Table1_1[[#This Row],[Unit Price]]*1-Table1_1[[#This Row],[Discount]]</f>
        <v>59829.95</v>
      </c>
      <c r="S572" s="33">
        <f>Table1_1[[#This Row],[Units Sold]]*Table1_1[[#This Row],[Unit Cost]]</f>
        <v>34720</v>
      </c>
      <c r="T572" s="33">
        <f>Table1_1[[#This Row],[Sales Amount]]-S572</f>
        <v>25109.949999999997</v>
      </c>
      <c r="U572" s="32">
        <f>IFERROR(Table1_1[[#This Row],[Profit/loss]]/Table1_1[[#This Row],[Sales Amount]],0)</f>
        <v>0.41968863420410679</v>
      </c>
    </row>
    <row r="573" spans="1:21" ht="18" x14ac:dyDescent="0.35">
      <c r="A573" s="21" t="s">
        <v>680</v>
      </c>
      <c r="B573" s="36">
        <v>45583</v>
      </c>
      <c r="C573" s="22">
        <f>YEAR(Table1_1[[#This Row],[Order Date]])</f>
        <v>2024</v>
      </c>
      <c r="D573" s="22" t="str">
        <f>TEXT(Table1_1[[#This Row],[Order Date]],"MMMM")</f>
        <v>October</v>
      </c>
      <c r="E573" s="22" t="s">
        <v>48</v>
      </c>
      <c r="F573" s="22" t="s">
        <v>49</v>
      </c>
      <c r="G573" s="22" t="s">
        <v>69</v>
      </c>
      <c r="H573" s="22" t="s">
        <v>29</v>
      </c>
      <c r="I573" s="22" t="s">
        <v>30</v>
      </c>
      <c r="J573" s="22" t="s">
        <v>31</v>
      </c>
      <c r="K573" s="22" t="s">
        <v>32</v>
      </c>
      <c r="L573" s="22" t="s">
        <v>57</v>
      </c>
      <c r="M573" s="22" t="s">
        <v>24</v>
      </c>
      <c r="N573" s="22">
        <v>26</v>
      </c>
      <c r="O573" s="26">
        <v>38990</v>
      </c>
      <c r="P573" s="22">
        <v>0.05</v>
      </c>
      <c r="Q573" s="30">
        <v>25400</v>
      </c>
      <c r="R573" s="33">
        <f>Table1_1[[#This Row],[Units Sold]]*Table1_1[[#This Row],[Unit Price]]*1-Table1_1[[#This Row],[Discount]]</f>
        <v>1013739.95</v>
      </c>
      <c r="S573" s="33">
        <f>Table1_1[[#This Row],[Units Sold]]*Table1_1[[#This Row],[Unit Cost]]</f>
        <v>660400</v>
      </c>
      <c r="T573" s="33">
        <f>Table1_1[[#This Row],[Sales Amount]]-S573</f>
        <v>353339.94999999995</v>
      </c>
      <c r="U573" s="32">
        <f>IFERROR(Table1_1[[#This Row],[Profit/loss]]/Table1_1[[#This Row],[Sales Amount]],0)</f>
        <v>0.3485508783588927</v>
      </c>
    </row>
    <row r="574" spans="1:21" ht="18" x14ac:dyDescent="0.35">
      <c r="A574" s="21" t="s">
        <v>681</v>
      </c>
      <c r="B574" s="36">
        <v>45584</v>
      </c>
      <c r="C574" s="22">
        <f>YEAR(Table1_1[[#This Row],[Order Date]])</f>
        <v>2024</v>
      </c>
      <c r="D574" s="22" t="str">
        <f>TEXT(Table1_1[[#This Row],[Order Date]],"MMMM")</f>
        <v>October</v>
      </c>
      <c r="E574" s="22" t="s">
        <v>48</v>
      </c>
      <c r="F574" s="22" t="s">
        <v>49</v>
      </c>
      <c r="G574" s="22" t="s">
        <v>50</v>
      </c>
      <c r="H574" s="22" t="s">
        <v>39</v>
      </c>
      <c r="I574" s="22" t="s">
        <v>70</v>
      </c>
      <c r="J574" s="22" t="s">
        <v>71</v>
      </c>
      <c r="K574" s="22" t="s">
        <v>72</v>
      </c>
      <c r="L574" s="22" t="s">
        <v>23</v>
      </c>
      <c r="M574" s="22" t="s">
        <v>78</v>
      </c>
      <c r="N574" s="22">
        <v>3</v>
      </c>
      <c r="O574" s="26">
        <v>3499</v>
      </c>
      <c r="P574" s="22">
        <v>0.12</v>
      </c>
      <c r="Q574" s="30">
        <v>2190</v>
      </c>
      <c r="R574" s="33">
        <f>Table1_1[[#This Row],[Units Sold]]*Table1_1[[#This Row],[Unit Price]]*1-Table1_1[[#This Row],[Discount]]</f>
        <v>10496.88</v>
      </c>
      <c r="S574" s="33">
        <f>Table1_1[[#This Row],[Units Sold]]*Table1_1[[#This Row],[Unit Cost]]</f>
        <v>6570</v>
      </c>
      <c r="T574" s="33">
        <f>Table1_1[[#This Row],[Sales Amount]]-S574</f>
        <v>3926.8799999999992</v>
      </c>
      <c r="U574" s="32">
        <f>IFERROR(Table1_1[[#This Row],[Profit/loss]]/Table1_1[[#This Row],[Sales Amount]],0)</f>
        <v>0.3740997324919404</v>
      </c>
    </row>
    <row r="575" spans="1:21" ht="18" x14ac:dyDescent="0.35">
      <c r="A575" s="21" t="s">
        <v>682</v>
      </c>
      <c r="B575" s="36">
        <v>45584</v>
      </c>
      <c r="C575" s="22">
        <f>YEAR(Table1_1[[#This Row],[Order Date]])</f>
        <v>2024</v>
      </c>
      <c r="D575" s="22" t="str">
        <f>TEXT(Table1_1[[#This Row],[Order Date]],"MMMM")</f>
        <v>October</v>
      </c>
      <c r="E575" s="22" t="s">
        <v>36</v>
      </c>
      <c r="F575" s="22" t="s">
        <v>59</v>
      </c>
      <c r="G575" s="22" t="s">
        <v>69</v>
      </c>
      <c r="H575" s="22" t="s">
        <v>29</v>
      </c>
      <c r="I575" s="22" t="s">
        <v>30</v>
      </c>
      <c r="J575" s="22" t="s">
        <v>31</v>
      </c>
      <c r="K575" s="22" t="s">
        <v>32</v>
      </c>
      <c r="L575" s="22" t="s">
        <v>33</v>
      </c>
      <c r="M575" s="22" t="s">
        <v>66</v>
      </c>
      <c r="N575" s="22">
        <v>36</v>
      </c>
      <c r="O575" s="26">
        <v>38990</v>
      </c>
      <c r="P575" s="22">
        <v>0.08</v>
      </c>
      <c r="Q575" s="30">
        <v>25400</v>
      </c>
      <c r="R575" s="33">
        <f>Table1_1[[#This Row],[Units Sold]]*Table1_1[[#This Row],[Unit Price]]*1-Table1_1[[#This Row],[Discount]]</f>
        <v>1403639.92</v>
      </c>
      <c r="S575" s="33">
        <f>Table1_1[[#This Row],[Units Sold]]*Table1_1[[#This Row],[Unit Cost]]</f>
        <v>914400</v>
      </c>
      <c r="T575" s="33">
        <f>Table1_1[[#This Row],[Sales Amount]]-S575</f>
        <v>489239.91999999993</v>
      </c>
      <c r="U575" s="32">
        <f>IFERROR(Table1_1[[#This Row],[Profit/loss]]/Table1_1[[#This Row],[Sales Amount]],0)</f>
        <v>0.34855087336074053</v>
      </c>
    </row>
    <row r="576" spans="1:21" ht="18" x14ac:dyDescent="0.35">
      <c r="A576" s="21" t="s">
        <v>683</v>
      </c>
      <c r="B576" s="36">
        <v>45584</v>
      </c>
      <c r="C576" s="22">
        <f>YEAR(Table1_1[[#This Row],[Order Date]])</f>
        <v>2024</v>
      </c>
      <c r="D576" s="22" t="str">
        <f>TEXT(Table1_1[[#This Row],[Order Date]],"MMMM")</f>
        <v>October</v>
      </c>
      <c r="E576" s="22" t="s">
        <v>36</v>
      </c>
      <c r="F576" s="22" t="s">
        <v>121</v>
      </c>
      <c r="G576" s="22" t="s">
        <v>28</v>
      </c>
      <c r="H576" s="22" t="s">
        <v>19</v>
      </c>
      <c r="I576" s="22" t="s">
        <v>40</v>
      </c>
      <c r="J576" s="22" t="s">
        <v>76</v>
      </c>
      <c r="K576" s="22" t="s">
        <v>1620</v>
      </c>
      <c r="L576" s="22" t="s">
        <v>33</v>
      </c>
      <c r="M576" s="22" t="s">
        <v>78</v>
      </c>
      <c r="N576" s="22">
        <v>37</v>
      </c>
      <c r="O576" s="26">
        <v>52990</v>
      </c>
      <c r="P576" s="22">
        <v>0.15</v>
      </c>
      <c r="Q576" s="30">
        <v>39500</v>
      </c>
      <c r="R576" s="33">
        <f>Table1_1[[#This Row],[Units Sold]]*Table1_1[[#This Row],[Unit Price]]*1-Table1_1[[#This Row],[Discount]]</f>
        <v>1960629.85</v>
      </c>
      <c r="S576" s="33">
        <f>Table1_1[[#This Row],[Units Sold]]*Table1_1[[#This Row],[Unit Cost]]</f>
        <v>1461500</v>
      </c>
      <c r="T576" s="33">
        <f>Table1_1[[#This Row],[Sales Amount]]-S576</f>
        <v>499129.85000000009</v>
      </c>
      <c r="U576" s="32">
        <f>IFERROR(Table1_1[[#This Row],[Profit/loss]]/Table1_1[[#This Row],[Sales Amount]],0)</f>
        <v>0.25457627812817402</v>
      </c>
    </row>
    <row r="577" spans="1:21" ht="18" x14ac:dyDescent="0.35">
      <c r="A577" s="21" t="s">
        <v>684</v>
      </c>
      <c r="B577" s="36">
        <v>45584</v>
      </c>
      <c r="C577" s="22">
        <f>YEAR(Table1_1[[#This Row],[Order Date]])</f>
        <v>2024</v>
      </c>
      <c r="D577" s="22" t="str">
        <f>TEXT(Table1_1[[#This Row],[Order Date]],"MMMM")</f>
        <v>October</v>
      </c>
      <c r="E577" s="22" t="s">
        <v>48</v>
      </c>
      <c r="F577" s="22" t="s">
        <v>93</v>
      </c>
      <c r="G577" s="22" t="s">
        <v>101</v>
      </c>
      <c r="H577" s="22" t="s">
        <v>19</v>
      </c>
      <c r="I577" s="22" t="s">
        <v>20</v>
      </c>
      <c r="J577" s="22" t="s">
        <v>45</v>
      </c>
      <c r="K577" s="22" t="s">
        <v>1622</v>
      </c>
      <c r="L577" s="22" t="s">
        <v>23</v>
      </c>
      <c r="M577" s="22" t="s">
        <v>24</v>
      </c>
      <c r="N577" s="22">
        <v>38</v>
      </c>
      <c r="O577" s="26">
        <v>1599</v>
      </c>
      <c r="P577" s="22">
        <v>0.18</v>
      </c>
      <c r="Q577" s="30">
        <v>920</v>
      </c>
      <c r="R577" s="33">
        <f>Table1_1[[#This Row],[Units Sold]]*Table1_1[[#This Row],[Unit Price]]*1-Table1_1[[#This Row],[Discount]]</f>
        <v>60761.82</v>
      </c>
      <c r="S577" s="33">
        <f>Table1_1[[#This Row],[Units Sold]]*Table1_1[[#This Row],[Unit Cost]]</f>
        <v>34960</v>
      </c>
      <c r="T577" s="33">
        <f>Table1_1[[#This Row],[Sales Amount]]-S577</f>
        <v>25801.82</v>
      </c>
      <c r="U577" s="32">
        <f>IFERROR(Table1_1[[#This Row],[Profit/loss]]/Table1_1[[#This Row],[Sales Amount]],0)</f>
        <v>0.42463869581260072</v>
      </c>
    </row>
    <row r="578" spans="1:21" ht="18" x14ac:dyDescent="0.35">
      <c r="A578" s="21" t="s">
        <v>685</v>
      </c>
      <c r="B578" s="36">
        <v>45584</v>
      </c>
      <c r="C578" s="22">
        <f>YEAR(Table1_1[[#This Row],[Order Date]])</f>
        <v>2024</v>
      </c>
      <c r="D578" s="22" t="str">
        <f>TEXT(Table1_1[[#This Row],[Order Date]],"MMMM")</f>
        <v>October</v>
      </c>
      <c r="E578" s="22" t="s">
        <v>48</v>
      </c>
      <c r="F578" s="22" t="s">
        <v>49</v>
      </c>
      <c r="G578" s="22" t="s">
        <v>60</v>
      </c>
      <c r="H578" s="22" t="s">
        <v>29</v>
      </c>
      <c r="I578" s="22" t="s">
        <v>40</v>
      </c>
      <c r="J578" s="22" t="s">
        <v>41</v>
      </c>
      <c r="K578" s="22" t="s">
        <v>1628</v>
      </c>
      <c r="L578" s="22" t="s">
        <v>57</v>
      </c>
      <c r="M578" s="22" t="s">
        <v>24</v>
      </c>
      <c r="N578" s="22">
        <v>7</v>
      </c>
      <c r="O578" s="26">
        <v>48500</v>
      </c>
      <c r="P578" s="22">
        <v>0.05</v>
      </c>
      <c r="Q578" s="30">
        <v>30200</v>
      </c>
      <c r="R578" s="33">
        <f>Table1_1[[#This Row],[Units Sold]]*Table1_1[[#This Row],[Unit Price]]*1-Table1_1[[#This Row],[Discount]]</f>
        <v>339499.95</v>
      </c>
      <c r="S578" s="33">
        <f>Table1_1[[#This Row],[Units Sold]]*Table1_1[[#This Row],[Unit Cost]]</f>
        <v>211400</v>
      </c>
      <c r="T578" s="33">
        <f>Table1_1[[#This Row],[Sales Amount]]-S578</f>
        <v>128099.95000000001</v>
      </c>
      <c r="U578" s="32">
        <f>IFERROR(Table1_1[[#This Row],[Profit/loss]]/Table1_1[[#This Row],[Sales Amount]],0)</f>
        <v>0.37731949592334257</v>
      </c>
    </row>
    <row r="579" spans="1:21" ht="18" x14ac:dyDescent="0.35">
      <c r="A579" s="21" t="s">
        <v>686</v>
      </c>
      <c r="B579" s="36">
        <v>45584</v>
      </c>
      <c r="C579" s="22">
        <f>YEAR(Table1_1[[#This Row],[Order Date]])</f>
        <v>2024</v>
      </c>
      <c r="D579" s="22" t="str">
        <f>TEXT(Table1_1[[#This Row],[Order Date]],"MMMM")</f>
        <v>October</v>
      </c>
      <c r="E579" s="22" t="s">
        <v>16</v>
      </c>
      <c r="F579" s="22" t="s">
        <v>17</v>
      </c>
      <c r="G579" s="22" t="s">
        <v>18</v>
      </c>
      <c r="H579" s="22" t="s">
        <v>19</v>
      </c>
      <c r="I579" s="22" t="s">
        <v>40</v>
      </c>
      <c r="J579" s="22" t="s">
        <v>64</v>
      </c>
      <c r="K579" s="22" t="s">
        <v>1629</v>
      </c>
      <c r="L579" s="22" t="s">
        <v>23</v>
      </c>
      <c r="M579" s="22" t="s">
        <v>78</v>
      </c>
      <c r="N579" s="22">
        <v>36</v>
      </c>
      <c r="O579" s="26">
        <v>3299</v>
      </c>
      <c r="P579" s="22">
        <v>0.15</v>
      </c>
      <c r="Q579" s="30">
        <v>2050</v>
      </c>
      <c r="R579" s="33">
        <f>Table1_1[[#This Row],[Units Sold]]*Table1_1[[#This Row],[Unit Price]]*1-Table1_1[[#This Row],[Discount]]</f>
        <v>118763.85</v>
      </c>
      <c r="S579" s="33">
        <f>Table1_1[[#This Row],[Units Sold]]*Table1_1[[#This Row],[Unit Cost]]</f>
        <v>73800</v>
      </c>
      <c r="T579" s="33">
        <f>Table1_1[[#This Row],[Sales Amount]]-S579</f>
        <v>44963.850000000006</v>
      </c>
      <c r="U579" s="32">
        <f>IFERROR(Table1_1[[#This Row],[Profit/loss]]/Table1_1[[#This Row],[Sales Amount]],0)</f>
        <v>0.37859879079366326</v>
      </c>
    </row>
    <row r="580" spans="1:21" ht="18" x14ac:dyDescent="0.35">
      <c r="A580" s="21" t="s">
        <v>687</v>
      </c>
      <c r="B580" s="36">
        <v>45585</v>
      </c>
      <c r="C580" s="22">
        <f>YEAR(Table1_1[[#This Row],[Order Date]])</f>
        <v>2024</v>
      </c>
      <c r="D580" s="22" t="str">
        <f>TEXT(Table1_1[[#This Row],[Order Date]],"MMMM")</f>
        <v>October</v>
      </c>
      <c r="E580" s="22" t="s">
        <v>82</v>
      </c>
      <c r="F580" s="22" t="s">
        <v>183</v>
      </c>
      <c r="G580" s="22" t="s">
        <v>101</v>
      </c>
      <c r="H580" s="22" t="s">
        <v>19</v>
      </c>
      <c r="I580" s="22" t="s">
        <v>54</v>
      </c>
      <c r="J580" s="22" t="s">
        <v>90</v>
      </c>
      <c r="K580" s="22" t="s">
        <v>1631</v>
      </c>
      <c r="L580" s="22" t="s">
        <v>57</v>
      </c>
      <c r="M580" s="22" t="s">
        <v>24</v>
      </c>
      <c r="N580" s="22">
        <v>38</v>
      </c>
      <c r="O580" s="26">
        <v>29010</v>
      </c>
      <c r="P580" s="22">
        <v>0.18</v>
      </c>
      <c r="Q580" s="30">
        <v>19150</v>
      </c>
      <c r="R580" s="33">
        <f>Table1_1[[#This Row],[Units Sold]]*Table1_1[[#This Row],[Unit Price]]*1-Table1_1[[#This Row],[Discount]]</f>
        <v>1102379.82</v>
      </c>
      <c r="S580" s="33">
        <f>Table1_1[[#This Row],[Units Sold]]*Table1_1[[#This Row],[Unit Cost]]</f>
        <v>727700</v>
      </c>
      <c r="T580" s="33">
        <f>Table1_1[[#This Row],[Sales Amount]]-S580</f>
        <v>374679.82000000007</v>
      </c>
      <c r="U580" s="32">
        <f>IFERROR(Table1_1[[#This Row],[Profit/loss]]/Table1_1[[#This Row],[Sales Amount]],0)</f>
        <v>0.33988269124882931</v>
      </c>
    </row>
    <row r="581" spans="1:21" ht="18" x14ac:dyDescent="0.35">
      <c r="A581" s="21" t="s">
        <v>688</v>
      </c>
      <c r="B581" s="36">
        <v>45585</v>
      </c>
      <c r="C581" s="22">
        <f>YEAR(Table1_1[[#This Row],[Order Date]])</f>
        <v>2024</v>
      </c>
      <c r="D581" s="22" t="str">
        <f>TEXT(Table1_1[[#This Row],[Order Date]],"MMMM")</f>
        <v>October</v>
      </c>
      <c r="E581" s="22" t="s">
        <v>26</v>
      </c>
      <c r="F581" s="22" t="s">
        <v>53</v>
      </c>
      <c r="G581" s="22" t="s">
        <v>75</v>
      </c>
      <c r="H581" s="22" t="s">
        <v>29</v>
      </c>
      <c r="I581" s="22" t="s">
        <v>30</v>
      </c>
      <c r="J581" s="22" t="s">
        <v>61</v>
      </c>
      <c r="K581" s="22" t="s">
        <v>62</v>
      </c>
      <c r="L581" s="22" t="s">
        <v>23</v>
      </c>
      <c r="M581" s="22" t="s">
        <v>66</v>
      </c>
      <c r="N581" s="22">
        <v>20</v>
      </c>
      <c r="O581" s="26">
        <v>12490</v>
      </c>
      <c r="P581" s="22">
        <v>0.12</v>
      </c>
      <c r="Q581" s="30">
        <v>7900</v>
      </c>
      <c r="R581" s="33">
        <f>Table1_1[[#This Row],[Units Sold]]*Table1_1[[#This Row],[Unit Price]]*1-Table1_1[[#This Row],[Discount]]</f>
        <v>249799.88</v>
      </c>
      <c r="S581" s="33">
        <f>Table1_1[[#This Row],[Units Sold]]*Table1_1[[#This Row],[Unit Cost]]</f>
        <v>158000</v>
      </c>
      <c r="T581" s="33">
        <f>Table1_1[[#This Row],[Sales Amount]]-S581</f>
        <v>91799.88</v>
      </c>
      <c r="U581" s="32">
        <f>IFERROR(Table1_1[[#This Row],[Profit/loss]]/Table1_1[[#This Row],[Sales Amount]],0)</f>
        <v>0.36749369135005189</v>
      </c>
    </row>
    <row r="582" spans="1:21" ht="18" x14ac:dyDescent="0.35">
      <c r="A582" s="21" t="s">
        <v>689</v>
      </c>
      <c r="B582" s="36">
        <v>45585</v>
      </c>
      <c r="C582" s="22">
        <f>YEAR(Table1_1[[#This Row],[Order Date]])</f>
        <v>2024</v>
      </c>
      <c r="D582" s="22" t="str">
        <f>TEXT(Table1_1[[#This Row],[Order Date]],"MMMM")</f>
        <v>October</v>
      </c>
      <c r="E582" s="22" t="s">
        <v>26</v>
      </c>
      <c r="F582" s="22" t="s">
        <v>74</v>
      </c>
      <c r="G582" s="22" t="s">
        <v>18</v>
      </c>
      <c r="H582" s="22" t="s">
        <v>39</v>
      </c>
      <c r="I582" s="22" t="s">
        <v>54</v>
      </c>
      <c r="J582" s="22" t="s">
        <v>129</v>
      </c>
      <c r="K582" s="22" t="s">
        <v>145</v>
      </c>
      <c r="L582" s="22" t="s">
        <v>33</v>
      </c>
      <c r="M582" s="22" t="s">
        <v>24</v>
      </c>
      <c r="N582" s="22">
        <v>3</v>
      </c>
      <c r="O582" s="26">
        <v>31490</v>
      </c>
      <c r="P582" s="22">
        <v>0.08</v>
      </c>
      <c r="Q582" s="30">
        <v>21300</v>
      </c>
      <c r="R582" s="33">
        <f>Table1_1[[#This Row],[Units Sold]]*Table1_1[[#This Row],[Unit Price]]*1-Table1_1[[#This Row],[Discount]]</f>
        <v>94469.92</v>
      </c>
      <c r="S582" s="33">
        <f>Table1_1[[#This Row],[Units Sold]]*Table1_1[[#This Row],[Unit Cost]]</f>
        <v>63900</v>
      </c>
      <c r="T582" s="33">
        <f>Table1_1[[#This Row],[Sales Amount]]-S582</f>
        <v>30569.919999999998</v>
      </c>
      <c r="U582" s="32">
        <f>IFERROR(Table1_1[[#This Row],[Profit/loss]]/Table1_1[[#This Row],[Sales Amount]],0)</f>
        <v>0.32359421919696768</v>
      </c>
    </row>
    <row r="583" spans="1:21" ht="18" x14ac:dyDescent="0.35">
      <c r="A583" s="21" t="s">
        <v>690</v>
      </c>
      <c r="B583" s="36">
        <v>45586</v>
      </c>
      <c r="C583" s="22">
        <f>YEAR(Table1_1[[#This Row],[Order Date]])</f>
        <v>2024</v>
      </c>
      <c r="D583" s="22" t="str">
        <f>TEXT(Table1_1[[#This Row],[Order Date]],"MMMM")</f>
        <v>October</v>
      </c>
      <c r="E583" s="22" t="s">
        <v>26</v>
      </c>
      <c r="F583" s="22" t="s">
        <v>27</v>
      </c>
      <c r="G583" s="22" t="s">
        <v>84</v>
      </c>
      <c r="H583" s="22" t="s">
        <v>19</v>
      </c>
      <c r="I583" s="22" t="s">
        <v>30</v>
      </c>
      <c r="J583" s="22" t="s">
        <v>61</v>
      </c>
      <c r="K583" s="22" t="s">
        <v>186</v>
      </c>
      <c r="L583" s="22" t="s">
        <v>57</v>
      </c>
      <c r="M583" s="22" t="s">
        <v>24</v>
      </c>
      <c r="N583" s="22">
        <v>40</v>
      </c>
      <c r="O583" s="26">
        <v>6999</v>
      </c>
      <c r="P583" s="22">
        <v>0.15</v>
      </c>
      <c r="Q583" s="30">
        <v>4320</v>
      </c>
      <c r="R583" s="33">
        <f>Table1_1[[#This Row],[Units Sold]]*Table1_1[[#This Row],[Unit Price]]*1-Table1_1[[#This Row],[Discount]]</f>
        <v>279959.84999999998</v>
      </c>
      <c r="S583" s="33">
        <f>Table1_1[[#This Row],[Units Sold]]*Table1_1[[#This Row],[Unit Cost]]</f>
        <v>172800</v>
      </c>
      <c r="T583" s="33">
        <f>Table1_1[[#This Row],[Sales Amount]]-S583</f>
        <v>107159.84999999998</v>
      </c>
      <c r="U583" s="32">
        <f>IFERROR(Table1_1[[#This Row],[Profit/loss]]/Table1_1[[#This Row],[Sales Amount]],0)</f>
        <v>0.38276863628838204</v>
      </c>
    </row>
    <row r="584" spans="1:21" ht="18" x14ac:dyDescent="0.35">
      <c r="A584" s="21" t="s">
        <v>691</v>
      </c>
      <c r="B584" s="36">
        <v>45587</v>
      </c>
      <c r="C584" s="22">
        <f>YEAR(Table1_1[[#This Row],[Order Date]])</f>
        <v>2024</v>
      </c>
      <c r="D584" s="22" t="str">
        <f>TEXT(Table1_1[[#This Row],[Order Date]],"MMMM")</f>
        <v>October</v>
      </c>
      <c r="E584" s="22" t="s">
        <v>48</v>
      </c>
      <c r="F584" s="22" t="s">
        <v>49</v>
      </c>
      <c r="G584" s="22" t="s">
        <v>50</v>
      </c>
      <c r="H584" s="22" t="s">
        <v>19</v>
      </c>
      <c r="I584" s="22" t="s">
        <v>30</v>
      </c>
      <c r="J584" s="22" t="s">
        <v>31</v>
      </c>
      <c r="K584" s="22" t="s">
        <v>32</v>
      </c>
      <c r="L584" s="22" t="s">
        <v>23</v>
      </c>
      <c r="M584" s="22" t="s">
        <v>78</v>
      </c>
      <c r="N584" s="22">
        <v>8</v>
      </c>
      <c r="O584" s="26">
        <v>38990</v>
      </c>
      <c r="P584" s="22">
        <v>0.12</v>
      </c>
      <c r="Q584" s="30">
        <v>25400</v>
      </c>
      <c r="R584" s="33">
        <f>Table1_1[[#This Row],[Units Sold]]*Table1_1[[#This Row],[Unit Price]]*1-Table1_1[[#This Row],[Discount]]</f>
        <v>311919.88</v>
      </c>
      <c r="S584" s="33">
        <f>Table1_1[[#This Row],[Units Sold]]*Table1_1[[#This Row],[Unit Cost]]</f>
        <v>203200</v>
      </c>
      <c r="T584" s="33">
        <f>Table1_1[[#This Row],[Sales Amount]]-S584</f>
        <v>108719.88</v>
      </c>
      <c r="U584" s="32">
        <f>IFERROR(Table1_1[[#This Row],[Profit/loss]]/Table1_1[[#This Row],[Sales Amount]],0)</f>
        <v>0.34855065986816874</v>
      </c>
    </row>
    <row r="585" spans="1:21" ht="18" x14ac:dyDescent="0.35">
      <c r="A585" s="21" t="s">
        <v>692</v>
      </c>
      <c r="B585" s="36">
        <v>45587</v>
      </c>
      <c r="C585" s="22">
        <f>YEAR(Table1_1[[#This Row],[Order Date]])</f>
        <v>2024</v>
      </c>
      <c r="D585" s="22" t="str">
        <f>TEXT(Table1_1[[#This Row],[Order Date]],"MMMM")</f>
        <v>October</v>
      </c>
      <c r="E585" s="22" t="s">
        <v>36</v>
      </c>
      <c r="F585" s="22" t="s">
        <v>44</v>
      </c>
      <c r="G585" s="22" t="s">
        <v>18</v>
      </c>
      <c r="H585" s="22" t="s">
        <v>19</v>
      </c>
      <c r="I585" s="22" t="s">
        <v>54</v>
      </c>
      <c r="J585" s="22" t="s">
        <v>90</v>
      </c>
      <c r="K585" s="22" t="s">
        <v>1631</v>
      </c>
      <c r="L585" s="22" t="s">
        <v>57</v>
      </c>
      <c r="M585" s="22" t="s">
        <v>24</v>
      </c>
      <c r="N585" s="22">
        <v>22</v>
      </c>
      <c r="O585" s="26">
        <v>29010</v>
      </c>
      <c r="P585" s="22">
        <v>0.15</v>
      </c>
      <c r="Q585" s="30">
        <v>19150</v>
      </c>
      <c r="R585" s="33">
        <f>Table1_1[[#This Row],[Units Sold]]*Table1_1[[#This Row],[Unit Price]]*1-Table1_1[[#This Row],[Discount]]</f>
        <v>638219.85</v>
      </c>
      <c r="S585" s="33">
        <f>Table1_1[[#This Row],[Units Sold]]*Table1_1[[#This Row],[Unit Cost]]</f>
        <v>421300</v>
      </c>
      <c r="T585" s="33">
        <f>Table1_1[[#This Row],[Sales Amount]]-S585</f>
        <v>216919.84999999998</v>
      </c>
      <c r="U585" s="32">
        <f>IFERROR(Table1_1[[#This Row],[Profit/loss]]/Table1_1[[#This Row],[Sales Amount]],0)</f>
        <v>0.33988264388830902</v>
      </c>
    </row>
    <row r="586" spans="1:21" ht="18" x14ac:dyDescent="0.35">
      <c r="A586" s="21" t="s">
        <v>693</v>
      </c>
      <c r="B586" s="36">
        <v>45587</v>
      </c>
      <c r="C586" s="22">
        <f>YEAR(Table1_1[[#This Row],[Order Date]])</f>
        <v>2024</v>
      </c>
      <c r="D586" s="22" t="str">
        <f>TEXT(Table1_1[[#This Row],[Order Date]],"MMMM")</f>
        <v>October</v>
      </c>
      <c r="E586" s="22" t="s">
        <v>36</v>
      </c>
      <c r="F586" s="22" t="s">
        <v>44</v>
      </c>
      <c r="G586" s="22" t="s">
        <v>38</v>
      </c>
      <c r="H586" s="22" t="s">
        <v>19</v>
      </c>
      <c r="I586" s="22" t="s">
        <v>20</v>
      </c>
      <c r="J586" s="22" t="s">
        <v>45</v>
      </c>
      <c r="K586" s="22" t="s">
        <v>1618</v>
      </c>
      <c r="L586" s="22" t="s">
        <v>33</v>
      </c>
      <c r="M586" s="22" t="s">
        <v>34</v>
      </c>
      <c r="N586" s="22">
        <v>39</v>
      </c>
      <c r="O586" s="26">
        <v>1899</v>
      </c>
      <c r="P586" s="22">
        <v>0.05</v>
      </c>
      <c r="Q586" s="30">
        <v>1080</v>
      </c>
      <c r="R586" s="33">
        <f>Table1_1[[#This Row],[Units Sold]]*Table1_1[[#This Row],[Unit Price]]*1-Table1_1[[#This Row],[Discount]]</f>
        <v>74060.95</v>
      </c>
      <c r="S586" s="33">
        <f>Table1_1[[#This Row],[Units Sold]]*Table1_1[[#This Row],[Unit Cost]]</f>
        <v>42120</v>
      </c>
      <c r="T586" s="33">
        <f>Table1_1[[#This Row],[Sales Amount]]-S586</f>
        <v>31940.949999999997</v>
      </c>
      <c r="U586" s="32">
        <f>IFERROR(Table1_1[[#This Row],[Profit/loss]]/Table1_1[[#This Row],[Sales Amount]],0)</f>
        <v>0.43127923689879755</v>
      </c>
    </row>
    <row r="587" spans="1:21" ht="18" x14ac:dyDescent="0.35">
      <c r="A587" s="21" t="s">
        <v>694</v>
      </c>
      <c r="B587" s="36">
        <v>45587</v>
      </c>
      <c r="C587" s="22">
        <f>YEAR(Table1_1[[#This Row],[Order Date]])</f>
        <v>2024</v>
      </c>
      <c r="D587" s="22" t="str">
        <f>TEXT(Table1_1[[#This Row],[Order Date]],"MMMM")</f>
        <v>October</v>
      </c>
      <c r="E587" s="22" t="s">
        <v>36</v>
      </c>
      <c r="F587" s="22" t="s">
        <v>121</v>
      </c>
      <c r="G587" s="22" t="s">
        <v>28</v>
      </c>
      <c r="H587" s="22" t="s">
        <v>19</v>
      </c>
      <c r="I587" s="22" t="s">
        <v>20</v>
      </c>
      <c r="J587" s="22" t="s">
        <v>21</v>
      </c>
      <c r="K587" s="22" t="s">
        <v>22</v>
      </c>
      <c r="L587" s="22" t="s">
        <v>57</v>
      </c>
      <c r="M587" s="22" t="s">
        <v>66</v>
      </c>
      <c r="N587" s="22">
        <v>11</v>
      </c>
      <c r="O587" s="26">
        <v>4499</v>
      </c>
      <c r="P587" s="22">
        <v>0.08</v>
      </c>
      <c r="Q587" s="30">
        <v>2910</v>
      </c>
      <c r="R587" s="33">
        <f>Table1_1[[#This Row],[Units Sold]]*Table1_1[[#This Row],[Unit Price]]*1-Table1_1[[#This Row],[Discount]]</f>
        <v>49488.92</v>
      </c>
      <c r="S587" s="33">
        <f>Table1_1[[#This Row],[Units Sold]]*Table1_1[[#This Row],[Unit Cost]]</f>
        <v>32010</v>
      </c>
      <c r="T587" s="33">
        <f>Table1_1[[#This Row],[Sales Amount]]-S587</f>
        <v>17478.919999999998</v>
      </c>
      <c r="U587" s="32">
        <f>IFERROR(Table1_1[[#This Row],[Profit/loss]]/Table1_1[[#This Row],[Sales Amount]],0)</f>
        <v>0.35318855210418815</v>
      </c>
    </row>
    <row r="588" spans="1:21" ht="18" x14ac:dyDescent="0.35">
      <c r="A588" s="21" t="s">
        <v>695</v>
      </c>
      <c r="B588" s="36">
        <v>45588</v>
      </c>
      <c r="C588" s="22">
        <f>YEAR(Table1_1[[#This Row],[Order Date]])</f>
        <v>2024</v>
      </c>
      <c r="D588" s="22" t="str">
        <f>TEXT(Table1_1[[#This Row],[Order Date]],"MMMM")</f>
        <v>October</v>
      </c>
      <c r="E588" s="22" t="s">
        <v>26</v>
      </c>
      <c r="F588" s="22" t="s">
        <v>163</v>
      </c>
      <c r="G588" s="22" t="s">
        <v>69</v>
      </c>
      <c r="H588" s="22" t="s">
        <v>39</v>
      </c>
      <c r="I588" s="22" t="s">
        <v>70</v>
      </c>
      <c r="J588" s="22" t="s">
        <v>71</v>
      </c>
      <c r="K588" s="22" t="s">
        <v>80</v>
      </c>
      <c r="L588" s="22" t="s">
        <v>33</v>
      </c>
      <c r="M588" s="22" t="s">
        <v>24</v>
      </c>
      <c r="N588" s="22">
        <v>14</v>
      </c>
      <c r="O588" s="26">
        <v>1299</v>
      </c>
      <c r="P588" s="22">
        <v>0.05</v>
      </c>
      <c r="Q588" s="30">
        <v>720</v>
      </c>
      <c r="R588" s="33">
        <f>Table1_1[[#This Row],[Units Sold]]*Table1_1[[#This Row],[Unit Price]]*1-Table1_1[[#This Row],[Discount]]</f>
        <v>18185.95</v>
      </c>
      <c r="S588" s="33">
        <f>Table1_1[[#This Row],[Units Sold]]*Table1_1[[#This Row],[Unit Cost]]</f>
        <v>10080</v>
      </c>
      <c r="T588" s="33">
        <f>Table1_1[[#This Row],[Sales Amount]]-S588</f>
        <v>8105.9500000000007</v>
      </c>
      <c r="U588" s="32">
        <f>IFERROR(Table1_1[[#This Row],[Profit/loss]]/Table1_1[[#This Row],[Sales Amount]],0)</f>
        <v>0.44572595877586818</v>
      </c>
    </row>
    <row r="589" spans="1:21" ht="18" x14ac:dyDescent="0.35">
      <c r="A589" s="21" t="s">
        <v>696</v>
      </c>
      <c r="B589" s="36">
        <v>45588</v>
      </c>
      <c r="C589" s="22">
        <f>YEAR(Table1_1[[#This Row],[Order Date]])</f>
        <v>2024</v>
      </c>
      <c r="D589" s="22" t="str">
        <f>TEXT(Table1_1[[#This Row],[Order Date]],"MMMM")</f>
        <v>October</v>
      </c>
      <c r="E589" s="22" t="s">
        <v>48</v>
      </c>
      <c r="F589" s="22" t="s">
        <v>136</v>
      </c>
      <c r="G589" s="22" t="s">
        <v>84</v>
      </c>
      <c r="H589" s="22" t="s">
        <v>39</v>
      </c>
      <c r="I589" s="22" t="s">
        <v>40</v>
      </c>
      <c r="J589" s="22" t="s">
        <v>64</v>
      </c>
      <c r="K589" s="22" t="s">
        <v>1619</v>
      </c>
      <c r="L589" s="22" t="s">
        <v>57</v>
      </c>
      <c r="M589" s="22" t="s">
        <v>24</v>
      </c>
      <c r="N589" s="22">
        <v>37</v>
      </c>
      <c r="O589" s="26">
        <v>1930</v>
      </c>
      <c r="P589" s="22">
        <v>0.08</v>
      </c>
      <c r="Q589" s="30">
        <v>1120</v>
      </c>
      <c r="R589" s="33">
        <f>Table1_1[[#This Row],[Units Sold]]*Table1_1[[#This Row],[Unit Price]]*1-Table1_1[[#This Row],[Discount]]</f>
        <v>71409.919999999998</v>
      </c>
      <c r="S589" s="33">
        <f>Table1_1[[#This Row],[Units Sold]]*Table1_1[[#This Row],[Unit Cost]]</f>
        <v>41440</v>
      </c>
      <c r="T589" s="33">
        <f>Table1_1[[#This Row],[Sales Amount]]-S589</f>
        <v>29969.919999999998</v>
      </c>
      <c r="U589" s="32">
        <f>IFERROR(Table1_1[[#This Row],[Profit/loss]]/Table1_1[[#This Row],[Sales Amount]],0)</f>
        <v>0.41968846905303914</v>
      </c>
    </row>
    <row r="590" spans="1:21" ht="18" x14ac:dyDescent="0.35">
      <c r="A590" s="21" t="s">
        <v>697</v>
      </c>
      <c r="B590" s="36">
        <v>45588</v>
      </c>
      <c r="C590" s="22">
        <f>YEAR(Table1_1[[#This Row],[Order Date]])</f>
        <v>2024</v>
      </c>
      <c r="D590" s="22" t="str">
        <f>TEXT(Table1_1[[#This Row],[Order Date]],"MMMM")</f>
        <v>October</v>
      </c>
      <c r="E590" s="22" t="s">
        <v>16</v>
      </c>
      <c r="F590" s="22" t="s">
        <v>126</v>
      </c>
      <c r="G590" s="22" t="s">
        <v>75</v>
      </c>
      <c r="H590" s="22" t="s">
        <v>39</v>
      </c>
      <c r="I590" s="22" t="s">
        <v>54</v>
      </c>
      <c r="J590" s="22" t="s">
        <v>129</v>
      </c>
      <c r="K590" s="22" t="s">
        <v>1630</v>
      </c>
      <c r="L590" s="22" t="s">
        <v>33</v>
      </c>
      <c r="M590" s="22" t="s">
        <v>24</v>
      </c>
      <c r="N590" s="22">
        <v>36</v>
      </c>
      <c r="O590" s="26">
        <v>29010</v>
      </c>
      <c r="P590" s="22">
        <v>0.15</v>
      </c>
      <c r="Q590" s="30">
        <v>19100</v>
      </c>
      <c r="R590" s="33">
        <f>Table1_1[[#This Row],[Units Sold]]*Table1_1[[#This Row],[Unit Price]]*1-Table1_1[[#This Row],[Discount]]</f>
        <v>1044359.85</v>
      </c>
      <c r="S590" s="33">
        <f>Table1_1[[#This Row],[Units Sold]]*Table1_1[[#This Row],[Unit Cost]]</f>
        <v>687600</v>
      </c>
      <c r="T590" s="33">
        <f>Table1_1[[#This Row],[Sales Amount]]-S590</f>
        <v>356759.85</v>
      </c>
      <c r="U590" s="32">
        <f>IFERROR(Table1_1[[#This Row],[Profit/loss]]/Table1_1[[#This Row],[Sales Amount]],0)</f>
        <v>0.34160624807627371</v>
      </c>
    </row>
    <row r="591" spans="1:21" ht="18" x14ac:dyDescent="0.35">
      <c r="A591" s="21" t="s">
        <v>698</v>
      </c>
      <c r="B591" s="36">
        <v>45588</v>
      </c>
      <c r="C591" s="22">
        <f>YEAR(Table1_1[[#This Row],[Order Date]])</f>
        <v>2024</v>
      </c>
      <c r="D591" s="22" t="str">
        <f>TEXT(Table1_1[[#This Row],[Order Date]],"MMMM")</f>
        <v>October</v>
      </c>
      <c r="E591" s="22" t="s">
        <v>26</v>
      </c>
      <c r="F591" s="22" t="s">
        <v>74</v>
      </c>
      <c r="G591" s="22" t="s">
        <v>75</v>
      </c>
      <c r="H591" s="22" t="s">
        <v>19</v>
      </c>
      <c r="I591" s="22" t="s">
        <v>54</v>
      </c>
      <c r="J591" s="22" t="s">
        <v>55</v>
      </c>
      <c r="K591" s="22" t="s">
        <v>148</v>
      </c>
      <c r="L591" s="22" t="s">
        <v>33</v>
      </c>
      <c r="M591" s="22" t="s">
        <v>78</v>
      </c>
      <c r="N591" s="22">
        <v>22</v>
      </c>
      <c r="O591" s="26">
        <v>4680</v>
      </c>
      <c r="P591" s="22">
        <v>0.12</v>
      </c>
      <c r="Q591" s="30">
        <v>3250</v>
      </c>
      <c r="R591" s="33">
        <f>Table1_1[[#This Row],[Units Sold]]*Table1_1[[#This Row],[Unit Price]]*1-Table1_1[[#This Row],[Discount]]</f>
        <v>102959.88</v>
      </c>
      <c r="S591" s="33">
        <f>Table1_1[[#This Row],[Units Sold]]*Table1_1[[#This Row],[Unit Cost]]</f>
        <v>71500</v>
      </c>
      <c r="T591" s="33">
        <f>Table1_1[[#This Row],[Sales Amount]]-S591</f>
        <v>31459.880000000005</v>
      </c>
      <c r="U591" s="32">
        <f>IFERROR(Table1_1[[#This Row],[Profit/loss]]/Table1_1[[#This Row],[Sales Amount]],0)</f>
        <v>0.30555474617880291</v>
      </c>
    </row>
    <row r="592" spans="1:21" ht="18" x14ac:dyDescent="0.35">
      <c r="A592" s="21" t="s">
        <v>699</v>
      </c>
      <c r="B592" s="36">
        <v>45588</v>
      </c>
      <c r="C592" s="22">
        <f>YEAR(Table1_1[[#This Row],[Order Date]])</f>
        <v>2024</v>
      </c>
      <c r="D592" s="22" t="str">
        <f>TEXT(Table1_1[[#This Row],[Order Date]],"MMMM")</f>
        <v>October</v>
      </c>
      <c r="E592" s="22" t="s">
        <v>16</v>
      </c>
      <c r="F592" s="22" t="s">
        <v>17</v>
      </c>
      <c r="G592" s="22" t="s">
        <v>38</v>
      </c>
      <c r="H592" s="22" t="s">
        <v>39</v>
      </c>
      <c r="I592" s="22" t="s">
        <v>70</v>
      </c>
      <c r="J592" s="22" t="s">
        <v>71</v>
      </c>
      <c r="K592" s="22" t="s">
        <v>88</v>
      </c>
      <c r="L592" s="22" t="s">
        <v>23</v>
      </c>
      <c r="M592" s="22" t="s">
        <v>24</v>
      </c>
      <c r="N592" s="22">
        <v>7</v>
      </c>
      <c r="O592" s="26">
        <v>999</v>
      </c>
      <c r="P592" s="22">
        <v>0.2</v>
      </c>
      <c r="Q592" s="30">
        <v>540</v>
      </c>
      <c r="R592" s="33">
        <f>Table1_1[[#This Row],[Units Sold]]*Table1_1[[#This Row],[Unit Price]]*1-Table1_1[[#This Row],[Discount]]</f>
        <v>6992.8</v>
      </c>
      <c r="S592" s="33">
        <f>Table1_1[[#This Row],[Units Sold]]*Table1_1[[#This Row],[Unit Cost]]</f>
        <v>3780</v>
      </c>
      <c r="T592" s="33">
        <f>Table1_1[[#This Row],[Sales Amount]]-S592</f>
        <v>3212.8</v>
      </c>
      <c r="U592" s="32">
        <f>IFERROR(Table1_1[[#This Row],[Profit/loss]]/Table1_1[[#This Row],[Sales Amount]],0)</f>
        <v>0.45944399954238646</v>
      </c>
    </row>
    <row r="593" spans="1:21" ht="18" x14ac:dyDescent="0.35">
      <c r="A593" s="21" t="s">
        <v>700</v>
      </c>
      <c r="B593" s="36">
        <v>45588</v>
      </c>
      <c r="C593" s="22">
        <f>YEAR(Table1_1[[#This Row],[Order Date]])</f>
        <v>2024</v>
      </c>
      <c r="D593" s="22" t="str">
        <f>TEXT(Table1_1[[#This Row],[Order Date]],"MMMM")</f>
        <v>October</v>
      </c>
      <c r="E593" s="22" t="s">
        <v>82</v>
      </c>
      <c r="F593" s="22" t="s">
        <v>83</v>
      </c>
      <c r="G593" s="22" t="s">
        <v>101</v>
      </c>
      <c r="H593" s="22" t="s">
        <v>29</v>
      </c>
      <c r="I593" s="22" t="s">
        <v>30</v>
      </c>
      <c r="J593" s="22" t="s">
        <v>31</v>
      </c>
      <c r="K593" s="22" t="s">
        <v>85</v>
      </c>
      <c r="L593" s="22" t="s">
        <v>23</v>
      </c>
      <c r="M593" s="22" t="s">
        <v>66</v>
      </c>
      <c r="N593" s="22">
        <v>6</v>
      </c>
      <c r="O593" s="26">
        <v>43500</v>
      </c>
      <c r="P593" s="22">
        <v>0.18</v>
      </c>
      <c r="Q593" s="30">
        <v>29520</v>
      </c>
      <c r="R593" s="33">
        <f>Table1_1[[#This Row],[Units Sold]]*Table1_1[[#This Row],[Unit Price]]*1-Table1_1[[#This Row],[Discount]]</f>
        <v>260999.82</v>
      </c>
      <c r="S593" s="33">
        <f>Table1_1[[#This Row],[Units Sold]]*Table1_1[[#This Row],[Unit Cost]]</f>
        <v>177120</v>
      </c>
      <c r="T593" s="33">
        <f>Table1_1[[#This Row],[Sales Amount]]-S593</f>
        <v>83879.820000000007</v>
      </c>
      <c r="U593" s="32">
        <f>IFERROR(Table1_1[[#This Row],[Profit/loss]]/Table1_1[[#This Row],[Sales Amount]],0)</f>
        <v>0.32137884233023611</v>
      </c>
    </row>
    <row r="594" spans="1:21" ht="18" x14ac:dyDescent="0.35">
      <c r="A594" s="21" t="s">
        <v>701</v>
      </c>
      <c r="B594" s="36">
        <v>45590</v>
      </c>
      <c r="C594" s="22">
        <f>YEAR(Table1_1[[#This Row],[Order Date]])</f>
        <v>2024</v>
      </c>
      <c r="D594" s="22" t="str">
        <f>TEXT(Table1_1[[#This Row],[Order Date]],"MMMM")</f>
        <v>October</v>
      </c>
      <c r="E594" s="22" t="s">
        <v>26</v>
      </c>
      <c r="F594" s="22" t="s">
        <v>53</v>
      </c>
      <c r="G594" s="22" t="s">
        <v>101</v>
      </c>
      <c r="H594" s="22" t="s">
        <v>29</v>
      </c>
      <c r="I594" s="22" t="s">
        <v>54</v>
      </c>
      <c r="J594" s="22" t="s">
        <v>129</v>
      </c>
      <c r="K594" s="22" t="s">
        <v>130</v>
      </c>
      <c r="L594" s="22" t="s">
        <v>23</v>
      </c>
      <c r="M594" s="22" t="s">
        <v>24</v>
      </c>
      <c r="N594" s="22">
        <v>38</v>
      </c>
      <c r="O594" s="26">
        <v>27890</v>
      </c>
      <c r="P594" s="22">
        <v>0.12</v>
      </c>
      <c r="Q594" s="30">
        <v>18800</v>
      </c>
      <c r="R594" s="33">
        <f>Table1_1[[#This Row],[Units Sold]]*Table1_1[[#This Row],[Unit Price]]*1-Table1_1[[#This Row],[Discount]]</f>
        <v>1059819.8799999999</v>
      </c>
      <c r="S594" s="33">
        <f>Table1_1[[#This Row],[Units Sold]]*Table1_1[[#This Row],[Unit Cost]]</f>
        <v>714400</v>
      </c>
      <c r="T594" s="33">
        <f>Table1_1[[#This Row],[Sales Amount]]-S594</f>
        <v>345419.87999999989</v>
      </c>
      <c r="U594" s="32">
        <f>IFERROR(Table1_1[[#This Row],[Profit/loss]]/Table1_1[[#This Row],[Sales Amount]],0)</f>
        <v>0.32592319366570094</v>
      </c>
    </row>
    <row r="595" spans="1:21" ht="18" x14ac:dyDescent="0.35">
      <c r="A595" s="21" t="s">
        <v>702</v>
      </c>
      <c r="B595" s="36">
        <v>45590</v>
      </c>
      <c r="C595" s="22">
        <f>YEAR(Table1_1[[#This Row],[Order Date]])</f>
        <v>2024</v>
      </c>
      <c r="D595" s="22" t="str">
        <f>TEXT(Table1_1[[#This Row],[Order Date]],"MMMM")</f>
        <v>October</v>
      </c>
      <c r="E595" s="22" t="s">
        <v>36</v>
      </c>
      <c r="F595" s="22" t="s">
        <v>44</v>
      </c>
      <c r="G595" s="22" t="s">
        <v>50</v>
      </c>
      <c r="H595" s="22" t="s">
        <v>19</v>
      </c>
      <c r="I595" s="22" t="s">
        <v>20</v>
      </c>
      <c r="J595" s="22" t="s">
        <v>21</v>
      </c>
      <c r="K595" s="22" t="s">
        <v>51</v>
      </c>
      <c r="L595" s="22" t="s">
        <v>57</v>
      </c>
      <c r="M595" s="22" t="s">
        <v>66</v>
      </c>
      <c r="N595" s="22">
        <v>8</v>
      </c>
      <c r="O595" s="26">
        <v>5999</v>
      </c>
      <c r="P595" s="22">
        <v>0.12</v>
      </c>
      <c r="Q595" s="30">
        <v>3890</v>
      </c>
      <c r="R595" s="33">
        <f>Table1_1[[#This Row],[Units Sold]]*Table1_1[[#This Row],[Unit Price]]*1-Table1_1[[#This Row],[Discount]]</f>
        <v>47991.88</v>
      </c>
      <c r="S595" s="33">
        <f>Table1_1[[#This Row],[Units Sold]]*Table1_1[[#This Row],[Unit Cost]]</f>
        <v>31120</v>
      </c>
      <c r="T595" s="33">
        <f>Table1_1[[#This Row],[Sales Amount]]-S595</f>
        <v>16871.879999999997</v>
      </c>
      <c r="U595" s="32">
        <f>IFERROR(Table1_1[[#This Row],[Profit/loss]]/Table1_1[[#This Row],[Sales Amount]],0)</f>
        <v>0.35155697172104944</v>
      </c>
    </row>
    <row r="596" spans="1:21" ht="18" x14ac:dyDescent="0.35">
      <c r="A596" s="21" t="s">
        <v>703</v>
      </c>
      <c r="B596" s="36">
        <v>45590</v>
      </c>
      <c r="C596" s="22">
        <f>YEAR(Table1_1[[#This Row],[Order Date]])</f>
        <v>2024</v>
      </c>
      <c r="D596" s="22" t="str">
        <f>TEXT(Table1_1[[#This Row],[Order Date]],"MMMM")</f>
        <v>October</v>
      </c>
      <c r="E596" s="22" t="s">
        <v>36</v>
      </c>
      <c r="F596" s="22" t="s">
        <v>59</v>
      </c>
      <c r="G596" s="22" t="s">
        <v>38</v>
      </c>
      <c r="H596" s="22" t="s">
        <v>19</v>
      </c>
      <c r="I596" s="22" t="s">
        <v>70</v>
      </c>
      <c r="J596" s="22" t="s">
        <v>71</v>
      </c>
      <c r="K596" s="22" t="s">
        <v>88</v>
      </c>
      <c r="L596" s="22" t="s">
        <v>23</v>
      </c>
      <c r="M596" s="22" t="s">
        <v>66</v>
      </c>
      <c r="N596" s="22">
        <v>2</v>
      </c>
      <c r="O596" s="26">
        <v>999</v>
      </c>
      <c r="P596" s="22">
        <v>0.12</v>
      </c>
      <c r="Q596" s="30">
        <v>540</v>
      </c>
      <c r="R596" s="33">
        <f>Table1_1[[#This Row],[Units Sold]]*Table1_1[[#This Row],[Unit Price]]*1-Table1_1[[#This Row],[Discount]]</f>
        <v>1997.88</v>
      </c>
      <c r="S596" s="33">
        <f>Table1_1[[#This Row],[Units Sold]]*Table1_1[[#This Row],[Unit Cost]]</f>
        <v>1080</v>
      </c>
      <c r="T596" s="33">
        <f>Table1_1[[#This Row],[Sales Amount]]-S596</f>
        <v>917.88000000000011</v>
      </c>
      <c r="U596" s="32">
        <f>IFERROR(Table1_1[[#This Row],[Profit/loss]]/Table1_1[[#This Row],[Sales Amount]],0)</f>
        <v>0.45942699261216891</v>
      </c>
    </row>
    <row r="597" spans="1:21" ht="18" x14ac:dyDescent="0.35">
      <c r="A597" s="21" t="s">
        <v>704</v>
      </c>
      <c r="B597" s="36">
        <v>45590</v>
      </c>
      <c r="C597" s="22">
        <f>YEAR(Table1_1[[#This Row],[Order Date]])</f>
        <v>2024</v>
      </c>
      <c r="D597" s="22" t="str">
        <f>TEXT(Table1_1[[#This Row],[Order Date]],"MMMM")</f>
        <v>October</v>
      </c>
      <c r="E597" s="22" t="s">
        <v>36</v>
      </c>
      <c r="F597" s="22" t="s">
        <v>59</v>
      </c>
      <c r="G597" s="22" t="s">
        <v>101</v>
      </c>
      <c r="H597" s="22" t="s">
        <v>19</v>
      </c>
      <c r="I597" s="22" t="s">
        <v>40</v>
      </c>
      <c r="J597" s="22" t="s">
        <v>41</v>
      </c>
      <c r="K597" s="22" t="s">
        <v>1624</v>
      </c>
      <c r="L597" s="22" t="s">
        <v>33</v>
      </c>
      <c r="M597" s="22" t="s">
        <v>24</v>
      </c>
      <c r="N597" s="22">
        <v>24</v>
      </c>
      <c r="O597" s="26">
        <v>48990</v>
      </c>
      <c r="P597" s="22">
        <v>0.1</v>
      </c>
      <c r="Q597" s="30">
        <v>30100</v>
      </c>
      <c r="R597" s="33">
        <f>Table1_1[[#This Row],[Units Sold]]*Table1_1[[#This Row],[Unit Price]]*1-Table1_1[[#This Row],[Discount]]</f>
        <v>1175759.8999999999</v>
      </c>
      <c r="S597" s="33">
        <f>Table1_1[[#This Row],[Units Sold]]*Table1_1[[#This Row],[Unit Cost]]</f>
        <v>722400</v>
      </c>
      <c r="T597" s="33">
        <f>Table1_1[[#This Row],[Sales Amount]]-S597</f>
        <v>453359.89999999991</v>
      </c>
      <c r="U597" s="32">
        <f>IFERROR(Table1_1[[#This Row],[Profit/loss]]/Table1_1[[#This Row],[Sales Amount]],0)</f>
        <v>0.38558884343648731</v>
      </c>
    </row>
    <row r="598" spans="1:21" ht="18" x14ac:dyDescent="0.35">
      <c r="A598" s="21" t="s">
        <v>705</v>
      </c>
      <c r="B598" s="36">
        <v>45591</v>
      </c>
      <c r="C598" s="22">
        <f>YEAR(Table1_1[[#This Row],[Order Date]])</f>
        <v>2024</v>
      </c>
      <c r="D598" s="22" t="str">
        <f>TEXT(Table1_1[[#This Row],[Order Date]],"MMMM")</f>
        <v>October</v>
      </c>
      <c r="E598" s="22" t="s">
        <v>48</v>
      </c>
      <c r="F598" s="22" t="s">
        <v>93</v>
      </c>
      <c r="G598" s="22" t="s">
        <v>69</v>
      </c>
      <c r="H598" s="22" t="s">
        <v>19</v>
      </c>
      <c r="I598" s="22" t="s">
        <v>70</v>
      </c>
      <c r="J598" s="22" t="s">
        <v>71</v>
      </c>
      <c r="K598" s="22" t="s">
        <v>72</v>
      </c>
      <c r="L598" s="22" t="s">
        <v>33</v>
      </c>
      <c r="M598" s="22" t="s">
        <v>24</v>
      </c>
      <c r="N598" s="22">
        <v>27</v>
      </c>
      <c r="O598" s="26">
        <v>3499</v>
      </c>
      <c r="P598" s="22">
        <v>0.12</v>
      </c>
      <c r="Q598" s="30">
        <v>2190</v>
      </c>
      <c r="R598" s="33">
        <f>Table1_1[[#This Row],[Units Sold]]*Table1_1[[#This Row],[Unit Price]]*1-Table1_1[[#This Row],[Discount]]</f>
        <v>94472.88</v>
      </c>
      <c r="S598" s="33">
        <f>Table1_1[[#This Row],[Units Sold]]*Table1_1[[#This Row],[Unit Cost]]</f>
        <v>59130</v>
      </c>
      <c r="T598" s="33">
        <f>Table1_1[[#This Row],[Sales Amount]]-S598</f>
        <v>35342.880000000005</v>
      </c>
      <c r="U598" s="32">
        <f>IFERROR(Table1_1[[#This Row],[Profit/loss]]/Table1_1[[#This Row],[Sales Amount]],0)</f>
        <v>0.3741060926691343</v>
      </c>
    </row>
    <row r="599" spans="1:21" ht="18" x14ac:dyDescent="0.35">
      <c r="A599" s="21" t="s">
        <v>706</v>
      </c>
      <c r="B599" s="36">
        <v>45591</v>
      </c>
      <c r="C599" s="22">
        <f>YEAR(Table1_1[[#This Row],[Order Date]])</f>
        <v>2024</v>
      </c>
      <c r="D599" s="22" t="str">
        <f>TEXT(Table1_1[[#This Row],[Order Date]],"MMMM")</f>
        <v>October</v>
      </c>
      <c r="E599" s="22" t="s">
        <v>16</v>
      </c>
      <c r="F599" s="22" t="s">
        <v>98</v>
      </c>
      <c r="G599" s="22" t="s">
        <v>18</v>
      </c>
      <c r="H599" s="22" t="s">
        <v>19</v>
      </c>
      <c r="I599" s="22" t="s">
        <v>54</v>
      </c>
      <c r="J599" s="22" t="s">
        <v>129</v>
      </c>
      <c r="K599" s="22" t="s">
        <v>145</v>
      </c>
      <c r="L599" s="22" t="s">
        <v>57</v>
      </c>
      <c r="M599" s="22" t="s">
        <v>24</v>
      </c>
      <c r="N599" s="22">
        <v>24</v>
      </c>
      <c r="O599" s="26">
        <v>31490</v>
      </c>
      <c r="P599" s="22">
        <v>0.1</v>
      </c>
      <c r="Q599" s="30">
        <v>21300</v>
      </c>
      <c r="R599" s="33">
        <f>Table1_1[[#This Row],[Units Sold]]*Table1_1[[#This Row],[Unit Price]]*1-Table1_1[[#This Row],[Discount]]</f>
        <v>755759.9</v>
      </c>
      <c r="S599" s="33">
        <f>Table1_1[[#This Row],[Units Sold]]*Table1_1[[#This Row],[Unit Cost]]</f>
        <v>511200</v>
      </c>
      <c r="T599" s="33">
        <f>Table1_1[[#This Row],[Sales Amount]]-S599</f>
        <v>244559.90000000002</v>
      </c>
      <c r="U599" s="32">
        <f>IFERROR(Table1_1[[#This Row],[Profit/loss]]/Table1_1[[#This Row],[Sales Amount]],0)</f>
        <v>0.32359470249744665</v>
      </c>
    </row>
    <row r="600" spans="1:21" ht="18" x14ac:dyDescent="0.35">
      <c r="A600" s="21" t="s">
        <v>707</v>
      </c>
      <c r="B600" s="36">
        <v>45591</v>
      </c>
      <c r="C600" s="22">
        <f>YEAR(Table1_1[[#This Row],[Order Date]])</f>
        <v>2024</v>
      </c>
      <c r="D600" s="22" t="str">
        <f>TEXT(Table1_1[[#This Row],[Order Date]],"MMMM")</f>
        <v>October</v>
      </c>
      <c r="E600" s="22" t="s">
        <v>26</v>
      </c>
      <c r="F600" s="22" t="s">
        <v>53</v>
      </c>
      <c r="G600" s="22" t="s">
        <v>18</v>
      </c>
      <c r="H600" s="22" t="s">
        <v>29</v>
      </c>
      <c r="I600" s="22" t="s">
        <v>20</v>
      </c>
      <c r="J600" s="22" t="s">
        <v>45</v>
      </c>
      <c r="K600" s="22" t="s">
        <v>196</v>
      </c>
      <c r="L600" s="22" t="s">
        <v>57</v>
      </c>
      <c r="M600" s="22" t="s">
        <v>24</v>
      </c>
      <c r="N600" s="22">
        <v>20</v>
      </c>
      <c r="O600" s="26">
        <v>2499</v>
      </c>
      <c r="P600" s="22">
        <v>0.2</v>
      </c>
      <c r="Q600" s="30">
        <v>1510</v>
      </c>
      <c r="R600" s="33">
        <f>Table1_1[[#This Row],[Units Sold]]*Table1_1[[#This Row],[Unit Price]]*1-Table1_1[[#This Row],[Discount]]</f>
        <v>49979.8</v>
      </c>
      <c r="S600" s="33">
        <f>Table1_1[[#This Row],[Units Sold]]*Table1_1[[#This Row],[Unit Cost]]</f>
        <v>30200</v>
      </c>
      <c r="T600" s="33">
        <f>Table1_1[[#This Row],[Sales Amount]]-S600</f>
        <v>19779.800000000003</v>
      </c>
      <c r="U600" s="32">
        <f>IFERROR(Table1_1[[#This Row],[Profit/loss]]/Table1_1[[#This Row],[Sales Amount]],0)</f>
        <v>0.39575588537769263</v>
      </c>
    </row>
    <row r="601" spans="1:21" ht="18" x14ac:dyDescent="0.35">
      <c r="A601" s="21" t="s">
        <v>708</v>
      </c>
      <c r="B601" s="36">
        <v>45593</v>
      </c>
      <c r="C601" s="22">
        <f>YEAR(Table1_1[[#This Row],[Order Date]])</f>
        <v>2024</v>
      </c>
      <c r="D601" s="22" t="str">
        <f>TEXT(Table1_1[[#This Row],[Order Date]],"MMMM")</f>
        <v>October</v>
      </c>
      <c r="E601" s="22" t="s">
        <v>48</v>
      </c>
      <c r="F601" s="22" t="s">
        <v>68</v>
      </c>
      <c r="G601" s="22" t="s">
        <v>60</v>
      </c>
      <c r="H601" s="22" t="s">
        <v>39</v>
      </c>
      <c r="I601" s="22" t="s">
        <v>20</v>
      </c>
      <c r="J601" s="22" t="s">
        <v>45</v>
      </c>
      <c r="K601" s="22" t="s">
        <v>1618</v>
      </c>
      <c r="L601" s="22" t="s">
        <v>57</v>
      </c>
      <c r="M601" s="22" t="s">
        <v>24</v>
      </c>
      <c r="N601" s="22">
        <v>16</v>
      </c>
      <c r="O601" s="26">
        <v>1899</v>
      </c>
      <c r="P601" s="22">
        <v>0.12</v>
      </c>
      <c r="Q601" s="30">
        <v>1080</v>
      </c>
      <c r="R601" s="33">
        <f>Table1_1[[#This Row],[Units Sold]]*Table1_1[[#This Row],[Unit Price]]*1-Table1_1[[#This Row],[Discount]]</f>
        <v>30383.88</v>
      </c>
      <c r="S601" s="33">
        <f>Table1_1[[#This Row],[Units Sold]]*Table1_1[[#This Row],[Unit Cost]]</f>
        <v>17280</v>
      </c>
      <c r="T601" s="33">
        <f>Table1_1[[#This Row],[Sales Amount]]-S601</f>
        <v>13103.880000000001</v>
      </c>
      <c r="U601" s="32">
        <f>IFERROR(Table1_1[[#This Row],[Profit/loss]]/Table1_1[[#This Row],[Sales Amount]],0)</f>
        <v>0.43127737471317029</v>
      </c>
    </row>
    <row r="602" spans="1:21" ht="18" x14ac:dyDescent="0.35">
      <c r="A602" s="21" t="s">
        <v>709</v>
      </c>
      <c r="B602" s="36">
        <v>45593</v>
      </c>
      <c r="C602" s="22">
        <f>YEAR(Table1_1[[#This Row],[Order Date]])</f>
        <v>2024</v>
      </c>
      <c r="D602" s="22" t="str">
        <f>TEXT(Table1_1[[#This Row],[Order Date]],"MMMM")</f>
        <v>October</v>
      </c>
      <c r="E602" s="22" t="s">
        <v>82</v>
      </c>
      <c r="F602" s="22" t="s">
        <v>87</v>
      </c>
      <c r="G602" s="22" t="s">
        <v>18</v>
      </c>
      <c r="H602" s="22" t="s">
        <v>29</v>
      </c>
      <c r="I602" s="22" t="s">
        <v>40</v>
      </c>
      <c r="J602" s="22" t="s">
        <v>41</v>
      </c>
      <c r="K602" s="22" t="s">
        <v>1628</v>
      </c>
      <c r="L602" s="22" t="s">
        <v>57</v>
      </c>
      <c r="M602" s="22" t="s">
        <v>34</v>
      </c>
      <c r="N602" s="22">
        <v>27</v>
      </c>
      <c r="O602" s="26">
        <v>48500</v>
      </c>
      <c r="P602" s="22">
        <v>0.1</v>
      </c>
      <c r="Q602" s="30">
        <v>30200</v>
      </c>
      <c r="R602" s="33">
        <f>Table1_1[[#This Row],[Units Sold]]*Table1_1[[#This Row],[Unit Price]]*1-Table1_1[[#This Row],[Discount]]</f>
        <v>1309499.8999999999</v>
      </c>
      <c r="S602" s="33">
        <f>Table1_1[[#This Row],[Units Sold]]*Table1_1[[#This Row],[Unit Cost]]</f>
        <v>815400</v>
      </c>
      <c r="T602" s="33">
        <f>Table1_1[[#This Row],[Sales Amount]]-S602</f>
        <v>494099.89999999991</v>
      </c>
      <c r="U602" s="32">
        <f>IFERROR(Table1_1[[#This Row],[Profit/loss]]/Table1_1[[#This Row],[Sales Amount]],0)</f>
        <v>0.37731954007785717</v>
      </c>
    </row>
    <row r="603" spans="1:21" ht="18" x14ac:dyDescent="0.35">
      <c r="A603" s="21" t="s">
        <v>710</v>
      </c>
      <c r="B603" s="36">
        <v>45594</v>
      </c>
      <c r="C603" s="22">
        <f>YEAR(Table1_1[[#This Row],[Order Date]])</f>
        <v>2024</v>
      </c>
      <c r="D603" s="22" t="str">
        <f>TEXT(Table1_1[[#This Row],[Order Date]],"MMMM")</f>
        <v>October</v>
      </c>
      <c r="E603" s="22" t="s">
        <v>48</v>
      </c>
      <c r="F603" s="22" t="s">
        <v>49</v>
      </c>
      <c r="G603" s="22" t="s">
        <v>101</v>
      </c>
      <c r="H603" s="22" t="s">
        <v>29</v>
      </c>
      <c r="I603" s="22" t="s">
        <v>54</v>
      </c>
      <c r="J603" s="22" t="s">
        <v>55</v>
      </c>
      <c r="K603" s="22" t="s">
        <v>1623</v>
      </c>
      <c r="L603" s="22" t="s">
        <v>33</v>
      </c>
      <c r="M603" s="22" t="s">
        <v>66</v>
      </c>
      <c r="N603" s="22">
        <v>35</v>
      </c>
      <c r="O603" s="26">
        <v>5890</v>
      </c>
      <c r="P603" s="22">
        <v>0.05</v>
      </c>
      <c r="Q603" s="30">
        <v>3980</v>
      </c>
      <c r="R603" s="33">
        <f>Table1_1[[#This Row],[Units Sold]]*Table1_1[[#This Row],[Unit Price]]*1-Table1_1[[#This Row],[Discount]]</f>
        <v>206149.95</v>
      </c>
      <c r="S603" s="33">
        <f>Table1_1[[#This Row],[Units Sold]]*Table1_1[[#This Row],[Unit Cost]]</f>
        <v>139300</v>
      </c>
      <c r="T603" s="33">
        <f>Table1_1[[#This Row],[Sales Amount]]-S603</f>
        <v>66849.950000000012</v>
      </c>
      <c r="U603" s="32">
        <f>IFERROR(Table1_1[[#This Row],[Profit/loss]]/Table1_1[[#This Row],[Sales Amount]],0)</f>
        <v>0.32427827413977062</v>
      </c>
    </row>
    <row r="604" spans="1:21" ht="18" x14ac:dyDescent="0.35">
      <c r="A604" s="21" t="s">
        <v>711</v>
      </c>
      <c r="B604" s="36">
        <v>45594</v>
      </c>
      <c r="C604" s="22">
        <f>YEAR(Table1_1[[#This Row],[Order Date]])</f>
        <v>2024</v>
      </c>
      <c r="D604" s="22" t="str">
        <f>TEXT(Table1_1[[#This Row],[Order Date]],"MMMM")</f>
        <v>October</v>
      </c>
      <c r="E604" s="22" t="s">
        <v>26</v>
      </c>
      <c r="F604" s="22" t="s">
        <v>27</v>
      </c>
      <c r="G604" s="22" t="s">
        <v>69</v>
      </c>
      <c r="H604" s="22" t="s">
        <v>19</v>
      </c>
      <c r="I604" s="22" t="s">
        <v>70</v>
      </c>
      <c r="J604" s="22" t="s">
        <v>71</v>
      </c>
      <c r="K604" s="22" t="s">
        <v>80</v>
      </c>
      <c r="L604" s="22" t="s">
        <v>33</v>
      </c>
      <c r="M604" s="22" t="s">
        <v>34</v>
      </c>
      <c r="N604" s="22">
        <v>26</v>
      </c>
      <c r="O604" s="26">
        <v>1299</v>
      </c>
      <c r="P604" s="22">
        <v>0.18</v>
      </c>
      <c r="Q604" s="30">
        <v>720</v>
      </c>
      <c r="R604" s="33">
        <f>Table1_1[[#This Row],[Units Sold]]*Table1_1[[#This Row],[Unit Price]]*1-Table1_1[[#This Row],[Discount]]</f>
        <v>33773.82</v>
      </c>
      <c r="S604" s="33">
        <f>Table1_1[[#This Row],[Units Sold]]*Table1_1[[#This Row],[Unit Cost]]</f>
        <v>18720</v>
      </c>
      <c r="T604" s="33">
        <f>Table1_1[[#This Row],[Sales Amount]]-S604</f>
        <v>15053.82</v>
      </c>
      <c r="U604" s="32">
        <f>IFERROR(Table1_1[[#This Row],[Profit/loss]]/Table1_1[[#This Row],[Sales Amount]],0)</f>
        <v>0.44572452864378387</v>
      </c>
    </row>
    <row r="605" spans="1:21" ht="18" x14ac:dyDescent="0.35">
      <c r="A605" s="21" t="s">
        <v>712</v>
      </c>
      <c r="B605" s="36">
        <v>45595</v>
      </c>
      <c r="C605" s="22">
        <f>YEAR(Table1_1[[#This Row],[Order Date]])</f>
        <v>2024</v>
      </c>
      <c r="D605" s="22" t="str">
        <f>TEXT(Table1_1[[#This Row],[Order Date]],"MMMM")</f>
        <v>October</v>
      </c>
      <c r="E605" s="22" t="s">
        <v>26</v>
      </c>
      <c r="F605" s="22" t="s">
        <v>53</v>
      </c>
      <c r="G605" s="22" t="s">
        <v>69</v>
      </c>
      <c r="H605" s="22" t="s">
        <v>29</v>
      </c>
      <c r="I605" s="22" t="s">
        <v>70</v>
      </c>
      <c r="J605" s="22" t="s">
        <v>71</v>
      </c>
      <c r="K605" s="22" t="s">
        <v>88</v>
      </c>
      <c r="L605" s="22" t="s">
        <v>23</v>
      </c>
      <c r="M605" s="22" t="s">
        <v>34</v>
      </c>
      <c r="N605" s="22">
        <v>30</v>
      </c>
      <c r="O605" s="26">
        <v>999</v>
      </c>
      <c r="P605" s="22">
        <v>0.12</v>
      </c>
      <c r="Q605" s="30">
        <v>540</v>
      </c>
      <c r="R605" s="33">
        <f>Table1_1[[#This Row],[Units Sold]]*Table1_1[[#This Row],[Unit Price]]*1-Table1_1[[#This Row],[Discount]]</f>
        <v>29969.88</v>
      </c>
      <c r="S605" s="33">
        <f>Table1_1[[#This Row],[Units Sold]]*Table1_1[[#This Row],[Unit Cost]]</f>
        <v>16200</v>
      </c>
      <c r="T605" s="33">
        <f>Table1_1[[#This Row],[Sales Amount]]-S605</f>
        <v>13769.880000000001</v>
      </c>
      <c r="U605" s="32">
        <f>IFERROR(Table1_1[[#This Row],[Profit/loss]]/Table1_1[[#This Row],[Sales Amount]],0)</f>
        <v>0.45945729512430483</v>
      </c>
    </row>
    <row r="606" spans="1:21" ht="18" x14ac:dyDescent="0.35">
      <c r="A606" s="21" t="s">
        <v>713</v>
      </c>
      <c r="B606" s="36">
        <v>45595</v>
      </c>
      <c r="C606" s="22">
        <f>YEAR(Table1_1[[#This Row],[Order Date]])</f>
        <v>2024</v>
      </c>
      <c r="D606" s="22" t="str">
        <f>TEXT(Table1_1[[#This Row],[Order Date]],"MMMM")</f>
        <v>October</v>
      </c>
      <c r="E606" s="22" t="s">
        <v>48</v>
      </c>
      <c r="F606" s="22" t="s">
        <v>136</v>
      </c>
      <c r="G606" s="22" t="s">
        <v>69</v>
      </c>
      <c r="H606" s="22" t="s">
        <v>39</v>
      </c>
      <c r="I606" s="22" t="s">
        <v>40</v>
      </c>
      <c r="J606" s="22" t="s">
        <v>64</v>
      </c>
      <c r="K606" s="22" t="s">
        <v>1619</v>
      </c>
      <c r="L606" s="22" t="s">
        <v>57</v>
      </c>
      <c r="M606" s="22" t="s">
        <v>34</v>
      </c>
      <c r="N606" s="22">
        <v>24</v>
      </c>
      <c r="O606" s="26">
        <v>1930</v>
      </c>
      <c r="P606" s="22">
        <v>0.15</v>
      </c>
      <c r="Q606" s="30">
        <v>1120</v>
      </c>
      <c r="R606" s="33">
        <f>Table1_1[[#This Row],[Units Sold]]*Table1_1[[#This Row],[Unit Price]]*1-Table1_1[[#This Row],[Discount]]</f>
        <v>46319.85</v>
      </c>
      <c r="S606" s="33">
        <f>Table1_1[[#This Row],[Units Sold]]*Table1_1[[#This Row],[Unit Cost]]</f>
        <v>26880</v>
      </c>
      <c r="T606" s="33">
        <f>Table1_1[[#This Row],[Sales Amount]]-S606</f>
        <v>19439.849999999999</v>
      </c>
      <c r="U606" s="32">
        <f>IFERROR(Table1_1[[#This Row],[Profit/loss]]/Table1_1[[#This Row],[Sales Amount]],0)</f>
        <v>0.41968723991981838</v>
      </c>
    </row>
    <row r="607" spans="1:21" ht="18" x14ac:dyDescent="0.35">
      <c r="A607" s="21" t="s">
        <v>714</v>
      </c>
      <c r="B607" s="36">
        <v>45595</v>
      </c>
      <c r="C607" s="22">
        <f>YEAR(Table1_1[[#This Row],[Order Date]])</f>
        <v>2024</v>
      </c>
      <c r="D607" s="22" t="str">
        <f>TEXT(Table1_1[[#This Row],[Order Date]],"MMMM")</f>
        <v>October</v>
      </c>
      <c r="E607" s="22" t="s">
        <v>26</v>
      </c>
      <c r="F607" s="22" t="s">
        <v>163</v>
      </c>
      <c r="G607" s="22" t="s">
        <v>28</v>
      </c>
      <c r="H607" s="22" t="s">
        <v>39</v>
      </c>
      <c r="I607" s="22" t="s">
        <v>40</v>
      </c>
      <c r="J607" s="22" t="s">
        <v>64</v>
      </c>
      <c r="K607" s="22" t="s">
        <v>1619</v>
      </c>
      <c r="L607" s="22" t="s">
        <v>23</v>
      </c>
      <c r="M607" s="22" t="s">
        <v>24</v>
      </c>
      <c r="N607" s="22">
        <v>26</v>
      </c>
      <c r="O607" s="26">
        <v>1930</v>
      </c>
      <c r="P607" s="22">
        <v>0.05</v>
      </c>
      <c r="Q607" s="30">
        <v>1120</v>
      </c>
      <c r="R607" s="33">
        <f>Table1_1[[#This Row],[Units Sold]]*Table1_1[[#This Row],[Unit Price]]*1-Table1_1[[#This Row],[Discount]]</f>
        <v>50179.95</v>
      </c>
      <c r="S607" s="33">
        <f>Table1_1[[#This Row],[Units Sold]]*Table1_1[[#This Row],[Unit Cost]]</f>
        <v>29120</v>
      </c>
      <c r="T607" s="33">
        <f>Table1_1[[#This Row],[Sales Amount]]-S607</f>
        <v>21059.949999999997</v>
      </c>
      <c r="U607" s="32">
        <f>IFERROR(Table1_1[[#This Row],[Profit/loss]]/Table1_1[[#This Row],[Sales Amount]],0)</f>
        <v>0.41968854094115277</v>
      </c>
    </row>
    <row r="608" spans="1:21" ht="18" x14ac:dyDescent="0.35">
      <c r="A608" s="21" t="s">
        <v>715</v>
      </c>
      <c r="B608" s="36">
        <v>45596</v>
      </c>
      <c r="C608" s="22">
        <f>YEAR(Table1_1[[#This Row],[Order Date]])</f>
        <v>2024</v>
      </c>
      <c r="D608" s="22" t="str">
        <f>TEXT(Table1_1[[#This Row],[Order Date]],"MMMM")</f>
        <v>October</v>
      </c>
      <c r="E608" s="22" t="s">
        <v>36</v>
      </c>
      <c r="F608" s="22" t="s">
        <v>44</v>
      </c>
      <c r="G608" s="22" t="s">
        <v>75</v>
      </c>
      <c r="H608" s="22" t="s">
        <v>39</v>
      </c>
      <c r="I608" s="22" t="s">
        <v>54</v>
      </c>
      <c r="J608" s="22" t="s">
        <v>55</v>
      </c>
      <c r="K608" s="22" t="s">
        <v>56</v>
      </c>
      <c r="L608" s="22" t="s">
        <v>33</v>
      </c>
      <c r="M608" s="22" t="s">
        <v>34</v>
      </c>
      <c r="N608" s="22">
        <v>34</v>
      </c>
      <c r="O608" s="26">
        <v>7299</v>
      </c>
      <c r="P608" s="22">
        <v>0.15</v>
      </c>
      <c r="Q608" s="30">
        <v>5010</v>
      </c>
      <c r="R608" s="33">
        <f>Table1_1[[#This Row],[Units Sold]]*Table1_1[[#This Row],[Unit Price]]*1-Table1_1[[#This Row],[Discount]]</f>
        <v>248165.85</v>
      </c>
      <c r="S608" s="33">
        <f>Table1_1[[#This Row],[Units Sold]]*Table1_1[[#This Row],[Unit Cost]]</f>
        <v>170340</v>
      </c>
      <c r="T608" s="33">
        <f>Table1_1[[#This Row],[Sales Amount]]-S608</f>
        <v>77825.850000000006</v>
      </c>
      <c r="U608" s="32">
        <f>IFERROR(Table1_1[[#This Row],[Profit/loss]]/Table1_1[[#This Row],[Sales Amount]],0)</f>
        <v>0.31360418848927041</v>
      </c>
    </row>
    <row r="609" spans="1:21" ht="18" x14ac:dyDescent="0.35">
      <c r="A609" s="21" t="s">
        <v>716</v>
      </c>
      <c r="B609" s="36">
        <v>45596</v>
      </c>
      <c r="C609" s="22">
        <f>YEAR(Table1_1[[#This Row],[Order Date]])</f>
        <v>2024</v>
      </c>
      <c r="D609" s="22" t="str">
        <f>TEXT(Table1_1[[#This Row],[Order Date]],"MMMM")</f>
        <v>October</v>
      </c>
      <c r="E609" s="22" t="s">
        <v>36</v>
      </c>
      <c r="F609" s="22" t="s">
        <v>37</v>
      </c>
      <c r="G609" s="22" t="s">
        <v>84</v>
      </c>
      <c r="H609" s="22" t="s">
        <v>39</v>
      </c>
      <c r="I609" s="22" t="s">
        <v>20</v>
      </c>
      <c r="J609" s="22" t="s">
        <v>45</v>
      </c>
      <c r="K609" s="22" t="s">
        <v>1622</v>
      </c>
      <c r="L609" s="22" t="s">
        <v>57</v>
      </c>
      <c r="M609" s="22" t="s">
        <v>24</v>
      </c>
      <c r="N609" s="22">
        <v>21</v>
      </c>
      <c r="O609" s="26">
        <v>1599</v>
      </c>
      <c r="P609" s="22">
        <v>0.1</v>
      </c>
      <c r="Q609" s="30">
        <v>920</v>
      </c>
      <c r="R609" s="33">
        <f>Table1_1[[#This Row],[Units Sold]]*Table1_1[[#This Row],[Unit Price]]*1-Table1_1[[#This Row],[Discount]]</f>
        <v>33578.9</v>
      </c>
      <c r="S609" s="33">
        <f>Table1_1[[#This Row],[Units Sold]]*Table1_1[[#This Row],[Unit Cost]]</f>
        <v>19320</v>
      </c>
      <c r="T609" s="33">
        <f>Table1_1[[#This Row],[Sales Amount]]-S609</f>
        <v>14258.900000000001</v>
      </c>
      <c r="U609" s="32">
        <f>IFERROR(Table1_1[[#This Row],[Profit/loss]]/Table1_1[[#This Row],[Sales Amount]],0)</f>
        <v>0.42463868679438577</v>
      </c>
    </row>
    <row r="610" spans="1:21" ht="18" x14ac:dyDescent="0.35">
      <c r="A610" s="21" t="s">
        <v>717</v>
      </c>
      <c r="B610" s="36">
        <v>45596</v>
      </c>
      <c r="C610" s="22">
        <f>YEAR(Table1_1[[#This Row],[Order Date]])</f>
        <v>2024</v>
      </c>
      <c r="D610" s="22" t="str">
        <f>TEXT(Table1_1[[#This Row],[Order Date]],"MMMM")</f>
        <v>October</v>
      </c>
      <c r="E610" s="22" t="s">
        <v>16</v>
      </c>
      <c r="F610" s="22" t="s">
        <v>111</v>
      </c>
      <c r="G610" s="22" t="s">
        <v>50</v>
      </c>
      <c r="H610" s="22" t="s">
        <v>29</v>
      </c>
      <c r="I610" s="22" t="s">
        <v>40</v>
      </c>
      <c r="J610" s="22" t="s">
        <v>41</v>
      </c>
      <c r="K610" s="22" t="s">
        <v>1628</v>
      </c>
      <c r="L610" s="22" t="s">
        <v>23</v>
      </c>
      <c r="M610" s="22" t="s">
        <v>66</v>
      </c>
      <c r="N610" s="22">
        <v>9</v>
      </c>
      <c r="O610" s="26">
        <v>48500</v>
      </c>
      <c r="P610" s="22">
        <v>0.2</v>
      </c>
      <c r="Q610" s="30">
        <v>30200</v>
      </c>
      <c r="R610" s="33">
        <f>Table1_1[[#This Row],[Units Sold]]*Table1_1[[#This Row],[Unit Price]]*1-Table1_1[[#This Row],[Discount]]</f>
        <v>436499.8</v>
      </c>
      <c r="S610" s="33">
        <f>Table1_1[[#This Row],[Units Sold]]*Table1_1[[#This Row],[Unit Cost]]</f>
        <v>271800</v>
      </c>
      <c r="T610" s="33">
        <f>Table1_1[[#This Row],[Sales Amount]]-S610</f>
        <v>164699.79999999999</v>
      </c>
      <c r="U610" s="32">
        <f>IFERROR(Table1_1[[#This Row],[Profit/loss]]/Table1_1[[#This Row],[Sales Amount]],0)</f>
        <v>0.37731930232270439</v>
      </c>
    </row>
    <row r="611" spans="1:21" ht="18" x14ac:dyDescent="0.35">
      <c r="A611" s="21" t="s">
        <v>718</v>
      </c>
      <c r="B611" s="36">
        <v>45597</v>
      </c>
      <c r="C611" s="22">
        <f>YEAR(Table1_1[[#This Row],[Order Date]])</f>
        <v>2024</v>
      </c>
      <c r="D611" s="22" t="str">
        <f>TEXT(Table1_1[[#This Row],[Order Date]],"MMMM")</f>
        <v>November</v>
      </c>
      <c r="E611" s="22" t="s">
        <v>16</v>
      </c>
      <c r="F611" s="22" t="s">
        <v>98</v>
      </c>
      <c r="G611" s="22" t="s">
        <v>28</v>
      </c>
      <c r="H611" s="22" t="s">
        <v>19</v>
      </c>
      <c r="I611" s="22" t="s">
        <v>54</v>
      </c>
      <c r="J611" s="22" t="s">
        <v>90</v>
      </c>
      <c r="K611" s="22" t="s">
        <v>1625</v>
      </c>
      <c r="L611" s="22" t="s">
        <v>57</v>
      </c>
      <c r="M611" s="22" t="s">
        <v>24</v>
      </c>
      <c r="N611" s="22">
        <v>22</v>
      </c>
      <c r="O611" s="26">
        <v>32800</v>
      </c>
      <c r="P611" s="22">
        <v>0.1</v>
      </c>
      <c r="Q611" s="30">
        <v>23100</v>
      </c>
      <c r="R611" s="33">
        <f>Table1_1[[#This Row],[Units Sold]]*Table1_1[[#This Row],[Unit Price]]*1-Table1_1[[#This Row],[Discount]]</f>
        <v>721599.9</v>
      </c>
      <c r="S611" s="33">
        <f>Table1_1[[#This Row],[Units Sold]]*Table1_1[[#This Row],[Unit Cost]]</f>
        <v>508200</v>
      </c>
      <c r="T611" s="33">
        <f>Table1_1[[#This Row],[Sales Amount]]-S611</f>
        <v>213399.90000000002</v>
      </c>
      <c r="U611" s="32">
        <f>IFERROR(Table1_1[[#This Row],[Profit/loss]]/Table1_1[[#This Row],[Sales Amount]],0)</f>
        <v>0.29573160971890383</v>
      </c>
    </row>
    <row r="612" spans="1:21" ht="18" x14ac:dyDescent="0.35">
      <c r="A612" s="21" t="s">
        <v>719</v>
      </c>
      <c r="B612" s="36">
        <v>45597</v>
      </c>
      <c r="C612" s="22">
        <f>YEAR(Table1_1[[#This Row],[Order Date]])</f>
        <v>2024</v>
      </c>
      <c r="D612" s="22" t="str">
        <f>TEXT(Table1_1[[#This Row],[Order Date]],"MMMM")</f>
        <v>November</v>
      </c>
      <c r="E612" s="22" t="s">
        <v>48</v>
      </c>
      <c r="F612" s="22" t="s">
        <v>136</v>
      </c>
      <c r="G612" s="22" t="s">
        <v>60</v>
      </c>
      <c r="H612" s="22" t="s">
        <v>39</v>
      </c>
      <c r="I612" s="22" t="s">
        <v>30</v>
      </c>
      <c r="J612" s="22" t="s">
        <v>61</v>
      </c>
      <c r="K612" s="22" t="s">
        <v>96</v>
      </c>
      <c r="L612" s="22" t="s">
        <v>33</v>
      </c>
      <c r="M612" s="22" t="s">
        <v>78</v>
      </c>
      <c r="N612" s="22">
        <v>27</v>
      </c>
      <c r="O612" s="26">
        <v>25110</v>
      </c>
      <c r="P612" s="22">
        <v>0.15</v>
      </c>
      <c r="Q612" s="30">
        <v>16730</v>
      </c>
      <c r="R612" s="33">
        <f>Table1_1[[#This Row],[Units Sold]]*Table1_1[[#This Row],[Unit Price]]*1-Table1_1[[#This Row],[Discount]]</f>
        <v>677969.85</v>
      </c>
      <c r="S612" s="33">
        <f>Table1_1[[#This Row],[Units Sold]]*Table1_1[[#This Row],[Unit Cost]]</f>
        <v>451710</v>
      </c>
      <c r="T612" s="33">
        <f>Table1_1[[#This Row],[Sales Amount]]-S612</f>
        <v>226259.84999999998</v>
      </c>
      <c r="U612" s="32">
        <f>IFERROR(Table1_1[[#This Row],[Profit/loss]]/Table1_1[[#This Row],[Sales Amount]],0)</f>
        <v>0.33373143363233626</v>
      </c>
    </row>
    <row r="613" spans="1:21" ht="18" x14ac:dyDescent="0.35">
      <c r="A613" s="21" t="s">
        <v>720</v>
      </c>
      <c r="B613" s="36">
        <v>45597</v>
      </c>
      <c r="C613" s="22">
        <f>YEAR(Table1_1[[#This Row],[Order Date]])</f>
        <v>2024</v>
      </c>
      <c r="D613" s="22" t="str">
        <f>TEXT(Table1_1[[#This Row],[Order Date]],"MMMM")</f>
        <v>November</v>
      </c>
      <c r="E613" s="22" t="s">
        <v>26</v>
      </c>
      <c r="F613" s="22" t="s">
        <v>163</v>
      </c>
      <c r="G613" s="22" t="s">
        <v>69</v>
      </c>
      <c r="H613" s="22" t="s">
        <v>39</v>
      </c>
      <c r="I613" s="22" t="s">
        <v>70</v>
      </c>
      <c r="J613" s="22" t="s">
        <v>71</v>
      </c>
      <c r="K613" s="22" t="s">
        <v>88</v>
      </c>
      <c r="L613" s="22" t="s">
        <v>23</v>
      </c>
      <c r="M613" s="22" t="s">
        <v>24</v>
      </c>
      <c r="N613" s="22">
        <v>16</v>
      </c>
      <c r="O613" s="26">
        <v>999</v>
      </c>
      <c r="P613" s="22">
        <v>0.18</v>
      </c>
      <c r="Q613" s="30">
        <v>540</v>
      </c>
      <c r="R613" s="33">
        <f>Table1_1[[#This Row],[Units Sold]]*Table1_1[[#This Row],[Unit Price]]*1-Table1_1[[#This Row],[Discount]]</f>
        <v>15983.82</v>
      </c>
      <c r="S613" s="33">
        <f>Table1_1[[#This Row],[Units Sold]]*Table1_1[[#This Row],[Unit Cost]]</f>
        <v>8640</v>
      </c>
      <c r="T613" s="33">
        <f>Table1_1[[#This Row],[Sales Amount]]-S613</f>
        <v>7343.82</v>
      </c>
      <c r="U613" s="32">
        <f>IFERROR(Table1_1[[#This Row],[Profit/loss]]/Table1_1[[#This Row],[Sales Amount]],0)</f>
        <v>0.45945337222266014</v>
      </c>
    </row>
    <row r="614" spans="1:21" ht="18" x14ac:dyDescent="0.35">
      <c r="A614" s="21" t="s">
        <v>721</v>
      </c>
      <c r="B614" s="36">
        <v>45597</v>
      </c>
      <c r="C614" s="22">
        <f>YEAR(Table1_1[[#This Row],[Order Date]])</f>
        <v>2024</v>
      </c>
      <c r="D614" s="22" t="str">
        <f>TEXT(Table1_1[[#This Row],[Order Date]],"MMMM")</f>
        <v>November</v>
      </c>
      <c r="E614" s="22" t="s">
        <v>26</v>
      </c>
      <c r="F614" s="22" t="s">
        <v>53</v>
      </c>
      <c r="G614" s="22" t="s">
        <v>105</v>
      </c>
      <c r="H614" s="22" t="s">
        <v>39</v>
      </c>
      <c r="I614" s="22" t="s">
        <v>20</v>
      </c>
      <c r="J614" s="22" t="s">
        <v>21</v>
      </c>
      <c r="K614" s="22" t="s">
        <v>22</v>
      </c>
      <c r="L614" s="22" t="s">
        <v>57</v>
      </c>
      <c r="M614" s="22" t="s">
        <v>66</v>
      </c>
      <c r="N614" s="22">
        <v>28</v>
      </c>
      <c r="O614" s="26">
        <v>4499</v>
      </c>
      <c r="P614" s="22">
        <v>0.18</v>
      </c>
      <c r="Q614" s="30">
        <v>2910</v>
      </c>
      <c r="R614" s="33">
        <f>Table1_1[[#This Row],[Units Sold]]*Table1_1[[#This Row],[Unit Price]]*1-Table1_1[[#This Row],[Discount]]</f>
        <v>125971.82</v>
      </c>
      <c r="S614" s="33">
        <f>Table1_1[[#This Row],[Units Sold]]*Table1_1[[#This Row],[Unit Cost]]</f>
        <v>81480</v>
      </c>
      <c r="T614" s="33">
        <f>Table1_1[[#This Row],[Sales Amount]]-S614</f>
        <v>44491.820000000007</v>
      </c>
      <c r="U614" s="32">
        <f>IFERROR(Table1_1[[#This Row],[Profit/loss]]/Table1_1[[#This Row],[Sales Amount]],0)</f>
        <v>0.35318867346681188</v>
      </c>
    </row>
    <row r="615" spans="1:21" ht="18" x14ac:dyDescent="0.35">
      <c r="A615" s="21" t="s">
        <v>722</v>
      </c>
      <c r="B615" s="36">
        <v>45599</v>
      </c>
      <c r="C615" s="22">
        <f>YEAR(Table1_1[[#This Row],[Order Date]])</f>
        <v>2024</v>
      </c>
      <c r="D615" s="22" t="str">
        <f>TEXT(Table1_1[[#This Row],[Order Date]],"MMMM")</f>
        <v>November</v>
      </c>
      <c r="E615" s="22" t="s">
        <v>16</v>
      </c>
      <c r="F615" s="22" t="s">
        <v>126</v>
      </c>
      <c r="G615" s="22" t="s">
        <v>105</v>
      </c>
      <c r="H615" s="22" t="s">
        <v>29</v>
      </c>
      <c r="I615" s="22" t="s">
        <v>54</v>
      </c>
      <c r="J615" s="22" t="s">
        <v>90</v>
      </c>
      <c r="K615" s="22" t="s">
        <v>1621</v>
      </c>
      <c r="L615" s="22" t="s">
        <v>33</v>
      </c>
      <c r="M615" s="22" t="s">
        <v>24</v>
      </c>
      <c r="N615" s="22">
        <v>36</v>
      </c>
      <c r="O615" s="26">
        <v>31990</v>
      </c>
      <c r="P615" s="22">
        <v>0.15</v>
      </c>
      <c r="Q615" s="30">
        <v>21800</v>
      </c>
      <c r="R615" s="33">
        <f>Table1_1[[#This Row],[Units Sold]]*Table1_1[[#This Row],[Unit Price]]*1-Table1_1[[#This Row],[Discount]]</f>
        <v>1151639.8500000001</v>
      </c>
      <c r="S615" s="33">
        <f>Table1_1[[#This Row],[Units Sold]]*Table1_1[[#This Row],[Unit Cost]]</f>
        <v>784800</v>
      </c>
      <c r="T615" s="33">
        <f>Table1_1[[#This Row],[Sales Amount]]-S615</f>
        <v>366839.85000000009</v>
      </c>
      <c r="U615" s="32">
        <f>IFERROR(Table1_1[[#This Row],[Profit/loss]]/Table1_1[[#This Row],[Sales Amount]],0)</f>
        <v>0.31853695406597826</v>
      </c>
    </row>
    <row r="616" spans="1:21" ht="18" x14ac:dyDescent="0.35">
      <c r="A616" s="21" t="s">
        <v>723</v>
      </c>
      <c r="B616" s="36">
        <v>45599</v>
      </c>
      <c r="C616" s="22">
        <f>YEAR(Table1_1[[#This Row],[Order Date]])</f>
        <v>2024</v>
      </c>
      <c r="D616" s="22" t="str">
        <f>TEXT(Table1_1[[#This Row],[Order Date]],"MMMM")</f>
        <v>November</v>
      </c>
      <c r="E616" s="22" t="s">
        <v>36</v>
      </c>
      <c r="F616" s="22" t="s">
        <v>44</v>
      </c>
      <c r="G616" s="22" t="s">
        <v>38</v>
      </c>
      <c r="H616" s="22" t="s">
        <v>29</v>
      </c>
      <c r="I616" s="22" t="s">
        <v>70</v>
      </c>
      <c r="J616" s="22" t="s">
        <v>71</v>
      </c>
      <c r="K616" s="22" t="s">
        <v>88</v>
      </c>
      <c r="L616" s="22" t="s">
        <v>33</v>
      </c>
      <c r="M616" s="22" t="s">
        <v>24</v>
      </c>
      <c r="N616" s="22">
        <v>25</v>
      </c>
      <c r="O616" s="26">
        <v>999</v>
      </c>
      <c r="P616" s="22">
        <v>0.18</v>
      </c>
      <c r="Q616" s="30">
        <v>540</v>
      </c>
      <c r="R616" s="33">
        <f>Table1_1[[#This Row],[Units Sold]]*Table1_1[[#This Row],[Unit Price]]*1-Table1_1[[#This Row],[Discount]]</f>
        <v>24974.82</v>
      </c>
      <c r="S616" s="33">
        <f>Table1_1[[#This Row],[Units Sold]]*Table1_1[[#This Row],[Unit Cost]]</f>
        <v>13500</v>
      </c>
      <c r="T616" s="33">
        <f>Table1_1[[#This Row],[Sales Amount]]-S616</f>
        <v>11474.82</v>
      </c>
      <c r="U616" s="32">
        <f>IFERROR(Table1_1[[#This Row],[Profit/loss]]/Table1_1[[#This Row],[Sales Amount]],0)</f>
        <v>0.45945556364370194</v>
      </c>
    </row>
    <row r="617" spans="1:21" ht="18" x14ac:dyDescent="0.35">
      <c r="A617" s="21" t="s">
        <v>724</v>
      </c>
      <c r="B617" s="36">
        <v>45600</v>
      </c>
      <c r="C617" s="22">
        <f>YEAR(Table1_1[[#This Row],[Order Date]])</f>
        <v>2024</v>
      </c>
      <c r="D617" s="22" t="str">
        <f>TEXT(Table1_1[[#This Row],[Order Date]],"MMMM")</f>
        <v>November</v>
      </c>
      <c r="E617" s="22" t="s">
        <v>48</v>
      </c>
      <c r="F617" s="22" t="s">
        <v>93</v>
      </c>
      <c r="G617" s="22" t="s">
        <v>28</v>
      </c>
      <c r="H617" s="22" t="s">
        <v>29</v>
      </c>
      <c r="I617" s="22" t="s">
        <v>30</v>
      </c>
      <c r="J617" s="22" t="s">
        <v>31</v>
      </c>
      <c r="K617" s="22" t="s">
        <v>32</v>
      </c>
      <c r="L617" s="22" t="s">
        <v>57</v>
      </c>
      <c r="M617" s="22" t="s">
        <v>78</v>
      </c>
      <c r="N617" s="22">
        <v>35</v>
      </c>
      <c r="O617" s="26">
        <v>38990</v>
      </c>
      <c r="P617" s="22">
        <v>0.2</v>
      </c>
      <c r="Q617" s="30">
        <v>25400</v>
      </c>
      <c r="R617" s="33">
        <f>Table1_1[[#This Row],[Units Sold]]*Table1_1[[#This Row],[Unit Price]]*1-Table1_1[[#This Row],[Discount]]</f>
        <v>1364649.8</v>
      </c>
      <c r="S617" s="33">
        <f>Table1_1[[#This Row],[Units Sold]]*Table1_1[[#This Row],[Unit Cost]]</f>
        <v>889000</v>
      </c>
      <c r="T617" s="33">
        <f>Table1_1[[#This Row],[Sales Amount]]-S617</f>
        <v>475649.80000000005</v>
      </c>
      <c r="U617" s="32">
        <f>IFERROR(Table1_1[[#This Row],[Profit/loss]]/Table1_1[[#This Row],[Sales Amount]],0)</f>
        <v>0.34855081501495844</v>
      </c>
    </row>
    <row r="618" spans="1:21" ht="18" x14ac:dyDescent="0.35">
      <c r="A618" s="21" t="s">
        <v>725</v>
      </c>
      <c r="B618" s="36">
        <v>45600</v>
      </c>
      <c r="C618" s="22">
        <f>YEAR(Table1_1[[#This Row],[Order Date]])</f>
        <v>2024</v>
      </c>
      <c r="D618" s="22" t="str">
        <f>TEXT(Table1_1[[#This Row],[Order Date]],"MMMM")</f>
        <v>November</v>
      </c>
      <c r="E618" s="22" t="s">
        <v>36</v>
      </c>
      <c r="F618" s="22" t="s">
        <v>121</v>
      </c>
      <c r="G618" s="22" t="s">
        <v>105</v>
      </c>
      <c r="H618" s="22" t="s">
        <v>19</v>
      </c>
      <c r="I618" s="22" t="s">
        <v>54</v>
      </c>
      <c r="J618" s="22" t="s">
        <v>55</v>
      </c>
      <c r="K618" s="22" t="s">
        <v>148</v>
      </c>
      <c r="L618" s="22" t="s">
        <v>33</v>
      </c>
      <c r="M618" s="22" t="s">
        <v>24</v>
      </c>
      <c r="N618" s="22">
        <v>13</v>
      </c>
      <c r="O618" s="26">
        <v>4680</v>
      </c>
      <c r="P618" s="22">
        <v>0.08</v>
      </c>
      <c r="Q618" s="30">
        <v>3250</v>
      </c>
      <c r="R618" s="33">
        <f>Table1_1[[#This Row],[Units Sold]]*Table1_1[[#This Row],[Unit Price]]*1-Table1_1[[#This Row],[Discount]]</f>
        <v>60839.92</v>
      </c>
      <c r="S618" s="33">
        <f>Table1_1[[#This Row],[Units Sold]]*Table1_1[[#This Row],[Unit Cost]]</f>
        <v>42250</v>
      </c>
      <c r="T618" s="33">
        <f>Table1_1[[#This Row],[Sales Amount]]-S618</f>
        <v>18589.919999999998</v>
      </c>
      <c r="U618" s="32">
        <f>IFERROR(Table1_1[[#This Row],[Profit/loss]]/Table1_1[[#This Row],[Sales Amount]],0)</f>
        <v>0.30555464241241603</v>
      </c>
    </row>
    <row r="619" spans="1:21" ht="18" x14ac:dyDescent="0.35">
      <c r="A619" s="21" t="s">
        <v>726</v>
      </c>
      <c r="B619" s="36">
        <v>45600</v>
      </c>
      <c r="C619" s="22">
        <f>YEAR(Table1_1[[#This Row],[Order Date]])</f>
        <v>2024</v>
      </c>
      <c r="D619" s="22" t="str">
        <f>TEXT(Table1_1[[#This Row],[Order Date]],"MMMM")</f>
        <v>November</v>
      </c>
      <c r="E619" s="22" t="s">
        <v>36</v>
      </c>
      <c r="F619" s="22" t="s">
        <v>37</v>
      </c>
      <c r="G619" s="22" t="s">
        <v>60</v>
      </c>
      <c r="H619" s="22" t="s">
        <v>29</v>
      </c>
      <c r="I619" s="22" t="s">
        <v>20</v>
      </c>
      <c r="J619" s="22" t="s">
        <v>45</v>
      </c>
      <c r="K619" s="22" t="s">
        <v>1622</v>
      </c>
      <c r="L619" s="22" t="s">
        <v>23</v>
      </c>
      <c r="M619" s="22" t="s">
        <v>24</v>
      </c>
      <c r="N619" s="22">
        <v>10</v>
      </c>
      <c r="O619" s="26">
        <v>1599</v>
      </c>
      <c r="P619" s="22">
        <v>0.08</v>
      </c>
      <c r="Q619" s="30">
        <v>920</v>
      </c>
      <c r="R619" s="33">
        <f>Table1_1[[#This Row],[Units Sold]]*Table1_1[[#This Row],[Unit Price]]*1-Table1_1[[#This Row],[Discount]]</f>
        <v>15989.92</v>
      </c>
      <c r="S619" s="33">
        <f>Table1_1[[#This Row],[Units Sold]]*Table1_1[[#This Row],[Unit Cost]]</f>
        <v>9200</v>
      </c>
      <c r="T619" s="33">
        <f>Table1_1[[#This Row],[Sales Amount]]-S619</f>
        <v>6789.92</v>
      </c>
      <c r="U619" s="32">
        <f>IFERROR(Table1_1[[#This Row],[Profit/loss]]/Table1_1[[#This Row],[Sales Amount]],0)</f>
        <v>0.42463752163863233</v>
      </c>
    </row>
    <row r="620" spans="1:21" ht="18" x14ac:dyDescent="0.35">
      <c r="A620" s="21" t="s">
        <v>727</v>
      </c>
      <c r="B620" s="36">
        <v>45603</v>
      </c>
      <c r="C620" s="22">
        <f>YEAR(Table1_1[[#This Row],[Order Date]])</f>
        <v>2024</v>
      </c>
      <c r="D620" s="22" t="str">
        <f>TEXT(Table1_1[[#This Row],[Order Date]],"MMMM")</f>
        <v>November</v>
      </c>
      <c r="E620" s="22" t="s">
        <v>82</v>
      </c>
      <c r="F620" s="22" t="s">
        <v>83</v>
      </c>
      <c r="G620" s="22" t="s">
        <v>38</v>
      </c>
      <c r="H620" s="22" t="s">
        <v>29</v>
      </c>
      <c r="I620" s="22" t="s">
        <v>30</v>
      </c>
      <c r="J620" s="22" t="s">
        <v>31</v>
      </c>
      <c r="K620" s="22" t="s">
        <v>106</v>
      </c>
      <c r="L620" s="22" t="s">
        <v>57</v>
      </c>
      <c r="M620" s="22" t="s">
        <v>24</v>
      </c>
      <c r="N620" s="22">
        <v>2</v>
      </c>
      <c r="O620" s="26">
        <v>52990</v>
      </c>
      <c r="P620" s="22">
        <v>0.18</v>
      </c>
      <c r="Q620" s="30">
        <v>35100</v>
      </c>
      <c r="R620" s="33">
        <f>Table1_1[[#This Row],[Units Sold]]*Table1_1[[#This Row],[Unit Price]]*1-Table1_1[[#This Row],[Discount]]</f>
        <v>105979.82</v>
      </c>
      <c r="S620" s="33">
        <f>Table1_1[[#This Row],[Units Sold]]*Table1_1[[#This Row],[Unit Cost]]</f>
        <v>70200</v>
      </c>
      <c r="T620" s="33">
        <f>Table1_1[[#This Row],[Sales Amount]]-S620</f>
        <v>35779.820000000007</v>
      </c>
      <c r="U620" s="32">
        <f>IFERROR(Table1_1[[#This Row],[Profit/loss]]/Table1_1[[#This Row],[Sales Amount]],0)</f>
        <v>0.33760974494955742</v>
      </c>
    </row>
    <row r="621" spans="1:21" ht="18" x14ac:dyDescent="0.35">
      <c r="A621" s="21" t="s">
        <v>728</v>
      </c>
      <c r="B621" s="36">
        <v>45603</v>
      </c>
      <c r="C621" s="22">
        <f>YEAR(Table1_1[[#This Row],[Order Date]])</f>
        <v>2024</v>
      </c>
      <c r="D621" s="22" t="str">
        <f>TEXT(Table1_1[[#This Row],[Order Date]],"MMMM")</f>
        <v>November</v>
      </c>
      <c r="E621" s="22" t="s">
        <v>26</v>
      </c>
      <c r="F621" s="22" t="s">
        <v>74</v>
      </c>
      <c r="G621" s="22" t="s">
        <v>50</v>
      </c>
      <c r="H621" s="22" t="s">
        <v>29</v>
      </c>
      <c r="I621" s="22" t="s">
        <v>40</v>
      </c>
      <c r="J621" s="22" t="s">
        <v>41</v>
      </c>
      <c r="K621" s="22" t="s">
        <v>42</v>
      </c>
      <c r="L621" s="22" t="s">
        <v>33</v>
      </c>
      <c r="M621" s="22" t="s">
        <v>24</v>
      </c>
      <c r="N621" s="22">
        <v>36</v>
      </c>
      <c r="O621" s="26">
        <v>55230</v>
      </c>
      <c r="P621" s="22">
        <v>0.18</v>
      </c>
      <c r="Q621" s="30">
        <v>33800</v>
      </c>
      <c r="R621" s="33">
        <f>Table1_1[[#This Row],[Units Sold]]*Table1_1[[#This Row],[Unit Price]]*1-Table1_1[[#This Row],[Discount]]</f>
        <v>1988279.82</v>
      </c>
      <c r="S621" s="33">
        <f>Table1_1[[#This Row],[Units Sold]]*Table1_1[[#This Row],[Unit Cost]]</f>
        <v>1216800</v>
      </c>
      <c r="T621" s="33">
        <f>Table1_1[[#This Row],[Sales Amount]]-S621</f>
        <v>771479.82000000007</v>
      </c>
      <c r="U621" s="32">
        <f>IFERROR(Table1_1[[#This Row],[Profit/loss]]/Table1_1[[#This Row],[Sales Amount]],0)</f>
        <v>0.38801370523390416</v>
      </c>
    </row>
    <row r="622" spans="1:21" ht="18" x14ac:dyDescent="0.35">
      <c r="A622" s="21" t="s">
        <v>729</v>
      </c>
      <c r="B622" s="36">
        <v>45603</v>
      </c>
      <c r="C622" s="22">
        <f>YEAR(Table1_1[[#This Row],[Order Date]])</f>
        <v>2024</v>
      </c>
      <c r="D622" s="22" t="str">
        <f>TEXT(Table1_1[[#This Row],[Order Date]],"MMMM")</f>
        <v>November</v>
      </c>
      <c r="E622" s="22" t="s">
        <v>26</v>
      </c>
      <c r="F622" s="22" t="s">
        <v>27</v>
      </c>
      <c r="G622" s="22" t="s">
        <v>75</v>
      </c>
      <c r="H622" s="22" t="s">
        <v>19</v>
      </c>
      <c r="I622" s="22" t="s">
        <v>54</v>
      </c>
      <c r="J622" s="22" t="s">
        <v>129</v>
      </c>
      <c r="K622" s="22" t="s">
        <v>1630</v>
      </c>
      <c r="L622" s="22" t="s">
        <v>23</v>
      </c>
      <c r="M622" s="22" t="s">
        <v>24</v>
      </c>
      <c r="N622" s="22">
        <v>15</v>
      </c>
      <c r="O622" s="26">
        <v>29010</v>
      </c>
      <c r="P622" s="22">
        <v>0.1</v>
      </c>
      <c r="Q622" s="30">
        <v>19100</v>
      </c>
      <c r="R622" s="33">
        <f>Table1_1[[#This Row],[Units Sold]]*Table1_1[[#This Row],[Unit Price]]*1-Table1_1[[#This Row],[Discount]]</f>
        <v>435149.9</v>
      </c>
      <c r="S622" s="33">
        <f>Table1_1[[#This Row],[Units Sold]]*Table1_1[[#This Row],[Unit Cost]]</f>
        <v>286500</v>
      </c>
      <c r="T622" s="33">
        <f>Table1_1[[#This Row],[Sales Amount]]-S622</f>
        <v>148649.90000000002</v>
      </c>
      <c r="U622" s="32">
        <f>IFERROR(Table1_1[[#This Row],[Profit/loss]]/Table1_1[[#This Row],[Sales Amount]],0)</f>
        <v>0.34160619133774367</v>
      </c>
    </row>
    <row r="623" spans="1:21" ht="18" x14ac:dyDescent="0.35">
      <c r="A623" s="21" t="s">
        <v>730</v>
      </c>
      <c r="B623" s="36">
        <v>45603</v>
      </c>
      <c r="C623" s="22">
        <f>YEAR(Table1_1[[#This Row],[Order Date]])</f>
        <v>2024</v>
      </c>
      <c r="D623" s="22" t="str">
        <f>TEXT(Table1_1[[#This Row],[Order Date]],"MMMM")</f>
        <v>November</v>
      </c>
      <c r="E623" s="22" t="s">
        <v>26</v>
      </c>
      <c r="F623" s="22" t="s">
        <v>27</v>
      </c>
      <c r="G623" s="22" t="s">
        <v>38</v>
      </c>
      <c r="H623" s="22" t="s">
        <v>39</v>
      </c>
      <c r="I623" s="22" t="s">
        <v>70</v>
      </c>
      <c r="J623" s="22" t="s">
        <v>71</v>
      </c>
      <c r="K623" s="22" t="s">
        <v>72</v>
      </c>
      <c r="L623" s="22" t="s">
        <v>33</v>
      </c>
      <c r="M623" s="22" t="s">
        <v>24</v>
      </c>
      <c r="N623" s="22">
        <v>32</v>
      </c>
      <c r="O623" s="26">
        <v>3499</v>
      </c>
      <c r="P623" s="22">
        <v>0.08</v>
      </c>
      <c r="Q623" s="30">
        <v>2190</v>
      </c>
      <c r="R623" s="33">
        <f>Table1_1[[#This Row],[Units Sold]]*Table1_1[[#This Row],[Unit Price]]*1-Table1_1[[#This Row],[Discount]]</f>
        <v>111967.92</v>
      </c>
      <c r="S623" s="33">
        <f>Table1_1[[#This Row],[Units Sold]]*Table1_1[[#This Row],[Unit Cost]]</f>
        <v>70080</v>
      </c>
      <c r="T623" s="33">
        <f>Table1_1[[#This Row],[Sales Amount]]-S623</f>
        <v>41887.919999999998</v>
      </c>
      <c r="U623" s="32">
        <f>IFERROR(Table1_1[[#This Row],[Profit/loss]]/Table1_1[[#This Row],[Sales Amount]],0)</f>
        <v>0.37410644048759678</v>
      </c>
    </row>
    <row r="624" spans="1:21" ht="18" x14ac:dyDescent="0.35">
      <c r="A624" s="21" t="s">
        <v>731</v>
      </c>
      <c r="B624" s="36">
        <v>45605</v>
      </c>
      <c r="C624" s="22">
        <f>YEAR(Table1_1[[#This Row],[Order Date]])</f>
        <v>2024</v>
      </c>
      <c r="D624" s="22" t="str">
        <f>TEXT(Table1_1[[#This Row],[Order Date]],"MMMM")</f>
        <v>November</v>
      </c>
      <c r="E624" s="22" t="s">
        <v>48</v>
      </c>
      <c r="F624" s="22" t="s">
        <v>68</v>
      </c>
      <c r="G624" s="22" t="s">
        <v>69</v>
      </c>
      <c r="H624" s="22" t="s">
        <v>39</v>
      </c>
      <c r="I624" s="22" t="s">
        <v>54</v>
      </c>
      <c r="J624" s="22" t="s">
        <v>55</v>
      </c>
      <c r="K624" s="22" t="s">
        <v>148</v>
      </c>
      <c r="L624" s="22" t="s">
        <v>33</v>
      </c>
      <c r="M624" s="22" t="s">
        <v>34</v>
      </c>
      <c r="N624" s="22">
        <v>8</v>
      </c>
      <c r="O624" s="26">
        <v>4680</v>
      </c>
      <c r="P624" s="22">
        <v>0.12</v>
      </c>
      <c r="Q624" s="30">
        <v>3250</v>
      </c>
      <c r="R624" s="33">
        <f>Table1_1[[#This Row],[Units Sold]]*Table1_1[[#This Row],[Unit Price]]*1-Table1_1[[#This Row],[Discount]]</f>
        <v>37439.879999999997</v>
      </c>
      <c r="S624" s="33">
        <f>Table1_1[[#This Row],[Units Sold]]*Table1_1[[#This Row],[Unit Cost]]</f>
        <v>26000</v>
      </c>
      <c r="T624" s="33">
        <f>Table1_1[[#This Row],[Sales Amount]]-S624</f>
        <v>11439.879999999997</v>
      </c>
      <c r="U624" s="32">
        <f>IFERROR(Table1_1[[#This Row],[Profit/loss]]/Table1_1[[#This Row],[Sales Amount]],0)</f>
        <v>0.30555332976494576</v>
      </c>
    </row>
    <row r="625" spans="1:21" ht="18" x14ac:dyDescent="0.35">
      <c r="A625" s="21" t="s">
        <v>732</v>
      </c>
      <c r="B625" s="36">
        <v>45605</v>
      </c>
      <c r="C625" s="22">
        <f>YEAR(Table1_1[[#This Row],[Order Date]])</f>
        <v>2024</v>
      </c>
      <c r="D625" s="22" t="str">
        <f>TEXT(Table1_1[[#This Row],[Order Date]],"MMMM")</f>
        <v>November</v>
      </c>
      <c r="E625" s="22" t="s">
        <v>26</v>
      </c>
      <c r="F625" s="22" t="s">
        <v>74</v>
      </c>
      <c r="G625" s="22" t="s">
        <v>101</v>
      </c>
      <c r="H625" s="22" t="s">
        <v>19</v>
      </c>
      <c r="I625" s="22" t="s">
        <v>30</v>
      </c>
      <c r="J625" s="22" t="s">
        <v>61</v>
      </c>
      <c r="K625" s="22" t="s">
        <v>96</v>
      </c>
      <c r="L625" s="22" t="s">
        <v>33</v>
      </c>
      <c r="M625" s="22" t="s">
        <v>24</v>
      </c>
      <c r="N625" s="22">
        <v>12</v>
      </c>
      <c r="O625" s="26">
        <v>25110</v>
      </c>
      <c r="P625" s="22">
        <v>0.05</v>
      </c>
      <c r="Q625" s="30">
        <v>16730</v>
      </c>
      <c r="R625" s="33">
        <f>Table1_1[[#This Row],[Units Sold]]*Table1_1[[#This Row],[Unit Price]]*1-Table1_1[[#This Row],[Discount]]</f>
        <v>301319.95</v>
      </c>
      <c r="S625" s="33">
        <f>Table1_1[[#This Row],[Units Sold]]*Table1_1[[#This Row],[Unit Cost]]</f>
        <v>200760</v>
      </c>
      <c r="T625" s="33">
        <f>Table1_1[[#This Row],[Sales Amount]]-S625</f>
        <v>100559.95000000001</v>
      </c>
      <c r="U625" s="32">
        <f>IFERROR(Table1_1[[#This Row],[Profit/loss]]/Table1_1[[#This Row],[Sales Amount]],0)</f>
        <v>0.33373147048511059</v>
      </c>
    </row>
    <row r="626" spans="1:21" ht="18" x14ac:dyDescent="0.35">
      <c r="A626" s="21" t="s">
        <v>733</v>
      </c>
      <c r="B626" s="36">
        <v>45606</v>
      </c>
      <c r="C626" s="22">
        <f>YEAR(Table1_1[[#This Row],[Order Date]])</f>
        <v>2024</v>
      </c>
      <c r="D626" s="22" t="str">
        <f>TEXT(Table1_1[[#This Row],[Order Date]],"MMMM")</f>
        <v>November</v>
      </c>
      <c r="E626" s="22" t="s">
        <v>26</v>
      </c>
      <c r="F626" s="22" t="s">
        <v>74</v>
      </c>
      <c r="G626" s="22" t="s">
        <v>60</v>
      </c>
      <c r="H626" s="22" t="s">
        <v>19</v>
      </c>
      <c r="I626" s="22" t="s">
        <v>54</v>
      </c>
      <c r="J626" s="22" t="s">
        <v>55</v>
      </c>
      <c r="K626" s="22" t="s">
        <v>56</v>
      </c>
      <c r="L626" s="22" t="s">
        <v>57</v>
      </c>
      <c r="M626" s="22" t="s">
        <v>34</v>
      </c>
      <c r="N626" s="22">
        <v>10</v>
      </c>
      <c r="O626" s="26">
        <v>7299</v>
      </c>
      <c r="P626" s="22">
        <v>0.05</v>
      </c>
      <c r="Q626" s="30">
        <v>5010</v>
      </c>
      <c r="R626" s="33">
        <f>Table1_1[[#This Row],[Units Sold]]*Table1_1[[#This Row],[Unit Price]]*1-Table1_1[[#This Row],[Discount]]</f>
        <v>72989.95</v>
      </c>
      <c r="S626" s="33">
        <f>Table1_1[[#This Row],[Units Sold]]*Table1_1[[#This Row],[Unit Cost]]</f>
        <v>50100</v>
      </c>
      <c r="T626" s="33">
        <f>Table1_1[[#This Row],[Sales Amount]]-S626</f>
        <v>22889.949999999997</v>
      </c>
      <c r="U626" s="32">
        <f>IFERROR(Table1_1[[#This Row],[Profit/loss]]/Table1_1[[#This Row],[Sales Amount]],0)</f>
        <v>0.31360413317175856</v>
      </c>
    </row>
    <row r="627" spans="1:21" ht="18" x14ac:dyDescent="0.35">
      <c r="A627" s="21" t="s">
        <v>734</v>
      </c>
      <c r="B627" s="36">
        <v>45606</v>
      </c>
      <c r="C627" s="22">
        <f>YEAR(Table1_1[[#This Row],[Order Date]])</f>
        <v>2024</v>
      </c>
      <c r="D627" s="22" t="str">
        <f>TEXT(Table1_1[[#This Row],[Order Date]],"MMMM")</f>
        <v>November</v>
      </c>
      <c r="E627" s="22" t="s">
        <v>48</v>
      </c>
      <c r="F627" s="22" t="s">
        <v>49</v>
      </c>
      <c r="G627" s="22" t="s">
        <v>28</v>
      </c>
      <c r="H627" s="22" t="s">
        <v>19</v>
      </c>
      <c r="I627" s="22" t="s">
        <v>54</v>
      </c>
      <c r="J627" s="22" t="s">
        <v>55</v>
      </c>
      <c r="K627" s="22" t="s">
        <v>1623</v>
      </c>
      <c r="L627" s="22" t="s">
        <v>33</v>
      </c>
      <c r="M627" s="22" t="s">
        <v>34</v>
      </c>
      <c r="N627" s="22">
        <v>6</v>
      </c>
      <c r="O627" s="26">
        <v>5890</v>
      </c>
      <c r="P627" s="22">
        <v>0.08</v>
      </c>
      <c r="Q627" s="30">
        <v>3980</v>
      </c>
      <c r="R627" s="33">
        <f>Table1_1[[#This Row],[Units Sold]]*Table1_1[[#This Row],[Unit Price]]*1-Table1_1[[#This Row],[Discount]]</f>
        <v>35339.919999999998</v>
      </c>
      <c r="S627" s="33">
        <f>Table1_1[[#This Row],[Units Sold]]*Table1_1[[#This Row],[Unit Cost]]</f>
        <v>23880</v>
      </c>
      <c r="T627" s="33">
        <f>Table1_1[[#This Row],[Sales Amount]]-S627</f>
        <v>11459.919999999998</v>
      </c>
      <c r="U627" s="32">
        <f>IFERROR(Table1_1[[#This Row],[Profit/loss]]/Table1_1[[#This Row],[Sales Amount]],0)</f>
        <v>0.32427690838009815</v>
      </c>
    </row>
    <row r="628" spans="1:21" ht="18" x14ac:dyDescent="0.35">
      <c r="A628" s="21" t="s">
        <v>735</v>
      </c>
      <c r="B628" s="36">
        <v>45606</v>
      </c>
      <c r="C628" s="22">
        <f>YEAR(Table1_1[[#This Row],[Order Date]])</f>
        <v>2024</v>
      </c>
      <c r="D628" s="22" t="str">
        <f>TEXT(Table1_1[[#This Row],[Order Date]],"MMMM")</f>
        <v>November</v>
      </c>
      <c r="E628" s="22" t="s">
        <v>36</v>
      </c>
      <c r="F628" s="22" t="s">
        <v>44</v>
      </c>
      <c r="G628" s="22" t="s">
        <v>38</v>
      </c>
      <c r="H628" s="22" t="s">
        <v>39</v>
      </c>
      <c r="I628" s="22" t="s">
        <v>40</v>
      </c>
      <c r="J628" s="22" t="s">
        <v>41</v>
      </c>
      <c r="K628" s="22" t="s">
        <v>1624</v>
      </c>
      <c r="L628" s="22" t="s">
        <v>57</v>
      </c>
      <c r="M628" s="22" t="s">
        <v>34</v>
      </c>
      <c r="N628" s="22">
        <v>16</v>
      </c>
      <c r="O628" s="26">
        <v>48990</v>
      </c>
      <c r="P628" s="22">
        <v>0.18</v>
      </c>
      <c r="Q628" s="30">
        <v>30100</v>
      </c>
      <c r="R628" s="33">
        <f>Table1_1[[#This Row],[Units Sold]]*Table1_1[[#This Row],[Unit Price]]*1-Table1_1[[#This Row],[Discount]]</f>
        <v>783839.82</v>
      </c>
      <c r="S628" s="33">
        <f>Table1_1[[#This Row],[Units Sold]]*Table1_1[[#This Row],[Unit Cost]]</f>
        <v>481600</v>
      </c>
      <c r="T628" s="33">
        <f>Table1_1[[#This Row],[Sales Amount]]-S628</f>
        <v>302239.81999999995</v>
      </c>
      <c r="U628" s="32">
        <f>IFERROR(Table1_1[[#This Row],[Profit/loss]]/Table1_1[[#This Row],[Sales Amount]],0)</f>
        <v>0.38558875460039777</v>
      </c>
    </row>
    <row r="629" spans="1:21" ht="18" x14ac:dyDescent="0.35">
      <c r="A629" s="21" t="s">
        <v>736</v>
      </c>
      <c r="B629" s="36">
        <v>45606</v>
      </c>
      <c r="C629" s="22">
        <f>YEAR(Table1_1[[#This Row],[Order Date]])</f>
        <v>2024</v>
      </c>
      <c r="D629" s="22" t="str">
        <f>TEXT(Table1_1[[#This Row],[Order Date]],"MMMM")</f>
        <v>November</v>
      </c>
      <c r="E629" s="22" t="s">
        <v>82</v>
      </c>
      <c r="F629" s="22" t="s">
        <v>183</v>
      </c>
      <c r="G629" s="22" t="s">
        <v>75</v>
      </c>
      <c r="H629" s="22" t="s">
        <v>29</v>
      </c>
      <c r="I629" s="22" t="s">
        <v>70</v>
      </c>
      <c r="J629" s="22" t="s">
        <v>71</v>
      </c>
      <c r="K629" s="22" t="s">
        <v>80</v>
      </c>
      <c r="L629" s="22" t="s">
        <v>23</v>
      </c>
      <c r="M629" s="22" t="s">
        <v>24</v>
      </c>
      <c r="N629" s="22">
        <v>12</v>
      </c>
      <c r="O629" s="26">
        <v>1299</v>
      </c>
      <c r="P629" s="22">
        <v>0.12</v>
      </c>
      <c r="Q629" s="30">
        <v>720</v>
      </c>
      <c r="R629" s="33">
        <f>Table1_1[[#This Row],[Units Sold]]*Table1_1[[#This Row],[Unit Price]]*1-Table1_1[[#This Row],[Discount]]</f>
        <v>15587.88</v>
      </c>
      <c r="S629" s="33">
        <f>Table1_1[[#This Row],[Units Sold]]*Table1_1[[#This Row],[Unit Cost]]</f>
        <v>8640</v>
      </c>
      <c r="T629" s="33">
        <f>Table1_1[[#This Row],[Sales Amount]]-S629</f>
        <v>6947.8799999999992</v>
      </c>
      <c r="U629" s="32">
        <f>IFERROR(Table1_1[[#This Row],[Profit/loss]]/Table1_1[[#This Row],[Sales Amount]],0)</f>
        <v>0.44572321572914336</v>
      </c>
    </row>
    <row r="630" spans="1:21" ht="18" x14ac:dyDescent="0.35">
      <c r="A630" s="21" t="s">
        <v>737</v>
      </c>
      <c r="B630" s="36">
        <v>45606</v>
      </c>
      <c r="C630" s="22">
        <f>YEAR(Table1_1[[#This Row],[Order Date]])</f>
        <v>2024</v>
      </c>
      <c r="D630" s="22" t="str">
        <f>TEXT(Table1_1[[#This Row],[Order Date]],"MMMM")</f>
        <v>November</v>
      </c>
      <c r="E630" s="22" t="s">
        <v>36</v>
      </c>
      <c r="F630" s="22" t="s">
        <v>59</v>
      </c>
      <c r="G630" s="22" t="s">
        <v>69</v>
      </c>
      <c r="H630" s="22" t="s">
        <v>39</v>
      </c>
      <c r="I630" s="22" t="s">
        <v>30</v>
      </c>
      <c r="J630" s="22" t="s">
        <v>31</v>
      </c>
      <c r="K630" s="22" t="s">
        <v>106</v>
      </c>
      <c r="L630" s="22" t="s">
        <v>23</v>
      </c>
      <c r="M630" s="22" t="s">
        <v>78</v>
      </c>
      <c r="N630" s="22">
        <v>23</v>
      </c>
      <c r="O630" s="26">
        <v>52990</v>
      </c>
      <c r="P630" s="22">
        <v>0.08</v>
      </c>
      <c r="Q630" s="30">
        <v>35100</v>
      </c>
      <c r="R630" s="33">
        <f>Table1_1[[#This Row],[Units Sold]]*Table1_1[[#This Row],[Unit Price]]*1-Table1_1[[#This Row],[Discount]]</f>
        <v>1218769.9199999999</v>
      </c>
      <c r="S630" s="33">
        <f>Table1_1[[#This Row],[Units Sold]]*Table1_1[[#This Row],[Unit Cost]]</f>
        <v>807300</v>
      </c>
      <c r="T630" s="33">
        <f>Table1_1[[#This Row],[Sales Amount]]-S630</f>
        <v>411469.91999999993</v>
      </c>
      <c r="U630" s="32">
        <f>IFERROR(Table1_1[[#This Row],[Profit/loss]]/Table1_1[[#This Row],[Sales Amount]],0)</f>
        <v>0.33761082649627583</v>
      </c>
    </row>
    <row r="631" spans="1:21" ht="18" x14ac:dyDescent="0.35">
      <c r="A631" s="21" t="s">
        <v>738</v>
      </c>
      <c r="B631" s="36">
        <v>45607</v>
      </c>
      <c r="C631" s="22">
        <f>YEAR(Table1_1[[#This Row],[Order Date]])</f>
        <v>2024</v>
      </c>
      <c r="D631" s="22" t="str">
        <f>TEXT(Table1_1[[#This Row],[Order Date]],"MMMM")</f>
        <v>November</v>
      </c>
      <c r="E631" s="22" t="s">
        <v>26</v>
      </c>
      <c r="F631" s="22" t="s">
        <v>163</v>
      </c>
      <c r="G631" s="22" t="s">
        <v>69</v>
      </c>
      <c r="H631" s="22" t="s">
        <v>19</v>
      </c>
      <c r="I631" s="22" t="s">
        <v>20</v>
      </c>
      <c r="J631" s="22" t="s">
        <v>21</v>
      </c>
      <c r="K631" s="22" t="s">
        <v>51</v>
      </c>
      <c r="L631" s="22" t="s">
        <v>57</v>
      </c>
      <c r="M631" s="22" t="s">
        <v>24</v>
      </c>
      <c r="N631" s="22">
        <v>32</v>
      </c>
      <c r="O631" s="26">
        <v>5999</v>
      </c>
      <c r="P631" s="22">
        <v>0.15</v>
      </c>
      <c r="Q631" s="30">
        <v>3890</v>
      </c>
      <c r="R631" s="33">
        <f>Table1_1[[#This Row],[Units Sold]]*Table1_1[[#This Row],[Unit Price]]*1-Table1_1[[#This Row],[Discount]]</f>
        <v>191967.85</v>
      </c>
      <c r="S631" s="33">
        <f>Table1_1[[#This Row],[Units Sold]]*Table1_1[[#This Row],[Unit Cost]]</f>
        <v>124480</v>
      </c>
      <c r="T631" s="33">
        <f>Table1_1[[#This Row],[Sales Amount]]-S631</f>
        <v>67487.850000000006</v>
      </c>
      <c r="U631" s="32">
        <f>IFERROR(Table1_1[[#This Row],[Profit/loss]]/Table1_1[[#This Row],[Sales Amount]],0)</f>
        <v>0.3515580864191582</v>
      </c>
    </row>
    <row r="632" spans="1:21" ht="18" x14ac:dyDescent="0.35">
      <c r="A632" s="21" t="s">
        <v>739</v>
      </c>
      <c r="B632" s="36">
        <v>45607</v>
      </c>
      <c r="C632" s="22">
        <f>YEAR(Table1_1[[#This Row],[Order Date]])</f>
        <v>2024</v>
      </c>
      <c r="D632" s="22" t="str">
        <f>TEXT(Table1_1[[#This Row],[Order Date]],"MMMM")</f>
        <v>November</v>
      </c>
      <c r="E632" s="22" t="s">
        <v>26</v>
      </c>
      <c r="F632" s="22" t="s">
        <v>27</v>
      </c>
      <c r="G632" s="22" t="s">
        <v>18</v>
      </c>
      <c r="H632" s="22" t="s">
        <v>29</v>
      </c>
      <c r="I632" s="22" t="s">
        <v>70</v>
      </c>
      <c r="J632" s="22" t="s">
        <v>71</v>
      </c>
      <c r="K632" s="22" t="s">
        <v>88</v>
      </c>
      <c r="L632" s="22" t="s">
        <v>23</v>
      </c>
      <c r="M632" s="22" t="s">
        <v>66</v>
      </c>
      <c r="N632" s="22">
        <v>28</v>
      </c>
      <c r="O632" s="26">
        <v>999</v>
      </c>
      <c r="P632" s="22">
        <v>0.08</v>
      </c>
      <c r="Q632" s="30">
        <v>540</v>
      </c>
      <c r="R632" s="33">
        <f>Table1_1[[#This Row],[Units Sold]]*Table1_1[[#This Row],[Unit Price]]*1-Table1_1[[#This Row],[Discount]]</f>
        <v>27971.919999999998</v>
      </c>
      <c r="S632" s="33">
        <f>Table1_1[[#This Row],[Units Sold]]*Table1_1[[#This Row],[Unit Cost]]</f>
        <v>15120</v>
      </c>
      <c r="T632" s="33">
        <f>Table1_1[[#This Row],[Sales Amount]]-S632</f>
        <v>12851.919999999998</v>
      </c>
      <c r="U632" s="32">
        <f>IFERROR(Table1_1[[#This Row],[Profit/loss]]/Table1_1[[#This Row],[Sales Amount]],0)</f>
        <v>0.45945791350754611</v>
      </c>
    </row>
    <row r="633" spans="1:21" ht="18" x14ac:dyDescent="0.35">
      <c r="A633" s="21" t="s">
        <v>740</v>
      </c>
      <c r="B633" s="36">
        <v>45607</v>
      </c>
      <c r="C633" s="22">
        <f>YEAR(Table1_1[[#This Row],[Order Date]])</f>
        <v>2024</v>
      </c>
      <c r="D633" s="22" t="str">
        <f>TEXT(Table1_1[[#This Row],[Order Date]],"MMMM")</f>
        <v>November</v>
      </c>
      <c r="E633" s="22" t="s">
        <v>16</v>
      </c>
      <c r="F633" s="22" t="s">
        <v>111</v>
      </c>
      <c r="G633" s="22" t="s">
        <v>60</v>
      </c>
      <c r="H633" s="22" t="s">
        <v>29</v>
      </c>
      <c r="I633" s="22" t="s">
        <v>30</v>
      </c>
      <c r="J633" s="22" t="s">
        <v>61</v>
      </c>
      <c r="K633" s="22" t="s">
        <v>62</v>
      </c>
      <c r="L633" s="22" t="s">
        <v>33</v>
      </c>
      <c r="M633" s="22" t="s">
        <v>24</v>
      </c>
      <c r="N633" s="22">
        <v>29</v>
      </c>
      <c r="O633" s="26">
        <v>12490</v>
      </c>
      <c r="P633" s="22">
        <v>0.05</v>
      </c>
      <c r="Q633" s="30">
        <v>7900</v>
      </c>
      <c r="R633" s="33">
        <f>Table1_1[[#This Row],[Units Sold]]*Table1_1[[#This Row],[Unit Price]]*1-Table1_1[[#This Row],[Discount]]</f>
        <v>362209.95</v>
      </c>
      <c r="S633" s="33">
        <f>Table1_1[[#This Row],[Units Sold]]*Table1_1[[#This Row],[Unit Cost]]</f>
        <v>229100</v>
      </c>
      <c r="T633" s="33">
        <f>Table1_1[[#This Row],[Sales Amount]]-S633</f>
        <v>133109.95000000001</v>
      </c>
      <c r="U633" s="32">
        <f>IFERROR(Table1_1[[#This Row],[Profit/loss]]/Table1_1[[#This Row],[Sales Amount]],0)</f>
        <v>0.3674939078840877</v>
      </c>
    </row>
    <row r="634" spans="1:21" ht="18" x14ac:dyDescent="0.35">
      <c r="A634" s="21" t="s">
        <v>741</v>
      </c>
      <c r="B634" s="36">
        <v>45607</v>
      </c>
      <c r="C634" s="22">
        <f>YEAR(Table1_1[[#This Row],[Order Date]])</f>
        <v>2024</v>
      </c>
      <c r="D634" s="22" t="str">
        <f>TEXT(Table1_1[[#This Row],[Order Date]],"MMMM")</f>
        <v>November</v>
      </c>
      <c r="E634" s="22" t="s">
        <v>16</v>
      </c>
      <c r="F634" s="22" t="s">
        <v>17</v>
      </c>
      <c r="G634" s="22" t="s">
        <v>18</v>
      </c>
      <c r="H634" s="22" t="s">
        <v>29</v>
      </c>
      <c r="I634" s="22" t="s">
        <v>30</v>
      </c>
      <c r="J634" s="22" t="s">
        <v>61</v>
      </c>
      <c r="K634" s="22" t="s">
        <v>96</v>
      </c>
      <c r="L634" s="22" t="s">
        <v>57</v>
      </c>
      <c r="M634" s="22" t="s">
        <v>34</v>
      </c>
      <c r="N634" s="22">
        <v>29</v>
      </c>
      <c r="O634" s="26">
        <v>25110</v>
      </c>
      <c r="P634" s="22">
        <v>0.1</v>
      </c>
      <c r="Q634" s="30">
        <v>16730</v>
      </c>
      <c r="R634" s="33">
        <f>Table1_1[[#This Row],[Units Sold]]*Table1_1[[#This Row],[Unit Price]]*1-Table1_1[[#This Row],[Discount]]</f>
        <v>728189.9</v>
      </c>
      <c r="S634" s="33">
        <f>Table1_1[[#This Row],[Units Sold]]*Table1_1[[#This Row],[Unit Cost]]</f>
        <v>485170</v>
      </c>
      <c r="T634" s="33">
        <f>Table1_1[[#This Row],[Sales Amount]]-S634</f>
        <v>243019.90000000002</v>
      </c>
      <c r="U634" s="32">
        <f>IFERROR(Table1_1[[#This Row],[Profit/loss]]/Table1_1[[#This Row],[Sales Amount]],0)</f>
        <v>0.3337314895468888</v>
      </c>
    </row>
    <row r="635" spans="1:21" ht="18" x14ac:dyDescent="0.35">
      <c r="A635" s="21" t="s">
        <v>742</v>
      </c>
      <c r="B635" s="36">
        <v>45607</v>
      </c>
      <c r="C635" s="22">
        <f>YEAR(Table1_1[[#This Row],[Order Date]])</f>
        <v>2024</v>
      </c>
      <c r="D635" s="22" t="str">
        <f>TEXT(Table1_1[[#This Row],[Order Date]],"MMMM")</f>
        <v>November</v>
      </c>
      <c r="E635" s="22" t="s">
        <v>16</v>
      </c>
      <c r="F635" s="22" t="s">
        <v>98</v>
      </c>
      <c r="G635" s="22" t="s">
        <v>101</v>
      </c>
      <c r="H635" s="22" t="s">
        <v>19</v>
      </c>
      <c r="I635" s="22" t="s">
        <v>40</v>
      </c>
      <c r="J635" s="22" t="s">
        <v>41</v>
      </c>
      <c r="K635" s="22" t="s">
        <v>1624</v>
      </c>
      <c r="L635" s="22" t="s">
        <v>33</v>
      </c>
      <c r="M635" s="22" t="s">
        <v>24</v>
      </c>
      <c r="N635" s="22">
        <v>17</v>
      </c>
      <c r="O635" s="26">
        <v>48990</v>
      </c>
      <c r="P635" s="22">
        <v>0.08</v>
      </c>
      <c r="Q635" s="30">
        <v>30100</v>
      </c>
      <c r="R635" s="33">
        <f>Table1_1[[#This Row],[Units Sold]]*Table1_1[[#This Row],[Unit Price]]*1-Table1_1[[#This Row],[Discount]]</f>
        <v>832829.92</v>
      </c>
      <c r="S635" s="33">
        <f>Table1_1[[#This Row],[Units Sold]]*Table1_1[[#This Row],[Unit Cost]]</f>
        <v>511700</v>
      </c>
      <c r="T635" s="33">
        <f>Table1_1[[#This Row],[Sales Amount]]-S635</f>
        <v>321129.92000000004</v>
      </c>
      <c r="U635" s="32">
        <f>IFERROR(Table1_1[[#This Row],[Profit/loss]]/Table1_1[[#This Row],[Sales Amount]],0)</f>
        <v>0.38558883667387939</v>
      </c>
    </row>
    <row r="636" spans="1:21" ht="18" x14ac:dyDescent="0.35">
      <c r="A636" s="21" t="s">
        <v>743</v>
      </c>
      <c r="B636" s="36">
        <v>45608</v>
      </c>
      <c r="C636" s="22">
        <f>YEAR(Table1_1[[#This Row],[Order Date]])</f>
        <v>2024</v>
      </c>
      <c r="D636" s="22" t="str">
        <f>TEXT(Table1_1[[#This Row],[Order Date]],"MMMM")</f>
        <v>November</v>
      </c>
      <c r="E636" s="22" t="s">
        <v>26</v>
      </c>
      <c r="F636" s="22" t="s">
        <v>53</v>
      </c>
      <c r="G636" s="22" t="s">
        <v>18</v>
      </c>
      <c r="H636" s="22" t="s">
        <v>29</v>
      </c>
      <c r="I636" s="22" t="s">
        <v>54</v>
      </c>
      <c r="J636" s="22" t="s">
        <v>55</v>
      </c>
      <c r="K636" s="22" t="s">
        <v>148</v>
      </c>
      <c r="L636" s="22" t="s">
        <v>23</v>
      </c>
      <c r="M636" s="22" t="s">
        <v>34</v>
      </c>
      <c r="N636" s="22">
        <v>24</v>
      </c>
      <c r="O636" s="26">
        <v>4680</v>
      </c>
      <c r="P636" s="22">
        <v>0.05</v>
      </c>
      <c r="Q636" s="30">
        <v>3250</v>
      </c>
      <c r="R636" s="33">
        <f>Table1_1[[#This Row],[Units Sold]]*Table1_1[[#This Row],[Unit Price]]*1-Table1_1[[#This Row],[Discount]]</f>
        <v>112319.95</v>
      </c>
      <c r="S636" s="33">
        <f>Table1_1[[#This Row],[Units Sold]]*Table1_1[[#This Row],[Unit Cost]]</f>
        <v>78000</v>
      </c>
      <c r="T636" s="33">
        <f>Table1_1[[#This Row],[Sales Amount]]-S636</f>
        <v>34319.949999999997</v>
      </c>
      <c r="U636" s="32">
        <f>IFERROR(Table1_1[[#This Row],[Profit/loss]]/Table1_1[[#This Row],[Sales Amount]],0)</f>
        <v>0.30555524641882409</v>
      </c>
    </row>
    <row r="637" spans="1:21" ht="18" x14ac:dyDescent="0.35">
      <c r="A637" s="21" t="s">
        <v>744</v>
      </c>
      <c r="B637" s="36">
        <v>45608</v>
      </c>
      <c r="C637" s="22">
        <f>YEAR(Table1_1[[#This Row],[Order Date]])</f>
        <v>2024</v>
      </c>
      <c r="D637" s="22" t="str">
        <f>TEXT(Table1_1[[#This Row],[Order Date]],"MMMM")</f>
        <v>November</v>
      </c>
      <c r="E637" s="22" t="s">
        <v>26</v>
      </c>
      <c r="F637" s="22" t="s">
        <v>53</v>
      </c>
      <c r="G637" s="22" t="s">
        <v>105</v>
      </c>
      <c r="H637" s="22" t="s">
        <v>39</v>
      </c>
      <c r="I637" s="22" t="s">
        <v>20</v>
      </c>
      <c r="J637" s="22" t="s">
        <v>45</v>
      </c>
      <c r="K637" s="22" t="s">
        <v>1618</v>
      </c>
      <c r="L637" s="22" t="s">
        <v>23</v>
      </c>
      <c r="M637" s="22" t="s">
        <v>78</v>
      </c>
      <c r="N637" s="22">
        <v>25</v>
      </c>
      <c r="O637" s="26">
        <v>1899</v>
      </c>
      <c r="P637" s="22">
        <v>0.05</v>
      </c>
      <c r="Q637" s="30">
        <v>1080</v>
      </c>
      <c r="R637" s="33">
        <f>Table1_1[[#This Row],[Units Sold]]*Table1_1[[#This Row],[Unit Price]]*1-Table1_1[[#This Row],[Discount]]</f>
        <v>47474.95</v>
      </c>
      <c r="S637" s="33">
        <f>Table1_1[[#This Row],[Units Sold]]*Table1_1[[#This Row],[Unit Cost]]</f>
        <v>27000</v>
      </c>
      <c r="T637" s="33">
        <f>Table1_1[[#This Row],[Sales Amount]]-S637</f>
        <v>20474.949999999997</v>
      </c>
      <c r="U637" s="32">
        <f>IFERROR(Table1_1[[#This Row],[Profit/loss]]/Table1_1[[#This Row],[Sales Amount]],0)</f>
        <v>0.43127902188417255</v>
      </c>
    </row>
    <row r="638" spans="1:21" ht="18" x14ac:dyDescent="0.35">
      <c r="A638" s="21" t="s">
        <v>745</v>
      </c>
      <c r="B638" s="36">
        <v>45608</v>
      </c>
      <c r="C638" s="22">
        <f>YEAR(Table1_1[[#This Row],[Order Date]])</f>
        <v>2024</v>
      </c>
      <c r="D638" s="22" t="str">
        <f>TEXT(Table1_1[[#This Row],[Order Date]],"MMMM")</f>
        <v>November</v>
      </c>
      <c r="E638" s="22" t="s">
        <v>16</v>
      </c>
      <c r="F638" s="22" t="s">
        <v>126</v>
      </c>
      <c r="G638" s="22" t="s">
        <v>101</v>
      </c>
      <c r="H638" s="22" t="s">
        <v>19</v>
      </c>
      <c r="I638" s="22" t="s">
        <v>20</v>
      </c>
      <c r="J638" s="22" t="s">
        <v>45</v>
      </c>
      <c r="K638" s="22" t="s">
        <v>1618</v>
      </c>
      <c r="L638" s="22" t="s">
        <v>33</v>
      </c>
      <c r="M638" s="22" t="s">
        <v>24</v>
      </c>
      <c r="N638" s="22">
        <v>26</v>
      </c>
      <c r="O638" s="26">
        <v>1899</v>
      </c>
      <c r="P638" s="22">
        <v>0.08</v>
      </c>
      <c r="Q638" s="30">
        <v>1080</v>
      </c>
      <c r="R638" s="33">
        <f>Table1_1[[#This Row],[Units Sold]]*Table1_1[[#This Row],[Unit Price]]*1-Table1_1[[#This Row],[Discount]]</f>
        <v>49373.919999999998</v>
      </c>
      <c r="S638" s="33">
        <f>Table1_1[[#This Row],[Units Sold]]*Table1_1[[#This Row],[Unit Cost]]</f>
        <v>28080</v>
      </c>
      <c r="T638" s="33">
        <f>Table1_1[[#This Row],[Sales Amount]]-S638</f>
        <v>21293.919999999998</v>
      </c>
      <c r="U638" s="32">
        <f>IFERROR(Table1_1[[#This Row],[Profit/loss]]/Table1_1[[#This Row],[Sales Amount]],0)</f>
        <v>0.43127869936193031</v>
      </c>
    </row>
    <row r="639" spans="1:21" ht="18" x14ac:dyDescent="0.35">
      <c r="A639" s="21" t="s">
        <v>746</v>
      </c>
      <c r="B639" s="36">
        <v>45608</v>
      </c>
      <c r="C639" s="22">
        <f>YEAR(Table1_1[[#This Row],[Order Date]])</f>
        <v>2024</v>
      </c>
      <c r="D639" s="22" t="str">
        <f>TEXT(Table1_1[[#This Row],[Order Date]],"MMMM")</f>
        <v>November</v>
      </c>
      <c r="E639" s="22" t="s">
        <v>36</v>
      </c>
      <c r="F639" s="22" t="s">
        <v>121</v>
      </c>
      <c r="G639" s="22" t="s">
        <v>50</v>
      </c>
      <c r="H639" s="22" t="s">
        <v>29</v>
      </c>
      <c r="I639" s="22" t="s">
        <v>40</v>
      </c>
      <c r="J639" s="22" t="s">
        <v>41</v>
      </c>
      <c r="K639" s="22" t="s">
        <v>1624</v>
      </c>
      <c r="L639" s="22" t="s">
        <v>33</v>
      </c>
      <c r="M639" s="22" t="s">
        <v>34</v>
      </c>
      <c r="N639" s="22">
        <v>2</v>
      </c>
      <c r="O639" s="26">
        <v>48990</v>
      </c>
      <c r="P639" s="22">
        <v>0.12</v>
      </c>
      <c r="Q639" s="30">
        <v>30100</v>
      </c>
      <c r="R639" s="33">
        <f>Table1_1[[#This Row],[Units Sold]]*Table1_1[[#This Row],[Unit Price]]*1-Table1_1[[#This Row],[Discount]]</f>
        <v>97979.88</v>
      </c>
      <c r="S639" s="33">
        <f>Table1_1[[#This Row],[Units Sold]]*Table1_1[[#This Row],[Unit Cost]]</f>
        <v>60200</v>
      </c>
      <c r="T639" s="33">
        <f>Table1_1[[#This Row],[Sales Amount]]-S639</f>
        <v>37779.880000000005</v>
      </c>
      <c r="U639" s="32">
        <f>IFERROR(Table1_1[[#This Row],[Profit/loss]]/Table1_1[[#This Row],[Sales Amount]],0)</f>
        <v>0.38558814319837914</v>
      </c>
    </row>
    <row r="640" spans="1:21" ht="18" x14ac:dyDescent="0.35">
      <c r="A640" s="21" t="s">
        <v>747</v>
      </c>
      <c r="B640" s="36">
        <v>45609</v>
      </c>
      <c r="C640" s="22">
        <f>YEAR(Table1_1[[#This Row],[Order Date]])</f>
        <v>2024</v>
      </c>
      <c r="D640" s="22" t="str">
        <f>TEXT(Table1_1[[#This Row],[Order Date]],"MMMM")</f>
        <v>November</v>
      </c>
      <c r="E640" s="22" t="s">
        <v>36</v>
      </c>
      <c r="F640" s="22" t="s">
        <v>121</v>
      </c>
      <c r="G640" s="22" t="s">
        <v>38</v>
      </c>
      <c r="H640" s="22" t="s">
        <v>19</v>
      </c>
      <c r="I640" s="22" t="s">
        <v>20</v>
      </c>
      <c r="J640" s="22" t="s">
        <v>45</v>
      </c>
      <c r="K640" s="22" t="s">
        <v>1622</v>
      </c>
      <c r="L640" s="22" t="s">
        <v>23</v>
      </c>
      <c r="M640" s="22" t="s">
        <v>34</v>
      </c>
      <c r="N640" s="22">
        <v>20</v>
      </c>
      <c r="O640" s="26">
        <v>1599</v>
      </c>
      <c r="P640" s="22">
        <v>0.15</v>
      </c>
      <c r="Q640" s="30">
        <v>920</v>
      </c>
      <c r="R640" s="33">
        <f>Table1_1[[#This Row],[Units Sold]]*Table1_1[[#This Row],[Unit Price]]*1-Table1_1[[#This Row],[Discount]]</f>
        <v>31979.85</v>
      </c>
      <c r="S640" s="33">
        <f>Table1_1[[#This Row],[Units Sold]]*Table1_1[[#This Row],[Unit Cost]]</f>
        <v>18400</v>
      </c>
      <c r="T640" s="33">
        <f>Table1_1[[#This Row],[Sales Amount]]-S640</f>
        <v>13579.849999999999</v>
      </c>
      <c r="U640" s="32">
        <f>IFERROR(Table1_1[[#This Row],[Profit/loss]]/Table1_1[[#This Row],[Sales Amount]],0)</f>
        <v>0.42463770155269642</v>
      </c>
    </row>
    <row r="641" spans="1:21" ht="18" x14ac:dyDescent="0.35">
      <c r="A641" s="21" t="s">
        <v>748</v>
      </c>
      <c r="B641" s="36">
        <v>45609</v>
      </c>
      <c r="C641" s="22">
        <f>YEAR(Table1_1[[#This Row],[Order Date]])</f>
        <v>2024</v>
      </c>
      <c r="D641" s="22" t="str">
        <f>TEXT(Table1_1[[#This Row],[Order Date]],"MMMM")</f>
        <v>November</v>
      </c>
      <c r="E641" s="22" t="s">
        <v>16</v>
      </c>
      <c r="F641" s="22" t="s">
        <v>17</v>
      </c>
      <c r="G641" s="22" t="s">
        <v>28</v>
      </c>
      <c r="H641" s="22" t="s">
        <v>19</v>
      </c>
      <c r="I641" s="22" t="s">
        <v>30</v>
      </c>
      <c r="J641" s="22" t="s">
        <v>61</v>
      </c>
      <c r="K641" s="22" t="s">
        <v>96</v>
      </c>
      <c r="L641" s="22" t="s">
        <v>57</v>
      </c>
      <c r="M641" s="22" t="s">
        <v>24</v>
      </c>
      <c r="N641" s="22">
        <v>36</v>
      </c>
      <c r="O641" s="26">
        <v>25110</v>
      </c>
      <c r="P641" s="22">
        <v>0.2</v>
      </c>
      <c r="Q641" s="30">
        <v>16730</v>
      </c>
      <c r="R641" s="33">
        <f>Table1_1[[#This Row],[Units Sold]]*Table1_1[[#This Row],[Unit Price]]*1-Table1_1[[#This Row],[Discount]]</f>
        <v>903959.8</v>
      </c>
      <c r="S641" s="33">
        <f>Table1_1[[#This Row],[Units Sold]]*Table1_1[[#This Row],[Unit Cost]]</f>
        <v>602280</v>
      </c>
      <c r="T641" s="33">
        <f>Table1_1[[#This Row],[Sales Amount]]-S641</f>
        <v>301679.80000000005</v>
      </c>
      <c r="U641" s="32">
        <f>IFERROR(Table1_1[[#This Row],[Profit/loss]]/Table1_1[[#This Row],[Sales Amount]],0)</f>
        <v>0.33373143363233632</v>
      </c>
    </row>
    <row r="642" spans="1:21" ht="18" x14ac:dyDescent="0.35">
      <c r="A642" s="21" t="s">
        <v>749</v>
      </c>
      <c r="B642" s="36">
        <v>45610</v>
      </c>
      <c r="C642" s="22">
        <f>YEAR(Table1_1[[#This Row],[Order Date]])</f>
        <v>2024</v>
      </c>
      <c r="D642" s="22" t="str">
        <f>TEXT(Table1_1[[#This Row],[Order Date]],"MMMM")</f>
        <v>November</v>
      </c>
      <c r="E642" s="22" t="s">
        <v>36</v>
      </c>
      <c r="F642" s="22" t="s">
        <v>44</v>
      </c>
      <c r="G642" s="22" t="s">
        <v>84</v>
      </c>
      <c r="H642" s="22" t="s">
        <v>19</v>
      </c>
      <c r="I642" s="22" t="s">
        <v>54</v>
      </c>
      <c r="J642" s="22" t="s">
        <v>90</v>
      </c>
      <c r="K642" s="22" t="s">
        <v>1625</v>
      </c>
      <c r="L642" s="22" t="s">
        <v>33</v>
      </c>
      <c r="M642" s="22" t="s">
        <v>24</v>
      </c>
      <c r="N642" s="22">
        <v>27</v>
      </c>
      <c r="O642" s="26">
        <v>32800</v>
      </c>
      <c r="P642" s="22">
        <v>0.18</v>
      </c>
      <c r="Q642" s="30">
        <v>23100</v>
      </c>
      <c r="R642" s="33">
        <f>Table1_1[[#This Row],[Units Sold]]*Table1_1[[#This Row],[Unit Price]]*1-Table1_1[[#This Row],[Discount]]</f>
        <v>885599.82</v>
      </c>
      <c r="S642" s="33">
        <f>Table1_1[[#This Row],[Units Sold]]*Table1_1[[#This Row],[Unit Cost]]</f>
        <v>623700</v>
      </c>
      <c r="T642" s="33">
        <f>Table1_1[[#This Row],[Sales Amount]]-S642</f>
        <v>261899.81999999995</v>
      </c>
      <c r="U642" s="32">
        <f>IFERROR(Table1_1[[#This Row],[Profit/loss]]/Table1_1[[#This Row],[Sales Amount]],0)</f>
        <v>0.29573156417308211</v>
      </c>
    </row>
    <row r="643" spans="1:21" ht="18" x14ac:dyDescent="0.35">
      <c r="A643" s="21" t="s">
        <v>750</v>
      </c>
      <c r="B643" s="36">
        <v>45610</v>
      </c>
      <c r="C643" s="22">
        <f>YEAR(Table1_1[[#This Row],[Order Date]])</f>
        <v>2024</v>
      </c>
      <c r="D643" s="22" t="str">
        <f>TEXT(Table1_1[[#This Row],[Order Date]],"MMMM")</f>
        <v>November</v>
      </c>
      <c r="E643" s="22" t="s">
        <v>16</v>
      </c>
      <c r="F643" s="22" t="s">
        <v>98</v>
      </c>
      <c r="G643" s="22" t="s">
        <v>38</v>
      </c>
      <c r="H643" s="22" t="s">
        <v>19</v>
      </c>
      <c r="I643" s="22" t="s">
        <v>40</v>
      </c>
      <c r="J643" s="22" t="s">
        <v>76</v>
      </c>
      <c r="K643" s="22" t="s">
        <v>1626</v>
      </c>
      <c r="L643" s="22" t="s">
        <v>57</v>
      </c>
      <c r="M643" s="22" t="s">
        <v>78</v>
      </c>
      <c r="N643" s="22">
        <v>20</v>
      </c>
      <c r="O643" s="26">
        <v>25999</v>
      </c>
      <c r="P643" s="22">
        <v>0.18</v>
      </c>
      <c r="Q643" s="30">
        <v>17800</v>
      </c>
      <c r="R643" s="33">
        <f>Table1_1[[#This Row],[Units Sold]]*Table1_1[[#This Row],[Unit Price]]*1-Table1_1[[#This Row],[Discount]]</f>
        <v>519979.82</v>
      </c>
      <c r="S643" s="33">
        <f>Table1_1[[#This Row],[Units Sold]]*Table1_1[[#This Row],[Unit Cost]]</f>
        <v>356000</v>
      </c>
      <c r="T643" s="33">
        <f>Table1_1[[#This Row],[Sales Amount]]-S643</f>
        <v>163979.82</v>
      </c>
      <c r="U643" s="32">
        <f>IFERROR(Table1_1[[#This Row],[Profit/loss]]/Table1_1[[#This Row],[Sales Amount]],0)</f>
        <v>0.31535804601032402</v>
      </c>
    </row>
    <row r="644" spans="1:21" ht="18" x14ac:dyDescent="0.35">
      <c r="A644" s="21" t="s">
        <v>751</v>
      </c>
      <c r="B644" s="36">
        <v>45611</v>
      </c>
      <c r="C644" s="22">
        <f>YEAR(Table1_1[[#This Row],[Order Date]])</f>
        <v>2024</v>
      </c>
      <c r="D644" s="22" t="str">
        <f>TEXT(Table1_1[[#This Row],[Order Date]],"MMMM")</f>
        <v>November</v>
      </c>
      <c r="E644" s="22" t="s">
        <v>36</v>
      </c>
      <c r="F644" s="22" t="s">
        <v>121</v>
      </c>
      <c r="G644" s="22" t="s">
        <v>105</v>
      </c>
      <c r="H644" s="22" t="s">
        <v>39</v>
      </c>
      <c r="I644" s="22" t="s">
        <v>30</v>
      </c>
      <c r="J644" s="22" t="s">
        <v>61</v>
      </c>
      <c r="K644" s="22" t="s">
        <v>186</v>
      </c>
      <c r="L644" s="22" t="s">
        <v>23</v>
      </c>
      <c r="M644" s="22" t="s">
        <v>34</v>
      </c>
      <c r="N644" s="22">
        <v>36</v>
      </c>
      <c r="O644" s="26">
        <v>6999</v>
      </c>
      <c r="P644" s="22">
        <v>0.1</v>
      </c>
      <c r="Q644" s="30">
        <v>4320</v>
      </c>
      <c r="R644" s="33">
        <f>Table1_1[[#This Row],[Units Sold]]*Table1_1[[#This Row],[Unit Price]]*1-Table1_1[[#This Row],[Discount]]</f>
        <v>251963.9</v>
      </c>
      <c r="S644" s="33">
        <f>Table1_1[[#This Row],[Units Sold]]*Table1_1[[#This Row],[Unit Cost]]</f>
        <v>155520</v>
      </c>
      <c r="T644" s="33">
        <f>Table1_1[[#This Row],[Sales Amount]]-S644</f>
        <v>96443.9</v>
      </c>
      <c r="U644" s="32">
        <f>IFERROR(Table1_1[[#This Row],[Profit/loss]]/Table1_1[[#This Row],[Sales Amount]],0)</f>
        <v>0.38276872202724277</v>
      </c>
    </row>
    <row r="645" spans="1:21" ht="18" x14ac:dyDescent="0.35">
      <c r="A645" s="21" t="s">
        <v>752</v>
      </c>
      <c r="B645" s="36">
        <v>45612</v>
      </c>
      <c r="C645" s="22">
        <f>YEAR(Table1_1[[#This Row],[Order Date]])</f>
        <v>2024</v>
      </c>
      <c r="D645" s="22" t="str">
        <f>TEXT(Table1_1[[#This Row],[Order Date]],"MMMM")</f>
        <v>November</v>
      </c>
      <c r="E645" s="22" t="s">
        <v>36</v>
      </c>
      <c r="F645" s="22" t="s">
        <v>121</v>
      </c>
      <c r="G645" s="22" t="s">
        <v>84</v>
      </c>
      <c r="H645" s="22" t="s">
        <v>39</v>
      </c>
      <c r="I645" s="22" t="s">
        <v>20</v>
      </c>
      <c r="J645" s="22" t="s">
        <v>45</v>
      </c>
      <c r="K645" s="22" t="s">
        <v>1618</v>
      </c>
      <c r="L645" s="22" t="s">
        <v>33</v>
      </c>
      <c r="M645" s="22" t="s">
        <v>66</v>
      </c>
      <c r="N645" s="22">
        <v>19</v>
      </c>
      <c r="O645" s="26">
        <v>1899</v>
      </c>
      <c r="P645" s="22">
        <v>0.12</v>
      </c>
      <c r="Q645" s="30">
        <v>1080</v>
      </c>
      <c r="R645" s="33">
        <f>Table1_1[[#This Row],[Units Sold]]*Table1_1[[#This Row],[Unit Price]]*1-Table1_1[[#This Row],[Discount]]</f>
        <v>36080.879999999997</v>
      </c>
      <c r="S645" s="33">
        <f>Table1_1[[#This Row],[Units Sold]]*Table1_1[[#This Row],[Unit Cost]]</f>
        <v>20520</v>
      </c>
      <c r="T645" s="33">
        <f>Table1_1[[#This Row],[Sales Amount]]-S645</f>
        <v>15560.879999999997</v>
      </c>
      <c r="U645" s="32">
        <f>IFERROR(Table1_1[[#This Row],[Profit/loss]]/Table1_1[[#This Row],[Sales Amount]],0)</f>
        <v>0.43127772936801978</v>
      </c>
    </row>
    <row r="646" spans="1:21" ht="18" x14ac:dyDescent="0.35">
      <c r="A646" s="21" t="s">
        <v>753</v>
      </c>
      <c r="B646" s="36">
        <v>45613</v>
      </c>
      <c r="C646" s="22">
        <f>YEAR(Table1_1[[#This Row],[Order Date]])</f>
        <v>2024</v>
      </c>
      <c r="D646" s="22" t="str">
        <f>TEXT(Table1_1[[#This Row],[Order Date]],"MMMM")</f>
        <v>November</v>
      </c>
      <c r="E646" s="22" t="s">
        <v>82</v>
      </c>
      <c r="F646" s="22" t="s">
        <v>83</v>
      </c>
      <c r="G646" s="22" t="s">
        <v>105</v>
      </c>
      <c r="H646" s="22" t="s">
        <v>39</v>
      </c>
      <c r="I646" s="22" t="s">
        <v>20</v>
      </c>
      <c r="J646" s="22" t="s">
        <v>45</v>
      </c>
      <c r="K646" s="22" t="s">
        <v>1618</v>
      </c>
      <c r="L646" s="22" t="s">
        <v>23</v>
      </c>
      <c r="M646" s="22" t="s">
        <v>24</v>
      </c>
      <c r="N646" s="22">
        <v>31</v>
      </c>
      <c r="O646" s="26">
        <v>1899</v>
      </c>
      <c r="P646" s="22">
        <v>0.08</v>
      </c>
      <c r="Q646" s="30">
        <v>1080</v>
      </c>
      <c r="R646" s="33">
        <f>Table1_1[[#This Row],[Units Sold]]*Table1_1[[#This Row],[Unit Price]]*1-Table1_1[[#This Row],[Discount]]</f>
        <v>58868.92</v>
      </c>
      <c r="S646" s="33">
        <f>Table1_1[[#This Row],[Units Sold]]*Table1_1[[#This Row],[Unit Cost]]</f>
        <v>33480</v>
      </c>
      <c r="T646" s="33">
        <f>Table1_1[[#This Row],[Sales Amount]]-S646</f>
        <v>25388.92</v>
      </c>
      <c r="U646" s="32">
        <f>IFERROR(Table1_1[[#This Row],[Profit/loss]]/Table1_1[[#This Row],[Sales Amount]],0)</f>
        <v>0.4312788479897372</v>
      </c>
    </row>
    <row r="647" spans="1:21" ht="18" x14ac:dyDescent="0.35">
      <c r="A647" s="21" t="s">
        <v>754</v>
      </c>
      <c r="B647" s="36">
        <v>45614</v>
      </c>
      <c r="C647" s="22">
        <f>YEAR(Table1_1[[#This Row],[Order Date]])</f>
        <v>2024</v>
      </c>
      <c r="D647" s="22" t="str">
        <f>TEXT(Table1_1[[#This Row],[Order Date]],"MMMM")</f>
        <v>November</v>
      </c>
      <c r="E647" s="22" t="s">
        <v>16</v>
      </c>
      <c r="F647" s="22" t="s">
        <v>17</v>
      </c>
      <c r="G647" s="22" t="s">
        <v>75</v>
      </c>
      <c r="H647" s="22" t="s">
        <v>19</v>
      </c>
      <c r="I647" s="22" t="s">
        <v>20</v>
      </c>
      <c r="J647" s="22" t="s">
        <v>21</v>
      </c>
      <c r="K647" s="22" t="s">
        <v>115</v>
      </c>
      <c r="L647" s="22" t="s">
        <v>57</v>
      </c>
      <c r="M647" s="22" t="s">
        <v>34</v>
      </c>
      <c r="N647" s="22">
        <v>5</v>
      </c>
      <c r="O647" s="26">
        <v>6499</v>
      </c>
      <c r="P647" s="22">
        <v>0.15</v>
      </c>
      <c r="Q647" s="30">
        <v>4210</v>
      </c>
      <c r="R647" s="33">
        <f>Table1_1[[#This Row],[Units Sold]]*Table1_1[[#This Row],[Unit Price]]*1-Table1_1[[#This Row],[Discount]]</f>
        <v>32494.85</v>
      </c>
      <c r="S647" s="33">
        <f>Table1_1[[#This Row],[Units Sold]]*Table1_1[[#This Row],[Unit Cost]]</f>
        <v>21050</v>
      </c>
      <c r="T647" s="33">
        <f>Table1_1[[#This Row],[Sales Amount]]-S647</f>
        <v>11444.849999999999</v>
      </c>
      <c r="U647" s="32">
        <f>IFERROR(Table1_1[[#This Row],[Profit/loss]]/Table1_1[[#This Row],[Sales Amount]],0)</f>
        <v>0.3522050417219959</v>
      </c>
    </row>
    <row r="648" spans="1:21" ht="18" x14ac:dyDescent="0.35">
      <c r="A648" s="21" t="s">
        <v>755</v>
      </c>
      <c r="B648" s="36">
        <v>45615</v>
      </c>
      <c r="C648" s="22">
        <f>YEAR(Table1_1[[#This Row],[Order Date]])</f>
        <v>2024</v>
      </c>
      <c r="D648" s="22" t="str">
        <f>TEXT(Table1_1[[#This Row],[Order Date]],"MMMM")</f>
        <v>November</v>
      </c>
      <c r="E648" s="22" t="s">
        <v>82</v>
      </c>
      <c r="F648" s="22" t="s">
        <v>100</v>
      </c>
      <c r="G648" s="22" t="s">
        <v>18</v>
      </c>
      <c r="H648" s="22" t="s">
        <v>29</v>
      </c>
      <c r="I648" s="22" t="s">
        <v>30</v>
      </c>
      <c r="J648" s="22" t="s">
        <v>61</v>
      </c>
      <c r="K648" s="22" t="s">
        <v>62</v>
      </c>
      <c r="L648" s="22" t="s">
        <v>57</v>
      </c>
      <c r="M648" s="22" t="s">
        <v>34</v>
      </c>
      <c r="N648" s="22">
        <v>10</v>
      </c>
      <c r="O648" s="26">
        <v>12490</v>
      </c>
      <c r="P648" s="22">
        <v>0.15</v>
      </c>
      <c r="Q648" s="30">
        <v>7900</v>
      </c>
      <c r="R648" s="33">
        <f>Table1_1[[#This Row],[Units Sold]]*Table1_1[[#This Row],[Unit Price]]*1-Table1_1[[#This Row],[Discount]]</f>
        <v>124899.85</v>
      </c>
      <c r="S648" s="33">
        <f>Table1_1[[#This Row],[Units Sold]]*Table1_1[[#This Row],[Unit Cost]]</f>
        <v>79000</v>
      </c>
      <c r="T648" s="33">
        <f>Table1_1[[#This Row],[Sales Amount]]-S648</f>
        <v>45899.850000000006</v>
      </c>
      <c r="U648" s="32">
        <f>IFERROR(Table1_1[[#This Row],[Profit/loss]]/Table1_1[[#This Row],[Sales Amount]],0)</f>
        <v>0.36749323558034702</v>
      </c>
    </row>
    <row r="649" spans="1:21" ht="18" x14ac:dyDescent="0.35">
      <c r="A649" s="21" t="s">
        <v>756</v>
      </c>
      <c r="B649" s="36">
        <v>45615</v>
      </c>
      <c r="C649" s="22">
        <f>YEAR(Table1_1[[#This Row],[Order Date]])</f>
        <v>2024</v>
      </c>
      <c r="D649" s="22" t="str">
        <f>TEXT(Table1_1[[#This Row],[Order Date]],"MMMM")</f>
        <v>November</v>
      </c>
      <c r="E649" s="22" t="s">
        <v>16</v>
      </c>
      <c r="F649" s="22" t="s">
        <v>111</v>
      </c>
      <c r="G649" s="22" t="s">
        <v>69</v>
      </c>
      <c r="H649" s="22" t="s">
        <v>19</v>
      </c>
      <c r="I649" s="22" t="s">
        <v>40</v>
      </c>
      <c r="J649" s="22" t="s">
        <v>41</v>
      </c>
      <c r="K649" s="22" t="s">
        <v>1624</v>
      </c>
      <c r="L649" s="22" t="s">
        <v>23</v>
      </c>
      <c r="M649" s="22" t="s">
        <v>78</v>
      </c>
      <c r="N649" s="22">
        <v>1</v>
      </c>
      <c r="O649" s="26">
        <v>48990</v>
      </c>
      <c r="P649" s="22">
        <v>0.18</v>
      </c>
      <c r="Q649" s="30">
        <v>30100</v>
      </c>
      <c r="R649" s="33">
        <f>Table1_1[[#This Row],[Units Sold]]*Table1_1[[#This Row],[Unit Price]]*1-Table1_1[[#This Row],[Discount]]</f>
        <v>48989.82</v>
      </c>
      <c r="S649" s="33">
        <f>Table1_1[[#This Row],[Units Sold]]*Table1_1[[#This Row],[Unit Cost]]</f>
        <v>30100</v>
      </c>
      <c r="T649" s="33">
        <f>Table1_1[[#This Row],[Sales Amount]]-S649</f>
        <v>18889.82</v>
      </c>
      <c r="U649" s="32">
        <f>IFERROR(Table1_1[[#This Row],[Profit/loss]]/Table1_1[[#This Row],[Sales Amount]],0)</f>
        <v>0.38558663820361044</v>
      </c>
    </row>
    <row r="650" spans="1:21" ht="18" x14ac:dyDescent="0.35">
      <c r="A650" s="21" t="s">
        <v>757</v>
      </c>
      <c r="B650" s="36">
        <v>45615</v>
      </c>
      <c r="C650" s="22">
        <f>YEAR(Table1_1[[#This Row],[Order Date]])</f>
        <v>2024</v>
      </c>
      <c r="D650" s="22" t="str">
        <f>TEXT(Table1_1[[#This Row],[Order Date]],"MMMM")</f>
        <v>November</v>
      </c>
      <c r="E650" s="22" t="s">
        <v>26</v>
      </c>
      <c r="F650" s="22" t="s">
        <v>27</v>
      </c>
      <c r="G650" s="22" t="s">
        <v>69</v>
      </c>
      <c r="H650" s="22" t="s">
        <v>19</v>
      </c>
      <c r="I650" s="22" t="s">
        <v>30</v>
      </c>
      <c r="J650" s="22" t="s">
        <v>61</v>
      </c>
      <c r="K650" s="22" t="s">
        <v>96</v>
      </c>
      <c r="L650" s="22" t="s">
        <v>57</v>
      </c>
      <c r="M650" s="22" t="s">
        <v>24</v>
      </c>
      <c r="N650" s="22">
        <v>11</v>
      </c>
      <c r="O650" s="26">
        <v>25110</v>
      </c>
      <c r="P650" s="22">
        <v>0.12</v>
      </c>
      <c r="Q650" s="30">
        <v>16730</v>
      </c>
      <c r="R650" s="33">
        <f>Table1_1[[#This Row],[Units Sold]]*Table1_1[[#This Row],[Unit Price]]*1-Table1_1[[#This Row],[Discount]]</f>
        <v>276209.88</v>
      </c>
      <c r="S650" s="33">
        <f>Table1_1[[#This Row],[Units Sold]]*Table1_1[[#This Row],[Unit Cost]]</f>
        <v>184030</v>
      </c>
      <c r="T650" s="33">
        <f>Table1_1[[#This Row],[Sales Amount]]-S650</f>
        <v>92179.88</v>
      </c>
      <c r="U650" s="32">
        <f>IFERROR(Table1_1[[#This Row],[Profit/loss]]/Table1_1[[#This Row],[Sales Amount]],0)</f>
        <v>0.33373129158160453</v>
      </c>
    </row>
    <row r="651" spans="1:21" ht="18" x14ac:dyDescent="0.35">
      <c r="A651" s="21" t="s">
        <v>758</v>
      </c>
      <c r="B651" s="36">
        <v>45616</v>
      </c>
      <c r="C651" s="22">
        <f>YEAR(Table1_1[[#This Row],[Order Date]])</f>
        <v>2024</v>
      </c>
      <c r="D651" s="22" t="str">
        <f>TEXT(Table1_1[[#This Row],[Order Date]],"MMMM")</f>
        <v>November</v>
      </c>
      <c r="E651" s="22" t="s">
        <v>36</v>
      </c>
      <c r="F651" s="22" t="s">
        <v>44</v>
      </c>
      <c r="G651" s="22" t="s">
        <v>60</v>
      </c>
      <c r="H651" s="22" t="s">
        <v>19</v>
      </c>
      <c r="I651" s="22" t="s">
        <v>54</v>
      </c>
      <c r="J651" s="22" t="s">
        <v>55</v>
      </c>
      <c r="K651" s="22" t="s">
        <v>56</v>
      </c>
      <c r="L651" s="22" t="s">
        <v>57</v>
      </c>
      <c r="M651" s="22" t="s">
        <v>66</v>
      </c>
      <c r="N651" s="22">
        <v>12</v>
      </c>
      <c r="O651" s="26">
        <v>7299</v>
      </c>
      <c r="P651" s="22">
        <v>0.1</v>
      </c>
      <c r="Q651" s="30">
        <v>5010</v>
      </c>
      <c r="R651" s="33">
        <f>Table1_1[[#This Row],[Units Sold]]*Table1_1[[#This Row],[Unit Price]]*1-Table1_1[[#This Row],[Discount]]</f>
        <v>87587.9</v>
      </c>
      <c r="S651" s="33">
        <f>Table1_1[[#This Row],[Units Sold]]*Table1_1[[#This Row],[Unit Cost]]</f>
        <v>60120</v>
      </c>
      <c r="T651" s="33">
        <f>Table1_1[[#This Row],[Sales Amount]]-S651</f>
        <v>27467.899999999994</v>
      </c>
      <c r="U651" s="32">
        <f>IFERROR(Table1_1[[#This Row],[Profit/loss]]/Table1_1[[#This Row],[Sales Amount]],0)</f>
        <v>0.3136038197056899</v>
      </c>
    </row>
    <row r="652" spans="1:21" ht="18" x14ac:dyDescent="0.35">
      <c r="A652" s="21" t="s">
        <v>759</v>
      </c>
      <c r="B652" s="36">
        <v>45616</v>
      </c>
      <c r="C652" s="22">
        <f>YEAR(Table1_1[[#This Row],[Order Date]])</f>
        <v>2024</v>
      </c>
      <c r="D652" s="22" t="str">
        <f>TEXT(Table1_1[[#This Row],[Order Date]],"MMMM")</f>
        <v>November</v>
      </c>
      <c r="E652" s="22" t="s">
        <v>16</v>
      </c>
      <c r="F652" s="22" t="s">
        <v>17</v>
      </c>
      <c r="G652" s="22" t="s">
        <v>38</v>
      </c>
      <c r="H652" s="22" t="s">
        <v>39</v>
      </c>
      <c r="I652" s="22" t="s">
        <v>20</v>
      </c>
      <c r="J652" s="22" t="s">
        <v>45</v>
      </c>
      <c r="K652" s="22" t="s">
        <v>1622</v>
      </c>
      <c r="L652" s="22" t="s">
        <v>23</v>
      </c>
      <c r="M652" s="22" t="s">
        <v>24</v>
      </c>
      <c r="N652" s="22">
        <v>24</v>
      </c>
      <c r="O652" s="26">
        <v>1599</v>
      </c>
      <c r="P652" s="22">
        <v>0.12</v>
      </c>
      <c r="Q652" s="30">
        <v>920</v>
      </c>
      <c r="R652" s="33">
        <f>Table1_1[[#This Row],[Units Sold]]*Table1_1[[#This Row],[Unit Price]]*1-Table1_1[[#This Row],[Discount]]</f>
        <v>38375.879999999997</v>
      </c>
      <c r="S652" s="33">
        <f>Table1_1[[#This Row],[Units Sold]]*Table1_1[[#This Row],[Unit Cost]]</f>
        <v>22080</v>
      </c>
      <c r="T652" s="33">
        <f>Table1_1[[#This Row],[Sales Amount]]-S652</f>
        <v>16295.879999999997</v>
      </c>
      <c r="U652" s="32">
        <f>IFERROR(Table1_1[[#This Row],[Profit/loss]]/Table1_1[[#This Row],[Sales Amount]],0)</f>
        <v>0.42463860112132928</v>
      </c>
    </row>
    <row r="653" spans="1:21" ht="18" x14ac:dyDescent="0.35">
      <c r="A653" s="21" t="s">
        <v>760</v>
      </c>
      <c r="B653" s="36">
        <v>45617</v>
      </c>
      <c r="C653" s="22">
        <f>YEAR(Table1_1[[#This Row],[Order Date]])</f>
        <v>2024</v>
      </c>
      <c r="D653" s="22" t="str">
        <f>TEXT(Table1_1[[#This Row],[Order Date]],"MMMM")</f>
        <v>November</v>
      </c>
      <c r="E653" s="22" t="s">
        <v>16</v>
      </c>
      <c r="F653" s="22" t="s">
        <v>98</v>
      </c>
      <c r="G653" s="22" t="s">
        <v>38</v>
      </c>
      <c r="H653" s="22" t="s">
        <v>39</v>
      </c>
      <c r="I653" s="22" t="s">
        <v>30</v>
      </c>
      <c r="J653" s="22" t="s">
        <v>61</v>
      </c>
      <c r="K653" s="22" t="s">
        <v>186</v>
      </c>
      <c r="L653" s="22" t="s">
        <v>57</v>
      </c>
      <c r="M653" s="22" t="s">
        <v>24</v>
      </c>
      <c r="N653" s="22">
        <v>28</v>
      </c>
      <c r="O653" s="26">
        <v>6999</v>
      </c>
      <c r="P653" s="22">
        <v>0.1</v>
      </c>
      <c r="Q653" s="30">
        <v>4320</v>
      </c>
      <c r="R653" s="33">
        <f>Table1_1[[#This Row],[Units Sold]]*Table1_1[[#This Row],[Unit Price]]*1-Table1_1[[#This Row],[Discount]]</f>
        <v>195971.9</v>
      </c>
      <c r="S653" s="33">
        <f>Table1_1[[#This Row],[Units Sold]]*Table1_1[[#This Row],[Unit Cost]]</f>
        <v>120960</v>
      </c>
      <c r="T653" s="33">
        <f>Table1_1[[#This Row],[Sales Amount]]-S653</f>
        <v>75011.899999999994</v>
      </c>
      <c r="U653" s="32">
        <f>IFERROR(Table1_1[[#This Row],[Profit/loss]]/Table1_1[[#This Row],[Sales Amount]],0)</f>
        <v>0.38276865203633786</v>
      </c>
    </row>
    <row r="654" spans="1:21" ht="18" x14ac:dyDescent="0.35">
      <c r="A654" s="21" t="s">
        <v>761</v>
      </c>
      <c r="B654" s="36">
        <v>45617</v>
      </c>
      <c r="C654" s="22">
        <f>YEAR(Table1_1[[#This Row],[Order Date]])</f>
        <v>2024</v>
      </c>
      <c r="D654" s="22" t="str">
        <f>TEXT(Table1_1[[#This Row],[Order Date]],"MMMM")</f>
        <v>November</v>
      </c>
      <c r="E654" s="22" t="s">
        <v>82</v>
      </c>
      <c r="F654" s="22" t="s">
        <v>183</v>
      </c>
      <c r="G654" s="22" t="s">
        <v>60</v>
      </c>
      <c r="H654" s="22" t="s">
        <v>39</v>
      </c>
      <c r="I654" s="22" t="s">
        <v>20</v>
      </c>
      <c r="J654" s="22" t="s">
        <v>45</v>
      </c>
      <c r="K654" s="22" t="s">
        <v>196</v>
      </c>
      <c r="L654" s="22" t="s">
        <v>23</v>
      </c>
      <c r="M654" s="22" t="s">
        <v>34</v>
      </c>
      <c r="N654" s="22">
        <v>37</v>
      </c>
      <c r="O654" s="26">
        <v>2499</v>
      </c>
      <c r="P654" s="22">
        <v>0.18</v>
      </c>
      <c r="Q654" s="30">
        <v>1510</v>
      </c>
      <c r="R654" s="33">
        <f>Table1_1[[#This Row],[Units Sold]]*Table1_1[[#This Row],[Unit Price]]*1-Table1_1[[#This Row],[Discount]]</f>
        <v>92462.82</v>
      </c>
      <c r="S654" s="33">
        <f>Table1_1[[#This Row],[Units Sold]]*Table1_1[[#This Row],[Unit Cost]]</f>
        <v>55870</v>
      </c>
      <c r="T654" s="33">
        <f>Table1_1[[#This Row],[Sales Amount]]-S654</f>
        <v>36592.820000000007</v>
      </c>
      <c r="U654" s="32">
        <f>IFERROR(Table1_1[[#This Row],[Profit/loss]]/Table1_1[[#This Row],[Sales Amount]],0)</f>
        <v>0.39575712702684174</v>
      </c>
    </row>
    <row r="655" spans="1:21" ht="18" x14ac:dyDescent="0.35">
      <c r="A655" s="21" t="s">
        <v>762</v>
      </c>
      <c r="B655" s="36">
        <v>45618</v>
      </c>
      <c r="C655" s="22">
        <f>YEAR(Table1_1[[#This Row],[Order Date]])</f>
        <v>2024</v>
      </c>
      <c r="D655" s="22" t="str">
        <f>TEXT(Table1_1[[#This Row],[Order Date]],"MMMM")</f>
        <v>November</v>
      </c>
      <c r="E655" s="22" t="s">
        <v>48</v>
      </c>
      <c r="F655" s="22" t="s">
        <v>49</v>
      </c>
      <c r="G655" s="22" t="s">
        <v>69</v>
      </c>
      <c r="H655" s="22" t="s">
        <v>19</v>
      </c>
      <c r="I655" s="22" t="s">
        <v>40</v>
      </c>
      <c r="J655" s="22" t="s">
        <v>64</v>
      </c>
      <c r="K655" s="22" t="s">
        <v>1627</v>
      </c>
      <c r="L655" s="22" t="s">
        <v>33</v>
      </c>
      <c r="M655" s="22" t="s">
        <v>24</v>
      </c>
      <c r="N655" s="22">
        <v>39</v>
      </c>
      <c r="O655" s="26">
        <v>4490</v>
      </c>
      <c r="P655" s="22">
        <v>0.15</v>
      </c>
      <c r="Q655" s="30">
        <v>2950</v>
      </c>
      <c r="R655" s="33">
        <f>Table1_1[[#This Row],[Units Sold]]*Table1_1[[#This Row],[Unit Price]]*1-Table1_1[[#This Row],[Discount]]</f>
        <v>175109.85</v>
      </c>
      <c r="S655" s="33">
        <f>Table1_1[[#This Row],[Units Sold]]*Table1_1[[#This Row],[Unit Cost]]</f>
        <v>115050</v>
      </c>
      <c r="T655" s="33">
        <f>Table1_1[[#This Row],[Sales Amount]]-S655</f>
        <v>60059.850000000006</v>
      </c>
      <c r="U655" s="32">
        <f>IFERROR(Table1_1[[#This Row],[Profit/loss]]/Table1_1[[#This Row],[Sales Amount]],0)</f>
        <v>0.34298384699661388</v>
      </c>
    </row>
    <row r="656" spans="1:21" ht="18" x14ac:dyDescent="0.35">
      <c r="A656" s="21" t="s">
        <v>763</v>
      </c>
      <c r="B656" s="36">
        <v>45618</v>
      </c>
      <c r="C656" s="22">
        <f>YEAR(Table1_1[[#This Row],[Order Date]])</f>
        <v>2024</v>
      </c>
      <c r="D656" s="22" t="str">
        <f>TEXT(Table1_1[[#This Row],[Order Date]],"MMMM")</f>
        <v>November</v>
      </c>
      <c r="E656" s="22" t="s">
        <v>26</v>
      </c>
      <c r="F656" s="22" t="s">
        <v>53</v>
      </c>
      <c r="G656" s="22" t="s">
        <v>75</v>
      </c>
      <c r="H656" s="22" t="s">
        <v>39</v>
      </c>
      <c r="I656" s="22" t="s">
        <v>70</v>
      </c>
      <c r="J656" s="22" t="s">
        <v>71</v>
      </c>
      <c r="K656" s="22" t="s">
        <v>88</v>
      </c>
      <c r="L656" s="22" t="s">
        <v>57</v>
      </c>
      <c r="M656" s="22" t="s">
        <v>24</v>
      </c>
      <c r="N656" s="22">
        <v>30</v>
      </c>
      <c r="O656" s="26">
        <v>999</v>
      </c>
      <c r="P656" s="22">
        <v>0.1</v>
      </c>
      <c r="Q656" s="30">
        <v>540</v>
      </c>
      <c r="R656" s="33">
        <f>Table1_1[[#This Row],[Units Sold]]*Table1_1[[#This Row],[Unit Price]]*1-Table1_1[[#This Row],[Discount]]</f>
        <v>29969.9</v>
      </c>
      <c r="S656" s="33">
        <f>Table1_1[[#This Row],[Units Sold]]*Table1_1[[#This Row],[Unit Cost]]</f>
        <v>16200</v>
      </c>
      <c r="T656" s="33">
        <f>Table1_1[[#This Row],[Sales Amount]]-S656</f>
        <v>13769.900000000001</v>
      </c>
      <c r="U656" s="32">
        <f>IFERROR(Table1_1[[#This Row],[Profit/loss]]/Table1_1[[#This Row],[Sales Amount]],0)</f>
        <v>0.45945765584803422</v>
      </c>
    </row>
    <row r="657" spans="1:21" ht="18" x14ac:dyDescent="0.35">
      <c r="A657" s="21" t="s">
        <v>764</v>
      </c>
      <c r="B657" s="36">
        <v>45619</v>
      </c>
      <c r="C657" s="22">
        <f>YEAR(Table1_1[[#This Row],[Order Date]])</f>
        <v>2024</v>
      </c>
      <c r="D657" s="22" t="str">
        <f>TEXT(Table1_1[[#This Row],[Order Date]],"MMMM")</f>
        <v>November</v>
      </c>
      <c r="E657" s="22" t="s">
        <v>48</v>
      </c>
      <c r="F657" s="22" t="s">
        <v>93</v>
      </c>
      <c r="G657" s="22" t="s">
        <v>101</v>
      </c>
      <c r="H657" s="22" t="s">
        <v>39</v>
      </c>
      <c r="I657" s="22" t="s">
        <v>70</v>
      </c>
      <c r="J657" s="22" t="s">
        <v>71</v>
      </c>
      <c r="K657" s="22" t="s">
        <v>80</v>
      </c>
      <c r="L657" s="22" t="s">
        <v>57</v>
      </c>
      <c r="M657" s="22" t="s">
        <v>24</v>
      </c>
      <c r="N657" s="22">
        <v>38</v>
      </c>
      <c r="O657" s="26">
        <v>1299</v>
      </c>
      <c r="P657" s="22">
        <v>0.1</v>
      </c>
      <c r="Q657" s="30">
        <v>720</v>
      </c>
      <c r="R657" s="33">
        <f>Table1_1[[#This Row],[Units Sold]]*Table1_1[[#This Row],[Unit Price]]*1-Table1_1[[#This Row],[Discount]]</f>
        <v>49361.9</v>
      </c>
      <c r="S657" s="33">
        <f>Table1_1[[#This Row],[Units Sold]]*Table1_1[[#This Row],[Unit Cost]]</f>
        <v>27360</v>
      </c>
      <c r="T657" s="33">
        <f>Table1_1[[#This Row],[Sales Amount]]-S657</f>
        <v>22001.9</v>
      </c>
      <c r="U657" s="32">
        <f>IFERROR(Table1_1[[#This Row],[Profit/loss]]/Table1_1[[#This Row],[Sales Amount]],0)</f>
        <v>0.44572635980381631</v>
      </c>
    </row>
    <row r="658" spans="1:21" ht="18" x14ac:dyDescent="0.35">
      <c r="A658" s="21" t="s">
        <v>765</v>
      </c>
      <c r="B658" s="36">
        <v>45619</v>
      </c>
      <c r="C658" s="22">
        <f>YEAR(Table1_1[[#This Row],[Order Date]])</f>
        <v>2024</v>
      </c>
      <c r="D658" s="22" t="str">
        <f>TEXT(Table1_1[[#This Row],[Order Date]],"MMMM")</f>
        <v>November</v>
      </c>
      <c r="E658" s="22" t="s">
        <v>16</v>
      </c>
      <c r="F658" s="22" t="s">
        <v>17</v>
      </c>
      <c r="G658" s="22" t="s">
        <v>75</v>
      </c>
      <c r="H658" s="22" t="s">
        <v>39</v>
      </c>
      <c r="I658" s="22" t="s">
        <v>30</v>
      </c>
      <c r="J658" s="22" t="s">
        <v>31</v>
      </c>
      <c r="K658" s="22" t="s">
        <v>106</v>
      </c>
      <c r="L658" s="22" t="s">
        <v>23</v>
      </c>
      <c r="M658" s="22" t="s">
        <v>24</v>
      </c>
      <c r="N658" s="22">
        <v>12</v>
      </c>
      <c r="O658" s="26">
        <v>52990</v>
      </c>
      <c r="P658" s="22">
        <v>0.15</v>
      </c>
      <c r="Q658" s="30">
        <v>35100</v>
      </c>
      <c r="R658" s="33">
        <f>Table1_1[[#This Row],[Units Sold]]*Table1_1[[#This Row],[Unit Price]]*1-Table1_1[[#This Row],[Discount]]</f>
        <v>635879.85</v>
      </c>
      <c r="S658" s="33">
        <f>Table1_1[[#This Row],[Units Sold]]*Table1_1[[#This Row],[Unit Cost]]</f>
        <v>421200</v>
      </c>
      <c r="T658" s="33">
        <f>Table1_1[[#This Row],[Sales Amount]]-S658</f>
        <v>214679.84999999998</v>
      </c>
      <c r="U658" s="32">
        <f>IFERROR(Table1_1[[#This Row],[Profit/loss]]/Table1_1[[#This Row],[Sales Amount]],0)</f>
        <v>0.337610713722097</v>
      </c>
    </row>
    <row r="659" spans="1:21" ht="18" x14ac:dyDescent="0.35">
      <c r="A659" s="21" t="s">
        <v>766</v>
      </c>
      <c r="B659" s="36">
        <v>45619</v>
      </c>
      <c r="C659" s="22">
        <f>YEAR(Table1_1[[#This Row],[Order Date]])</f>
        <v>2024</v>
      </c>
      <c r="D659" s="22" t="str">
        <f>TEXT(Table1_1[[#This Row],[Order Date]],"MMMM")</f>
        <v>November</v>
      </c>
      <c r="E659" s="22" t="s">
        <v>36</v>
      </c>
      <c r="F659" s="22" t="s">
        <v>121</v>
      </c>
      <c r="G659" s="22" t="s">
        <v>105</v>
      </c>
      <c r="H659" s="22" t="s">
        <v>39</v>
      </c>
      <c r="I659" s="22" t="s">
        <v>20</v>
      </c>
      <c r="J659" s="22" t="s">
        <v>45</v>
      </c>
      <c r="K659" s="22" t="s">
        <v>1618</v>
      </c>
      <c r="L659" s="22" t="s">
        <v>57</v>
      </c>
      <c r="M659" s="22" t="s">
        <v>66</v>
      </c>
      <c r="N659" s="22">
        <v>12</v>
      </c>
      <c r="O659" s="26">
        <v>1899</v>
      </c>
      <c r="P659" s="22">
        <v>0.08</v>
      </c>
      <c r="Q659" s="30">
        <v>1080</v>
      </c>
      <c r="R659" s="33">
        <f>Table1_1[[#This Row],[Units Sold]]*Table1_1[[#This Row],[Unit Price]]*1-Table1_1[[#This Row],[Discount]]</f>
        <v>22787.919999999998</v>
      </c>
      <c r="S659" s="33">
        <f>Table1_1[[#This Row],[Units Sold]]*Table1_1[[#This Row],[Unit Cost]]</f>
        <v>12960</v>
      </c>
      <c r="T659" s="33">
        <f>Table1_1[[#This Row],[Sales Amount]]-S659</f>
        <v>9827.9199999999983</v>
      </c>
      <c r="U659" s="32">
        <f>IFERROR(Table1_1[[#This Row],[Profit/loss]]/Table1_1[[#This Row],[Sales Amount]],0)</f>
        <v>0.43127762428514754</v>
      </c>
    </row>
    <row r="660" spans="1:21" ht="18" x14ac:dyDescent="0.35">
      <c r="A660" s="21" t="s">
        <v>767</v>
      </c>
      <c r="B660" s="36">
        <v>45619</v>
      </c>
      <c r="C660" s="22">
        <f>YEAR(Table1_1[[#This Row],[Order Date]])</f>
        <v>2024</v>
      </c>
      <c r="D660" s="22" t="str">
        <f>TEXT(Table1_1[[#This Row],[Order Date]],"MMMM")</f>
        <v>November</v>
      </c>
      <c r="E660" s="22" t="s">
        <v>48</v>
      </c>
      <c r="F660" s="22" t="s">
        <v>49</v>
      </c>
      <c r="G660" s="22" t="s">
        <v>84</v>
      </c>
      <c r="H660" s="22" t="s">
        <v>29</v>
      </c>
      <c r="I660" s="22" t="s">
        <v>70</v>
      </c>
      <c r="J660" s="22" t="s">
        <v>71</v>
      </c>
      <c r="K660" s="22" t="s">
        <v>72</v>
      </c>
      <c r="L660" s="22" t="s">
        <v>33</v>
      </c>
      <c r="M660" s="22" t="s">
        <v>34</v>
      </c>
      <c r="N660" s="22">
        <v>10</v>
      </c>
      <c r="O660" s="26">
        <v>3499</v>
      </c>
      <c r="P660" s="22">
        <v>0.18</v>
      </c>
      <c r="Q660" s="30">
        <v>2190</v>
      </c>
      <c r="R660" s="33">
        <f>Table1_1[[#This Row],[Units Sold]]*Table1_1[[#This Row],[Unit Price]]*1-Table1_1[[#This Row],[Discount]]</f>
        <v>34989.82</v>
      </c>
      <c r="S660" s="33">
        <f>Table1_1[[#This Row],[Units Sold]]*Table1_1[[#This Row],[Unit Cost]]</f>
        <v>21900</v>
      </c>
      <c r="T660" s="33">
        <f>Table1_1[[#This Row],[Sales Amount]]-S660</f>
        <v>13089.82</v>
      </c>
      <c r="U660" s="32">
        <f>IFERROR(Table1_1[[#This Row],[Profit/loss]]/Table1_1[[#This Row],[Sales Amount]],0)</f>
        <v>0.37410366786682525</v>
      </c>
    </row>
    <row r="661" spans="1:21" ht="18" x14ac:dyDescent="0.35">
      <c r="A661" s="21" t="s">
        <v>768</v>
      </c>
      <c r="B661" s="36">
        <v>45619</v>
      </c>
      <c r="C661" s="22">
        <f>YEAR(Table1_1[[#This Row],[Order Date]])</f>
        <v>2024</v>
      </c>
      <c r="D661" s="22" t="str">
        <f>TEXT(Table1_1[[#This Row],[Order Date]],"MMMM")</f>
        <v>November</v>
      </c>
      <c r="E661" s="22" t="s">
        <v>16</v>
      </c>
      <c r="F661" s="22" t="s">
        <v>126</v>
      </c>
      <c r="G661" s="22" t="s">
        <v>38</v>
      </c>
      <c r="H661" s="22" t="s">
        <v>39</v>
      </c>
      <c r="I661" s="22" t="s">
        <v>20</v>
      </c>
      <c r="J661" s="22" t="s">
        <v>21</v>
      </c>
      <c r="K661" s="22" t="s">
        <v>115</v>
      </c>
      <c r="L661" s="22" t="s">
        <v>33</v>
      </c>
      <c r="M661" s="22" t="s">
        <v>24</v>
      </c>
      <c r="N661" s="22">
        <v>17</v>
      </c>
      <c r="O661" s="26">
        <v>6499</v>
      </c>
      <c r="P661" s="22">
        <v>0.1</v>
      </c>
      <c r="Q661" s="30">
        <v>4210</v>
      </c>
      <c r="R661" s="33">
        <f>Table1_1[[#This Row],[Units Sold]]*Table1_1[[#This Row],[Unit Price]]*1-Table1_1[[#This Row],[Discount]]</f>
        <v>110482.9</v>
      </c>
      <c r="S661" s="33">
        <f>Table1_1[[#This Row],[Units Sold]]*Table1_1[[#This Row],[Unit Cost]]</f>
        <v>71570</v>
      </c>
      <c r="T661" s="33">
        <f>Table1_1[[#This Row],[Sales Amount]]-S661</f>
        <v>38912.899999999994</v>
      </c>
      <c r="U661" s="32">
        <f>IFERROR(Table1_1[[#This Row],[Profit/loss]]/Table1_1[[#This Row],[Sales Amount]],0)</f>
        <v>0.35220744567711382</v>
      </c>
    </row>
    <row r="662" spans="1:21" ht="18" x14ac:dyDescent="0.35">
      <c r="A662" s="21" t="s">
        <v>769</v>
      </c>
      <c r="B662" s="36">
        <v>45620</v>
      </c>
      <c r="C662" s="22">
        <f>YEAR(Table1_1[[#This Row],[Order Date]])</f>
        <v>2024</v>
      </c>
      <c r="D662" s="22" t="str">
        <f>TEXT(Table1_1[[#This Row],[Order Date]],"MMMM")</f>
        <v>November</v>
      </c>
      <c r="E662" s="22" t="s">
        <v>16</v>
      </c>
      <c r="F662" s="22" t="s">
        <v>17</v>
      </c>
      <c r="G662" s="22" t="s">
        <v>38</v>
      </c>
      <c r="H662" s="22" t="s">
        <v>19</v>
      </c>
      <c r="I662" s="22" t="s">
        <v>54</v>
      </c>
      <c r="J662" s="22" t="s">
        <v>129</v>
      </c>
      <c r="K662" s="22" t="s">
        <v>145</v>
      </c>
      <c r="L662" s="22" t="s">
        <v>23</v>
      </c>
      <c r="M662" s="22" t="s">
        <v>78</v>
      </c>
      <c r="N662" s="22">
        <v>6</v>
      </c>
      <c r="O662" s="26">
        <v>31490</v>
      </c>
      <c r="P662" s="22">
        <v>0.15</v>
      </c>
      <c r="Q662" s="30">
        <v>21300</v>
      </c>
      <c r="R662" s="33">
        <f>Table1_1[[#This Row],[Units Sold]]*Table1_1[[#This Row],[Unit Price]]*1-Table1_1[[#This Row],[Discount]]</f>
        <v>188939.85</v>
      </c>
      <c r="S662" s="33">
        <f>Table1_1[[#This Row],[Units Sold]]*Table1_1[[#This Row],[Unit Cost]]</f>
        <v>127800</v>
      </c>
      <c r="T662" s="33">
        <f>Table1_1[[#This Row],[Sales Amount]]-S662</f>
        <v>61139.850000000006</v>
      </c>
      <c r="U662" s="32">
        <f>IFERROR(Table1_1[[#This Row],[Profit/loss]]/Table1_1[[#This Row],[Sales Amount]],0)</f>
        <v>0.32359425499702688</v>
      </c>
    </row>
    <row r="663" spans="1:21" ht="18" x14ac:dyDescent="0.35">
      <c r="A663" s="21" t="s">
        <v>770</v>
      </c>
      <c r="B663" s="36">
        <v>45620</v>
      </c>
      <c r="C663" s="22">
        <f>YEAR(Table1_1[[#This Row],[Order Date]])</f>
        <v>2024</v>
      </c>
      <c r="D663" s="22" t="str">
        <f>TEXT(Table1_1[[#This Row],[Order Date]],"MMMM")</f>
        <v>November</v>
      </c>
      <c r="E663" s="22" t="s">
        <v>82</v>
      </c>
      <c r="F663" s="22" t="s">
        <v>100</v>
      </c>
      <c r="G663" s="22" t="s">
        <v>60</v>
      </c>
      <c r="H663" s="22" t="s">
        <v>39</v>
      </c>
      <c r="I663" s="22" t="s">
        <v>70</v>
      </c>
      <c r="J663" s="22" t="s">
        <v>71</v>
      </c>
      <c r="K663" s="22" t="s">
        <v>88</v>
      </c>
      <c r="L663" s="22" t="s">
        <v>33</v>
      </c>
      <c r="M663" s="22" t="s">
        <v>24</v>
      </c>
      <c r="N663" s="22">
        <v>6</v>
      </c>
      <c r="O663" s="26">
        <v>999</v>
      </c>
      <c r="P663" s="22">
        <v>0.05</v>
      </c>
      <c r="Q663" s="30">
        <v>540</v>
      </c>
      <c r="R663" s="33">
        <f>Table1_1[[#This Row],[Units Sold]]*Table1_1[[#This Row],[Unit Price]]*1-Table1_1[[#This Row],[Discount]]</f>
        <v>5993.95</v>
      </c>
      <c r="S663" s="33">
        <f>Table1_1[[#This Row],[Units Sold]]*Table1_1[[#This Row],[Unit Cost]]</f>
        <v>3240</v>
      </c>
      <c r="T663" s="33">
        <f>Table1_1[[#This Row],[Sales Amount]]-S663</f>
        <v>2753.95</v>
      </c>
      <c r="U663" s="32">
        <f>IFERROR(Table1_1[[#This Row],[Profit/loss]]/Table1_1[[#This Row],[Sales Amount]],0)</f>
        <v>0.4594549504083284</v>
      </c>
    </row>
    <row r="664" spans="1:21" ht="18" x14ac:dyDescent="0.35">
      <c r="A664" s="21" t="s">
        <v>771</v>
      </c>
      <c r="B664" s="36">
        <v>45620</v>
      </c>
      <c r="C664" s="22">
        <f>YEAR(Table1_1[[#This Row],[Order Date]])</f>
        <v>2024</v>
      </c>
      <c r="D664" s="22" t="str">
        <f>TEXT(Table1_1[[#This Row],[Order Date]],"MMMM")</f>
        <v>November</v>
      </c>
      <c r="E664" s="22" t="s">
        <v>26</v>
      </c>
      <c r="F664" s="22" t="s">
        <v>74</v>
      </c>
      <c r="G664" s="22" t="s">
        <v>69</v>
      </c>
      <c r="H664" s="22" t="s">
        <v>19</v>
      </c>
      <c r="I664" s="22" t="s">
        <v>30</v>
      </c>
      <c r="J664" s="22" t="s">
        <v>61</v>
      </c>
      <c r="K664" s="22" t="s">
        <v>186</v>
      </c>
      <c r="L664" s="22" t="s">
        <v>23</v>
      </c>
      <c r="M664" s="22" t="s">
        <v>24</v>
      </c>
      <c r="N664" s="22">
        <v>35</v>
      </c>
      <c r="O664" s="26">
        <v>6999</v>
      </c>
      <c r="P664" s="22">
        <v>0.05</v>
      </c>
      <c r="Q664" s="30">
        <v>4320</v>
      </c>
      <c r="R664" s="33">
        <f>Table1_1[[#This Row],[Units Sold]]*Table1_1[[#This Row],[Unit Price]]*1-Table1_1[[#This Row],[Discount]]</f>
        <v>244964.95</v>
      </c>
      <c r="S664" s="33">
        <f>Table1_1[[#This Row],[Units Sold]]*Table1_1[[#This Row],[Unit Cost]]</f>
        <v>151200</v>
      </c>
      <c r="T664" s="33">
        <f>Table1_1[[#This Row],[Sales Amount]]-S664</f>
        <v>93764.950000000012</v>
      </c>
      <c r="U664" s="32">
        <f>IFERROR(Table1_1[[#This Row],[Profit/loss]]/Table1_1[[#This Row],[Sales Amount]],0)</f>
        <v>0.3827688410117448</v>
      </c>
    </row>
    <row r="665" spans="1:21" ht="18" x14ac:dyDescent="0.35">
      <c r="A665" s="21" t="s">
        <v>772</v>
      </c>
      <c r="B665" s="36">
        <v>45621</v>
      </c>
      <c r="C665" s="22">
        <f>YEAR(Table1_1[[#This Row],[Order Date]])</f>
        <v>2024</v>
      </c>
      <c r="D665" s="22" t="str">
        <f>TEXT(Table1_1[[#This Row],[Order Date]],"MMMM")</f>
        <v>November</v>
      </c>
      <c r="E665" s="22" t="s">
        <v>16</v>
      </c>
      <c r="F665" s="22" t="s">
        <v>126</v>
      </c>
      <c r="G665" s="22" t="s">
        <v>101</v>
      </c>
      <c r="H665" s="22" t="s">
        <v>29</v>
      </c>
      <c r="I665" s="22" t="s">
        <v>54</v>
      </c>
      <c r="J665" s="22" t="s">
        <v>129</v>
      </c>
      <c r="K665" s="22" t="s">
        <v>130</v>
      </c>
      <c r="L665" s="22" t="s">
        <v>57</v>
      </c>
      <c r="M665" s="22" t="s">
        <v>24</v>
      </c>
      <c r="N665" s="22">
        <v>32</v>
      </c>
      <c r="O665" s="26">
        <v>27890</v>
      </c>
      <c r="P665" s="22">
        <v>0.12</v>
      </c>
      <c r="Q665" s="30">
        <v>18800</v>
      </c>
      <c r="R665" s="33">
        <f>Table1_1[[#This Row],[Units Sold]]*Table1_1[[#This Row],[Unit Price]]*1-Table1_1[[#This Row],[Discount]]</f>
        <v>892479.88</v>
      </c>
      <c r="S665" s="33">
        <f>Table1_1[[#This Row],[Units Sold]]*Table1_1[[#This Row],[Unit Cost]]</f>
        <v>601600</v>
      </c>
      <c r="T665" s="33">
        <f>Table1_1[[#This Row],[Sales Amount]]-S665</f>
        <v>290879.88</v>
      </c>
      <c r="U665" s="32">
        <f>IFERROR(Table1_1[[#This Row],[Profit/loss]]/Table1_1[[#This Row],[Sales Amount]],0)</f>
        <v>0.3259231793550349</v>
      </c>
    </row>
    <row r="666" spans="1:21" ht="18" x14ac:dyDescent="0.35">
      <c r="A666" s="21" t="s">
        <v>773</v>
      </c>
      <c r="B666" s="36">
        <v>45621</v>
      </c>
      <c r="C666" s="22">
        <f>YEAR(Table1_1[[#This Row],[Order Date]])</f>
        <v>2024</v>
      </c>
      <c r="D666" s="22" t="str">
        <f>TEXT(Table1_1[[#This Row],[Order Date]],"MMMM")</f>
        <v>November</v>
      </c>
      <c r="E666" s="22" t="s">
        <v>26</v>
      </c>
      <c r="F666" s="22" t="s">
        <v>53</v>
      </c>
      <c r="G666" s="22" t="s">
        <v>50</v>
      </c>
      <c r="H666" s="22" t="s">
        <v>39</v>
      </c>
      <c r="I666" s="22" t="s">
        <v>40</v>
      </c>
      <c r="J666" s="22" t="s">
        <v>76</v>
      </c>
      <c r="K666" s="22" t="s">
        <v>1620</v>
      </c>
      <c r="L666" s="22" t="s">
        <v>23</v>
      </c>
      <c r="M666" s="22" t="s">
        <v>66</v>
      </c>
      <c r="N666" s="22">
        <v>2</v>
      </c>
      <c r="O666" s="26">
        <v>52990</v>
      </c>
      <c r="P666" s="22">
        <v>0.05</v>
      </c>
      <c r="Q666" s="30">
        <v>39500</v>
      </c>
      <c r="R666" s="33">
        <f>Table1_1[[#This Row],[Units Sold]]*Table1_1[[#This Row],[Unit Price]]*1-Table1_1[[#This Row],[Discount]]</f>
        <v>105979.95</v>
      </c>
      <c r="S666" s="33">
        <f>Table1_1[[#This Row],[Units Sold]]*Table1_1[[#This Row],[Unit Cost]]</f>
        <v>79000</v>
      </c>
      <c r="T666" s="33">
        <f>Table1_1[[#This Row],[Sales Amount]]-S666</f>
        <v>26979.949999999997</v>
      </c>
      <c r="U666" s="32">
        <f>IFERROR(Table1_1[[#This Row],[Profit/loss]]/Table1_1[[#This Row],[Sales Amount]],0)</f>
        <v>0.25457598347611976</v>
      </c>
    </row>
    <row r="667" spans="1:21" ht="18" x14ac:dyDescent="0.35">
      <c r="A667" s="21" t="s">
        <v>774</v>
      </c>
      <c r="B667" s="36">
        <v>45621</v>
      </c>
      <c r="C667" s="22">
        <f>YEAR(Table1_1[[#This Row],[Order Date]])</f>
        <v>2024</v>
      </c>
      <c r="D667" s="22" t="str">
        <f>TEXT(Table1_1[[#This Row],[Order Date]],"MMMM")</f>
        <v>November</v>
      </c>
      <c r="E667" s="22" t="s">
        <v>48</v>
      </c>
      <c r="F667" s="22" t="s">
        <v>93</v>
      </c>
      <c r="G667" s="22" t="s">
        <v>38</v>
      </c>
      <c r="H667" s="22" t="s">
        <v>29</v>
      </c>
      <c r="I667" s="22" t="s">
        <v>70</v>
      </c>
      <c r="J667" s="22" t="s">
        <v>71</v>
      </c>
      <c r="K667" s="22" t="s">
        <v>88</v>
      </c>
      <c r="L667" s="22" t="s">
        <v>23</v>
      </c>
      <c r="M667" s="22" t="s">
        <v>78</v>
      </c>
      <c r="N667" s="22">
        <v>20</v>
      </c>
      <c r="O667" s="26">
        <v>999</v>
      </c>
      <c r="P667" s="22">
        <v>0.12</v>
      </c>
      <c r="Q667" s="30">
        <v>540</v>
      </c>
      <c r="R667" s="33">
        <f>Table1_1[[#This Row],[Units Sold]]*Table1_1[[#This Row],[Unit Price]]*1-Table1_1[[#This Row],[Discount]]</f>
        <v>19979.88</v>
      </c>
      <c r="S667" s="33">
        <f>Table1_1[[#This Row],[Units Sold]]*Table1_1[[#This Row],[Unit Cost]]</f>
        <v>10800</v>
      </c>
      <c r="T667" s="33">
        <f>Table1_1[[#This Row],[Sales Amount]]-S667</f>
        <v>9179.880000000001</v>
      </c>
      <c r="U667" s="32">
        <f>IFERROR(Table1_1[[#This Row],[Profit/loss]]/Table1_1[[#This Row],[Sales Amount]],0)</f>
        <v>0.45945621295022798</v>
      </c>
    </row>
    <row r="668" spans="1:21" ht="18" x14ac:dyDescent="0.35">
      <c r="A668" s="21" t="s">
        <v>775</v>
      </c>
      <c r="B668" s="36">
        <v>45621</v>
      </c>
      <c r="C668" s="22">
        <f>YEAR(Table1_1[[#This Row],[Order Date]])</f>
        <v>2024</v>
      </c>
      <c r="D668" s="22" t="str">
        <f>TEXT(Table1_1[[#This Row],[Order Date]],"MMMM")</f>
        <v>November</v>
      </c>
      <c r="E668" s="22" t="s">
        <v>16</v>
      </c>
      <c r="F668" s="22" t="s">
        <v>17</v>
      </c>
      <c r="G668" s="22" t="s">
        <v>84</v>
      </c>
      <c r="H668" s="22" t="s">
        <v>39</v>
      </c>
      <c r="I668" s="22" t="s">
        <v>30</v>
      </c>
      <c r="J668" s="22" t="s">
        <v>61</v>
      </c>
      <c r="K668" s="22" t="s">
        <v>96</v>
      </c>
      <c r="L668" s="22" t="s">
        <v>57</v>
      </c>
      <c r="M668" s="22" t="s">
        <v>78</v>
      </c>
      <c r="N668" s="22">
        <v>22</v>
      </c>
      <c r="O668" s="26">
        <v>25110</v>
      </c>
      <c r="P668" s="22">
        <v>0.2</v>
      </c>
      <c r="Q668" s="30">
        <v>16730</v>
      </c>
      <c r="R668" s="33">
        <f>Table1_1[[#This Row],[Units Sold]]*Table1_1[[#This Row],[Unit Price]]*1-Table1_1[[#This Row],[Discount]]</f>
        <v>552419.80000000005</v>
      </c>
      <c r="S668" s="33">
        <f>Table1_1[[#This Row],[Units Sold]]*Table1_1[[#This Row],[Unit Cost]]</f>
        <v>368060</v>
      </c>
      <c r="T668" s="33">
        <f>Table1_1[[#This Row],[Sales Amount]]-S668</f>
        <v>184359.80000000005</v>
      </c>
      <c r="U668" s="32">
        <f>IFERROR(Table1_1[[#This Row],[Profit/loss]]/Table1_1[[#This Row],[Sales Amount]],0)</f>
        <v>0.33373133982525616</v>
      </c>
    </row>
    <row r="669" spans="1:21" ht="18" x14ac:dyDescent="0.35">
      <c r="A669" s="21" t="s">
        <v>776</v>
      </c>
      <c r="B669" s="36">
        <v>45622</v>
      </c>
      <c r="C669" s="22">
        <f>YEAR(Table1_1[[#This Row],[Order Date]])</f>
        <v>2024</v>
      </c>
      <c r="D669" s="22" t="str">
        <f>TEXT(Table1_1[[#This Row],[Order Date]],"MMMM")</f>
        <v>November</v>
      </c>
      <c r="E669" s="22" t="s">
        <v>48</v>
      </c>
      <c r="F669" s="22" t="s">
        <v>136</v>
      </c>
      <c r="G669" s="22" t="s">
        <v>69</v>
      </c>
      <c r="H669" s="22" t="s">
        <v>39</v>
      </c>
      <c r="I669" s="22" t="s">
        <v>20</v>
      </c>
      <c r="J669" s="22" t="s">
        <v>45</v>
      </c>
      <c r="K669" s="22" t="s">
        <v>196</v>
      </c>
      <c r="L669" s="22" t="s">
        <v>33</v>
      </c>
      <c r="M669" s="22" t="s">
        <v>24</v>
      </c>
      <c r="N669" s="22">
        <v>21</v>
      </c>
      <c r="O669" s="26">
        <v>2499</v>
      </c>
      <c r="P669" s="22">
        <v>0.1</v>
      </c>
      <c r="Q669" s="30">
        <v>1510</v>
      </c>
      <c r="R669" s="33">
        <f>Table1_1[[#This Row],[Units Sold]]*Table1_1[[#This Row],[Unit Price]]*1-Table1_1[[#This Row],[Discount]]</f>
        <v>52478.9</v>
      </c>
      <c r="S669" s="33">
        <f>Table1_1[[#This Row],[Units Sold]]*Table1_1[[#This Row],[Unit Cost]]</f>
        <v>31710</v>
      </c>
      <c r="T669" s="33">
        <f>Table1_1[[#This Row],[Sales Amount]]-S669</f>
        <v>20768.900000000001</v>
      </c>
      <c r="U669" s="32">
        <f>IFERROR(Table1_1[[#This Row],[Profit/loss]]/Table1_1[[#This Row],[Sales Amount]],0)</f>
        <v>0.39575715192201055</v>
      </c>
    </row>
    <row r="670" spans="1:21" ht="18" x14ac:dyDescent="0.35">
      <c r="A670" s="21" t="s">
        <v>777</v>
      </c>
      <c r="B670" s="36">
        <v>45622</v>
      </c>
      <c r="C670" s="22">
        <f>YEAR(Table1_1[[#This Row],[Order Date]])</f>
        <v>2024</v>
      </c>
      <c r="D670" s="22" t="str">
        <f>TEXT(Table1_1[[#This Row],[Order Date]],"MMMM")</f>
        <v>November</v>
      </c>
      <c r="E670" s="22" t="s">
        <v>26</v>
      </c>
      <c r="F670" s="22" t="s">
        <v>53</v>
      </c>
      <c r="G670" s="22" t="s">
        <v>69</v>
      </c>
      <c r="H670" s="22" t="s">
        <v>19</v>
      </c>
      <c r="I670" s="22" t="s">
        <v>70</v>
      </c>
      <c r="J670" s="22" t="s">
        <v>71</v>
      </c>
      <c r="K670" s="22" t="s">
        <v>88</v>
      </c>
      <c r="L670" s="22" t="s">
        <v>23</v>
      </c>
      <c r="M670" s="22" t="s">
        <v>24</v>
      </c>
      <c r="N670" s="22">
        <v>30</v>
      </c>
      <c r="O670" s="26">
        <v>999</v>
      </c>
      <c r="P670" s="22">
        <v>0.2</v>
      </c>
      <c r="Q670" s="30">
        <v>540</v>
      </c>
      <c r="R670" s="33">
        <f>Table1_1[[#This Row],[Units Sold]]*Table1_1[[#This Row],[Unit Price]]*1-Table1_1[[#This Row],[Discount]]</f>
        <v>29969.8</v>
      </c>
      <c r="S670" s="33">
        <f>Table1_1[[#This Row],[Units Sold]]*Table1_1[[#This Row],[Unit Cost]]</f>
        <v>16200</v>
      </c>
      <c r="T670" s="33">
        <f>Table1_1[[#This Row],[Sales Amount]]-S670</f>
        <v>13769.8</v>
      </c>
      <c r="U670" s="32">
        <f>IFERROR(Table1_1[[#This Row],[Profit/loss]]/Table1_1[[#This Row],[Sales Amount]],0)</f>
        <v>0.45945585222457275</v>
      </c>
    </row>
    <row r="671" spans="1:21" ht="18" x14ac:dyDescent="0.35">
      <c r="A671" s="21" t="s">
        <v>778</v>
      </c>
      <c r="B671" s="36">
        <v>45622</v>
      </c>
      <c r="C671" s="22">
        <f>YEAR(Table1_1[[#This Row],[Order Date]])</f>
        <v>2024</v>
      </c>
      <c r="D671" s="22" t="str">
        <f>TEXT(Table1_1[[#This Row],[Order Date]],"MMMM")</f>
        <v>November</v>
      </c>
      <c r="E671" s="22" t="s">
        <v>82</v>
      </c>
      <c r="F671" s="22" t="s">
        <v>83</v>
      </c>
      <c r="G671" s="22" t="s">
        <v>69</v>
      </c>
      <c r="H671" s="22" t="s">
        <v>29</v>
      </c>
      <c r="I671" s="22" t="s">
        <v>70</v>
      </c>
      <c r="J671" s="22" t="s">
        <v>71</v>
      </c>
      <c r="K671" s="22" t="s">
        <v>88</v>
      </c>
      <c r="L671" s="22" t="s">
        <v>23</v>
      </c>
      <c r="M671" s="22" t="s">
        <v>34</v>
      </c>
      <c r="N671" s="22">
        <v>21</v>
      </c>
      <c r="O671" s="26">
        <v>999</v>
      </c>
      <c r="P671" s="22">
        <v>0.12</v>
      </c>
      <c r="Q671" s="30">
        <v>540</v>
      </c>
      <c r="R671" s="33">
        <f>Table1_1[[#This Row],[Units Sold]]*Table1_1[[#This Row],[Unit Price]]*1-Table1_1[[#This Row],[Discount]]</f>
        <v>20978.880000000001</v>
      </c>
      <c r="S671" s="33">
        <f>Table1_1[[#This Row],[Units Sold]]*Table1_1[[#This Row],[Unit Cost]]</f>
        <v>11340</v>
      </c>
      <c r="T671" s="33">
        <f>Table1_1[[#This Row],[Sales Amount]]-S671</f>
        <v>9638.880000000001</v>
      </c>
      <c r="U671" s="32">
        <f>IFERROR(Table1_1[[#This Row],[Profit/loss]]/Table1_1[[#This Row],[Sales Amount]],0)</f>
        <v>0.45945636754678992</v>
      </c>
    </row>
    <row r="672" spans="1:21" ht="18" x14ac:dyDescent="0.35">
      <c r="A672" s="21" t="s">
        <v>779</v>
      </c>
      <c r="B672" s="36">
        <v>45623</v>
      </c>
      <c r="C672" s="22">
        <f>YEAR(Table1_1[[#This Row],[Order Date]])</f>
        <v>2024</v>
      </c>
      <c r="D672" s="22" t="str">
        <f>TEXT(Table1_1[[#This Row],[Order Date]],"MMMM")</f>
        <v>November</v>
      </c>
      <c r="E672" s="22" t="s">
        <v>48</v>
      </c>
      <c r="F672" s="22" t="s">
        <v>136</v>
      </c>
      <c r="G672" s="22" t="s">
        <v>75</v>
      </c>
      <c r="H672" s="22" t="s">
        <v>19</v>
      </c>
      <c r="I672" s="22" t="s">
        <v>30</v>
      </c>
      <c r="J672" s="22" t="s">
        <v>31</v>
      </c>
      <c r="K672" s="22" t="s">
        <v>106</v>
      </c>
      <c r="L672" s="22" t="s">
        <v>57</v>
      </c>
      <c r="M672" s="22" t="s">
        <v>24</v>
      </c>
      <c r="N672" s="22">
        <v>3</v>
      </c>
      <c r="O672" s="26">
        <v>52990</v>
      </c>
      <c r="P672" s="22">
        <v>0.2</v>
      </c>
      <c r="Q672" s="30">
        <v>35100</v>
      </c>
      <c r="R672" s="33">
        <f>Table1_1[[#This Row],[Units Sold]]*Table1_1[[#This Row],[Unit Price]]*1-Table1_1[[#This Row],[Discount]]</f>
        <v>158969.79999999999</v>
      </c>
      <c r="S672" s="33">
        <f>Table1_1[[#This Row],[Units Sold]]*Table1_1[[#This Row],[Unit Cost]]</f>
        <v>105300</v>
      </c>
      <c r="T672" s="33">
        <f>Table1_1[[#This Row],[Sales Amount]]-S672</f>
        <v>53669.799999999988</v>
      </c>
      <c r="U672" s="32">
        <f>IFERROR(Table1_1[[#This Row],[Profit/loss]]/Table1_1[[#This Row],[Sales Amount]],0)</f>
        <v>0.3376100366233083</v>
      </c>
    </row>
    <row r="673" spans="1:21" ht="18" x14ac:dyDescent="0.35">
      <c r="A673" s="21" t="s">
        <v>780</v>
      </c>
      <c r="B673" s="36">
        <v>45623</v>
      </c>
      <c r="C673" s="22">
        <f>YEAR(Table1_1[[#This Row],[Order Date]])</f>
        <v>2024</v>
      </c>
      <c r="D673" s="22" t="str">
        <f>TEXT(Table1_1[[#This Row],[Order Date]],"MMMM")</f>
        <v>November</v>
      </c>
      <c r="E673" s="22" t="s">
        <v>26</v>
      </c>
      <c r="F673" s="22" t="s">
        <v>27</v>
      </c>
      <c r="G673" s="22" t="s">
        <v>105</v>
      </c>
      <c r="H673" s="22" t="s">
        <v>39</v>
      </c>
      <c r="I673" s="22" t="s">
        <v>70</v>
      </c>
      <c r="J673" s="22" t="s">
        <v>71</v>
      </c>
      <c r="K673" s="22" t="s">
        <v>80</v>
      </c>
      <c r="L673" s="22" t="s">
        <v>33</v>
      </c>
      <c r="M673" s="22" t="s">
        <v>66</v>
      </c>
      <c r="N673" s="22">
        <v>23</v>
      </c>
      <c r="O673" s="26">
        <v>1299</v>
      </c>
      <c r="P673" s="22">
        <v>0.08</v>
      </c>
      <c r="Q673" s="30">
        <v>720</v>
      </c>
      <c r="R673" s="33">
        <f>Table1_1[[#This Row],[Units Sold]]*Table1_1[[#This Row],[Unit Price]]*1-Table1_1[[#This Row],[Discount]]</f>
        <v>29876.92</v>
      </c>
      <c r="S673" s="33">
        <f>Table1_1[[#This Row],[Units Sold]]*Table1_1[[#This Row],[Unit Cost]]</f>
        <v>16560</v>
      </c>
      <c r="T673" s="33">
        <f>Table1_1[[#This Row],[Sales Amount]]-S673</f>
        <v>13316.919999999998</v>
      </c>
      <c r="U673" s="32">
        <f>IFERROR(Table1_1[[#This Row],[Profit/loss]]/Table1_1[[#This Row],[Sales Amount]],0)</f>
        <v>0.44572599852996891</v>
      </c>
    </row>
    <row r="674" spans="1:21" ht="18" x14ac:dyDescent="0.35">
      <c r="A674" s="21" t="s">
        <v>781</v>
      </c>
      <c r="B674" s="36">
        <v>45623</v>
      </c>
      <c r="C674" s="22">
        <f>YEAR(Table1_1[[#This Row],[Order Date]])</f>
        <v>2024</v>
      </c>
      <c r="D674" s="22" t="str">
        <f>TEXT(Table1_1[[#This Row],[Order Date]],"MMMM")</f>
        <v>November</v>
      </c>
      <c r="E674" s="22" t="s">
        <v>26</v>
      </c>
      <c r="F674" s="22" t="s">
        <v>74</v>
      </c>
      <c r="G674" s="22" t="s">
        <v>60</v>
      </c>
      <c r="H674" s="22" t="s">
        <v>19</v>
      </c>
      <c r="I674" s="22" t="s">
        <v>30</v>
      </c>
      <c r="J674" s="22" t="s">
        <v>61</v>
      </c>
      <c r="K674" s="22" t="s">
        <v>96</v>
      </c>
      <c r="L674" s="22" t="s">
        <v>23</v>
      </c>
      <c r="M674" s="22" t="s">
        <v>78</v>
      </c>
      <c r="N674" s="22">
        <v>33</v>
      </c>
      <c r="O674" s="26">
        <v>25110</v>
      </c>
      <c r="P674" s="22">
        <v>0.1</v>
      </c>
      <c r="Q674" s="30">
        <v>16730</v>
      </c>
      <c r="R674" s="33">
        <f>Table1_1[[#This Row],[Units Sold]]*Table1_1[[#This Row],[Unit Price]]*1-Table1_1[[#This Row],[Discount]]</f>
        <v>828629.9</v>
      </c>
      <c r="S674" s="33">
        <f>Table1_1[[#This Row],[Units Sold]]*Table1_1[[#This Row],[Unit Cost]]</f>
        <v>552090</v>
      </c>
      <c r="T674" s="33">
        <f>Table1_1[[#This Row],[Sales Amount]]-S674</f>
        <v>276539.90000000002</v>
      </c>
      <c r="U674" s="32">
        <f>IFERROR(Table1_1[[#This Row],[Profit/loss]]/Table1_1[[#This Row],[Sales Amount]],0)</f>
        <v>0.33373150063737744</v>
      </c>
    </row>
    <row r="675" spans="1:21" ht="18" x14ac:dyDescent="0.35">
      <c r="A675" s="21" t="s">
        <v>782</v>
      </c>
      <c r="B675" s="36">
        <v>45624</v>
      </c>
      <c r="C675" s="22">
        <f>YEAR(Table1_1[[#This Row],[Order Date]])</f>
        <v>2024</v>
      </c>
      <c r="D675" s="22" t="str">
        <f>TEXT(Table1_1[[#This Row],[Order Date]],"MMMM")</f>
        <v>November</v>
      </c>
      <c r="E675" s="22" t="s">
        <v>26</v>
      </c>
      <c r="F675" s="22" t="s">
        <v>27</v>
      </c>
      <c r="G675" s="22" t="s">
        <v>75</v>
      </c>
      <c r="H675" s="22" t="s">
        <v>29</v>
      </c>
      <c r="I675" s="22" t="s">
        <v>54</v>
      </c>
      <c r="J675" s="22" t="s">
        <v>55</v>
      </c>
      <c r="K675" s="22" t="s">
        <v>1623</v>
      </c>
      <c r="L675" s="22" t="s">
        <v>23</v>
      </c>
      <c r="M675" s="22" t="s">
        <v>24</v>
      </c>
      <c r="N675" s="22">
        <v>36</v>
      </c>
      <c r="O675" s="26">
        <v>5890</v>
      </c>
      <c r="P675" s="22">
        <v>0.08</v>
      </c>
      <c r="Q675" s="30">
        <v>3980</v>
      </c>
      <c r="R675" s="33">
        <f>Table1_1[[#This Row],[Units Sold]]*Table1_1[[#This Row],[Unit Price]]*1-Table1_1[[#This Row],[Discount]]</f>
        <v>212039.92</v>
      </c>
      <c r="S675" s="33">
        <f>Table1_1[[#This Row],[Units Sold]]*Table1_1[[#This Row],[Unit Cost]]</f>
        <v>143280</v>
      </c>
      <c r="T675" s="33">
        <f>Table1_1[[#This Row],[Sales Amount]]-S675</f>
        <v>68759.920000000013</v>
      </c>
      <c r="U675" s="32">
        <f>IFERROR(Table1_1[[#This Row],[Profit/loss]]/Table1_1[[#This Row],[Sales Amount]],0)</f>
        <v>0.32427818308929757</v>
      </c>
    </row>
    <row r="676" spans="1:21" ht="18" x14ac:dyDescent="0.35">
      <c r="A676" s="21" t="s">
        <v>783</v>
      </c>
      <c r="B676" s="36">
        <v>45624</v>
      </c>
      <c r="C676" s="22">
        <f>YEAR(Table1_1[[#This Row],[Order Date]])</f>
        <v>2024</v>
      </c>
      <c r="D676" s="22" t="str">
        <f>TEXT(Table1_1[[#This Row],[Order Date]],"MMMM")</f>
        <v>November</v>
      </c>
      <c r="E676" s="22" t="s">
        <v>48</v>
      </c>
      <c r="F676" s="22" t="s">
        <v>68</v>
      </c>
      <c r="G676" s="22" t="s">
        <v>84</v>
      </c>
      <c r="H676" s="22" t="s">
        <v>39</v>
      </c>
      <c r="I676" s="22" t="s">
        <v>54</v>
      </c>
      <c r="J676" s="22" t="s">
        <v>55</v>
      </c>
      <c r="K676" s="22" t="s">
        <v>1623</v>
      </c>
      <c r="L676" s="22" t="s">
        <v>57</v>
      </c>
      <c r="M676" s="22" t="s">
        <v>34</v>
      </c>
      <c r="N676" s="22">
        <v>38</v>
      </c>
      <c r="O676" s="26">
        <v>5890</v>
      </c>
      <c r="P676" s="22">
        <v>0.18</v>
      </c>
      <c r="Q676" s="30">
        <v>3980</v>
      </c>
      <c r="R676" s="33">
        <f>Table1_1[[#This Row],[Units Sold]]*Table1_1[[#This Row],[Unit Price]]*1-Table1_1[[#This Row],[Discount]]</f>
        <v>223819.82</v>
      </c>
      <c r="S676" s="33">
        <f>Table1_1[[#This Row],[Units Sold]]*Table1_1[[#This Row],[Unit Cost]]</f>
        <v>151240</v>
      </c>
      <c r="T676" s="33">
        <f>Table1_1[[#This Row],[Sales Amount]]-S676</f>
        <v>72579.820000000007</v>
      </c>
      <c r="U676" s="32">
        <f>IFERROR(Table1_1[[#This Row],[Profit/loss]]/Table1_1[[#This Row],[Sales Amount]],0)</f>
        <v>0.3242778946028998</v>
      </c>
    </row>
    <row r="677" spans="1:21" ht="18" x14ac:dyDescent="0.35">
      <c r="A677" s="21" t="s">
        <v>784</v>
      </c>
      <c r="B677" s="36">
        <v>45624</v>
      </c>
      <c r="C677" s="22">
        <f>YEAR(Table1_1[[#This Row],[Order Date]])</f>
        <v>2024</v>
      </c>
      <c r="D677" s="22" t="str">
        <f>TEXT(Table1_1[[#This Row],[Order Date]],"MMMM")</f>
        <v>November</v>
      </c>
      <c r="E677" s="22" t="s">
        <v>26</v>
      </c>
      <c r="F677" s="22" t="s">
        <v>27</v>
      </c>
      <c r="G677" s="22" t="s">
        <v>60</v>
      </c>
      <c r="H677" s="22" t="s">
        <v>19</v>
      </c>
      <c r="I677" s="22" t="s">
        <v>70</v>
      </c>
      <c r="J677" s="22" t="s">
        <v>71</v>
      </c>
      <c r="K677" s="22" t="s">
        <v>72</v>
      </c>
      <c r="L677" s="22" t="s">
        <v>33</v>
      </c>
      <c r="M677" s="22" t="s">
        <v>24</v>
      </c>
      <c r="N677" s="22">
        <v>21</v>
      </c>
      <c r="O677" s="26">
        <v>3499</v>
      </c>
      <c r="P677" s="22">
        <v>0.18</v>
      </c>
      <c r="Q677" s="30">
        <v>2190</v>
      </c>
      <c r="R677" s="33">
        <f>Table1_1[[#This Row],[Units Sold]]*Table1_1[[#This Row],[Unit Price]]*1-Table1_1[[#This Row],[Discount]]</f>
        <v>73478.820000000007</v>
      </c>
      <c r="S677" s="33">
        <f>Table1_1[[#This Row],[Units Sold]]*Table1_1[[#This Row],[Unit Cost]]</f>
        <v>45990</v>
      </c>
      <c r="T677" s="33">
        <f>Table1_1[[#This Row],[Sales Amount]]-S677</f>
        <v>27488.820000000007</v>
      </c>
      <c r="U677" s="32">
        <f>IFERROR(Table1_1[[#This Row],[Profit/loss]]/Table1_1[[#This Row],[Sales Amount]],0)</f>
        <v>0.37410535444091242</v>
      </c>
    </row>
    <row r="678" spans="1:21" ht="18" x14ac:dyDescent="0.35">
      <c r="A678" s="21" t="s">
        <v>785</v>
      </c>
      <c r="B678" s="36">
        <v>45625</v>
      </c>
      <c r="C678" s="22">
        <f>YEAR(Table1_1[[#This Row],[Order Date]])</f>
        <v>2024</v>
      </c>
      <c r="D678" s="22" t="str">
        <f>TEXT(Table1_1[[#This Row],[Order Date]],"MMMM")</f>
        <v>November</v>
      </c>
      <c r="E678" s="22" t="s">
        <v>26</v>
      </c>
      <c r="F678" s="22" t="s">
        <v>27</v>
      </c>
      <c r="G678" s="22" t="s">
        <v>60</v>
      </c>
      <c r="H678" s="22" t="s">
        <v>39</v>
      </c>
      <c r="I678" s="22" t="s">
        <v>54</v>
      </c>
      <c r="J678" s="22" t="s">
        <v>55</v>
      </c>
      <c r="K678" s="22" t="s">
        <v>1623</v>
      </c>
      <c r="L678" s="22" t="s">
        <v>33</v>
      </c>
      <c r="M678" s="22" t="s">
        <v>66</v>
      </c>
      <c r="N678" s="22">
        <v>14</v>
      </c>
      <c r="O678" s="26">
        <v>5890</v>
      </c>
      <c r="P678" s="22">
        <v>0.1</v>
      </c>
      <c r="Q678" s="30">
        <v>3980</v>
      </c>
      <c r="R678" s="33">
        <f>Table1_1[[#This Row],[Units Sold]]*Table1_1[[#This Row],[Unit Price]]*1-Table1_1[[#This Row],[Discount]]</f>
        <v>82459.899999999994</v>
      </c>
      <c r="S678" s="33">
        <f>Table1_1[[#This Row],[Units Sold]]*Table1_1[[#This Row],[Unit Cost]]</f>
        <v>55720</v>
      </c>
      <c r="T678" s="33">
        <f>Table1_1[[#This Row],[Sales Amount]]-S678</f>
        <v>26739.899999999994</v>
      </c>
      <c r="U678" s="32">
        <f>IFERROR(Table1_1[[#This Row],[Profit/loss]]/Table1_1[[#This Row],[Sales Amount]],0)</f>
        <v>0.32427761857581683</v>
      </c>
    </row>
    <row r="679" spans="1:21" ht="18" x14ac:dyDescent="0.35">
      <c r="A679" s="21" t="s">
        <v>786</v>
      </c>
      <c r="B679" s="36">
        <v>45625</v>
      </c>
      <c r="C679" s="22">
        <f>YEAR(Table1_1[[#This Row],[Order Date]])</f>
        <v>2024</v>
      </c>
      <c r="D679" s="22" t="str">
        <f>TEXT(Table1_1[[#This Row],[Order Date]],"MMMM")</f>
        <v>November</v>
      </c>
      <c r="E679" s="22" t="s">
        <v>26</v>
      </c>
      <c r="F679" s="22" t="s">
        <v>163</v>
      </c>
      <c r="G679" s="22" t="s">
        <v>38</v>
      </c>
      <c r="H679" s="22" t="s">
        <v>39</v>
      </c>
      <c r="I679" s="22" t="s">
        <v>40</v>
      </c>
      <c r="J679" s="22" t="s">
        <v>41</v>
      </c>
      <c r="K679" s="22" t="s">
        <v>1624</v>
      </c>
      <c r="L679" s="22" t="s">
        <v>23</v>
      </c>
      <c r="M679" s="22" t="s">
        <v>24</v>
      </c>
      <c r="N679" s="22">
        <v>28</v>
      </c>
      <c r="O679" s="26">
        <v>48990</v>
      </c>
      <c r="P679" s="22">
        <v>0.15</v>
      </c>
      <c r="Q679" s="30">
        <v>30100</v>
      </c>
      <c r="R679" s="33">
        <f>Table1_1[[#This Row],[Units Sold]]*Table1_1[[#This Row],[Unit Price]]*1-Table1_1[[#This Row],[Discount]]</f>
        <v>1371719.85</v>
      </c>
      <c r="S679" s="33">
        <f>Table1_1[[#This Row],[Units Sold]]*Table1_1[[#This Row],[Unit Cost]]</f>
        <v>842800</v>
      </c>
      <c r="T679" s="33">
        <f>Table1_1[[#This Row],[Sales Amount]]-S679</f>
        <v>528919.85000000009</v>
      </c>
      <c r="U679" s="32">
        <f>IFERROR(Table1_1[[#This Row],[Profit/loss]]/Table1_1[[#This Row],[Sales Amount]],0)</f>
        <v>0.38558882850605397</v>
      </c>
    </row>
    <row r="680" spans="1:21" ht="18" x14ac:dyDescent="0.35">
      <c r="A680" s="21" t="s">
        <v>787</v>
      </c>
      <c r="B680" s="36">
        <v>45626</v>
      </c>
      <c r="C680" s="22">
        <f>YEAR(Table1_1[[#This Row],[Order Date]])</f>
        <v>2024</v>
      </c>
      <c r="D680" s="22" t="str">
        <f>TEXT(Table1_1[[#This Row],[Order Date]],"MMMM")</f>
        <v>November</v>
      </c>
      <c r="E680" s="22" t="s">
        <v>48</v>
      </c>
      <c r="F680" s="22" t="s">
        <v>93</v>
      </c>
      <c r="G680" s="22" t="s">
        <v>28</v>
      </c>
      <c r="H680" s="22" t="s">
        <v>39</v>
      </c>
      <c r="I680" s="22" t="s">
        <v>20</v>
      </c>
      <c r="J680" s="22" t="s">
        <v>21</v>
      </c>
      <c r="K680" s="22" t="s">
        <v>51</v>
      </c>
      <c r="L680" s="22" t="s">
        <v>57</v>
      </c>
      <c r="M680" s="22" t="s">
        <v>24</v>
      </c>
      <c r="N680" s="22">
        <v>8</v>
      </c>
      <c r="O680" s="26">
        <v>5999</v>
      </c>
      <c r="P680" s="22">
        <v>0.12</v>
      </c>
      <c r="Q680" s="30">
        <v>3890</v>
      </c>
      <c r="R680" s="33">
        <f>Table1_1[[#This Row],[Units Sold]]*Table1_1[[#This Row],[Unit Price]]*1-Table1_1[[#This Row],[Discount]]</f>
        <v>47991.88</v>
      </c>
      <c r="S680" s="33">
        <f>Table1_1[[#This Row],[Units Sold]]*Table1_1[[#This Row],[Unit Cost]]</f>
        <v>31120</v>
      </c>
      <c r="T680" s="33">
        <f>Table1_1[[#This Row],[Sales Amount]]-S680</f>
        <v>16871.879999999997</v>
      </c>
      <c r="U680" s="32">
        <f>IFERROR(Table1_1[[#This Row],[Profit/loss]]/Table1_1[[#This Row],[Sales Amount]],0)</f>
        <v>0.35155697172104944</v>
      </c>
    </row>
    <row r="681" spans="1:21" ht="18" x14ac:dyDescent="0.35">
      <c r="A681" s="21" t="s">
        <v>788</v>
      </c>
      <c r="B681" s="36">
        <v>45626</v>
      </c>
      <c r="C681" s="22">
        <f>YEAR(Table1_1[[#This Row],[Order Date]])</f>
        <v>2024</v>
      </c>
      <c r="D681" s="22" t="str">
        <f>TEXT(Table1_1[[#This Row],[Order Date]],"MMMM")</f>
        <v>November</v>
      </c>
      <c r="E681" s="22" t="s">
        <v>16</v>
      </c>
      <c r="F681" s="22" t="s">
        <v>111</v>
      </c>
      <c r="G681" s="22" t="s">
        <v>50</v>
      </c>
      <c r="H681" s="22" t="s">
        <v>39</v>
      </c>
      <c r="I681" s="22" t="s">
        <v>70</v>
      </c>
      <c r="J681" s="22" t="s">
        <v>71</v>
      </c>
      <c r="K681" s="22" t="s">
        <v>72</v>
      </c>
      <c r="L681" s="22" t="s">
        <v>23</v>
      </c>
      <c r="M681" s="22" t="s">
        <v>34</v>
      </c>
      <c r="N681" s="22">
        <v>24</v>
      </c>
      <c r="O681" s="26">
        <v>3499</v>
      </c>
      <c r="P681" s="22">
        <v>0.15</v>
      </c>
      <c r="Q681" s="30">
        <v>2190</v>
      </c>
      <c r="R681" s="33">
        <f>Table1_1[[#This Row],[Units Sold]]*Table1_1[[#This Row],[Unit Price]]*1-Table1_1[[#This Row],[Discount]]</f>
        <v>83975.85</v>
      </c>
      <c r="S681" s="33">
        <f>Table1_1[[#This Row],[Units Sold]]*Table1_1[[#This Row],[Unit Cost]]</f>
        <v>52560</v>
      </c>
      <c r="T681" s="33">
        <f>Table1_1[[#This Row],[Sales Amount]]-S681</f>
        <v>31415.850000000006</v>
      </c>
      <c r="U681" s="32">
        <f>IFERROR(Table1_1[[#This Row],[Profit/loss]]/Table1_1[[#This Row],[Sales Amount]],0)</f>
        <v>0.37410576969450149</v>
      </c>
    </row>
    <row r="682" spans="1:21" ht="18" x14ac:dyDescent="0.35">
      <c r="A682" s="21" t="s">
        <v>789</v>
      </c>
      <c r="B682" s="36">
        <v>45627</v>
      </c>
      <c r="C682" s="22">
        <f>YEAR(Table1_1[[#This Row],[Order Date]])</f>
        <v>2024</v>
      </c>
      <c r="D682" s="22" t="str">
        <f>TEXT(Table1_1[[#This Row],[Order Date]],"MMMM")</f>
        <v>December</v>
      </c>
      <c r="E682" s="22" t="s">
        <v>36</v>
      </c>
      <c r="F682" s="22" t="s">
        <v>59</v>
      </c>
      <c r="G682" s="22" t="s">
        <v>84</v>
      </c>
      <c r="H682" s="22" t="s">
        <v>19</v>
      </c>
      <c r="I682" s="22" t="s">
        <v>40</v>
      </c>
      <c r="J682" s="22" t="s">
        <v>64</v>
      </c>
      <c r="K682" s="22" t="s">
        <v>1629</v>
      </c>
      <c r="L682" s="22" t="s">
        <v>33</v>
      </c>
      <c r="M682" s="22" t="s">
        <v>66</v>
      </c>
      <c r="N682" s="22">
        <v>10</v>
      </c>
      <c r="O682" s="26">
        <v>3299</v>
      </c>
      <c r="P682" s="22">
        <v>0.12</v>
      </c>
      <c r="Q682" s="30">
        <v>2050</v>
      </c>
      <c r="R682" s="33">
        <f>Table1_1[[#This Row],[Units Sold]]*Table1_1[[#This Row],[Unit Price]]*1-Table1_1[[#This Row],[Discount]]</f>
        <v>32989.879999999997</v>
      </c>
      <c r="S682" s="33">
        <f>Table1_1[[#This Row],[Units Sold]]*Table1_1[[#This Row],[Unit Cost]]</f>
        <v>20500</v>
      </c>
      <c r="T682" s="33">
        <f>Table1_1[[#This Row],[Sales Amount]]-S682</f>
        <v>12489.879999999997</v>
      </c>
      <c r="U682" s="32">
        <f>IFERROR(Table1_1[[#This Row],[Profit/loss]]/Table1_1[[#This Row],[Sales Amount]],0)</f>
        <v>0.37859731529790341</v>
      </c>
    </row>
    <row r="683" spans="1:21" ht="18" x14ac:dyDescent="0.35">
      <c r="A683" s="21" t="s">
        <v>790</v>
      </c>
      <c r="B683" s="36">
        <v>45627</v>
      </c>
      <c r="C683" s="22">
        <f>YEAR(Table1_1[[#This Row],[Order Date]])</f>
        <v>2024</v>
      </c>
      <c r="D683" s="22" t="str">
        <f>TEXT(Table1_1[[#This Row],[Order Date]],"MMMM")</f>
        <v>December</v>
      </c>
      <c r="E683" s="22" t="s">
        <v>36</v>
      </c>
      <c r="F683" s="22" t="s">
        <v>121</v>
      </c>
      <c r="G683" s="22" t="s">
        <v>69</v>
      </c>
      <c r="H683" s="22" t="s">
        <v>19</v>
      </c>
      <c r="I683" s="22" t="s">
        <v>30</v>
      </c>
      <c r="J683" s="22" t="s">
        <v>31</v>
      </c>
      <c r="K683" s="22" t="s">
        <v>106</v>
      </c>
      <c r="L683" s="22" t="s">
        <v>23</v>
      </c>
      <c r="M683" s="22" t="s">
        <v>66</v>
      </c>
      <c r="N683" s="22">
        <v>10</v>
      </c>
      <c r="O683" s="26">
        <v>52990</v>
      </c>
      <c r="P683" s="22">
        <v>0.12</v>
      </c>
      <c r="Q683" s="30">
        <v>35100</v>
      </c>
      <c r="R683" s="33">
        <f>Table1_1[[#This Row],[Units Sold]]*Table1_1[[#This Row],[Unit Price]]*1-Table1_1[[#This Row],[Discount]]</f>
        <v>529899.88</v>
      </c>
      <c r="S683" s="33">
        <f>Table1_1[[#This Row],[Units Sold]]*Table1_1[[#This Row],[Unit Cost]]</f>
        <v>351000</v>
      </c>
      <c r="T683" s="33">
        <f>Table1_1[[#This Row],[Sales Amount]]-S683</f>
        <v>178899.88</v>
      </c>
      <c r="U683" s="32">
        <f>IFERROR(Table1_1[[#This Row],[Profit/loss]]/Table1_1[[#This Row],[Sales Amount]],0)</f>
        <v>0.33761071997223324</v>
      </c>
    </row>
    <row r="684" spans="1:21" ht="18" x14ac:dyDescent="0.35">
      <c r="A684" s="21" t="s">
        <v>791</v>
      </c>
      <c r="B684" s="36">
        <v>45627</v>
      </c>
      <c r="C684" s="22">
        <f>YEAR(Table1_1[[#This Row],[Order Date]])</f>
        <v>2024</v>
      </c>
      <c r="D684" s="22" t="str">
        <f>TEXT(Table1_1[[#This Row],[Order Date]],"MMMM")</f>
        <v>December</v>
      </c>
      <c r="E684" s="22" t="s">
        <v>26</v>
      </c>
      <c r="F684" s="22" t="s">
        <v>163</v>
      </c>
      <c r="G684" s="22" t="s">
        <v>60</v>
      </c>
      <c r="H684" s="22" t="s">
        <v>29</v>
      </c>
      <c r="I684" s="22" t="s">
        <v>30</v>
      </c>
      <c r="J684" s="22" t="s">
        <v>61</v>
      </c>
      <c r="K684" s="22" t="s">
        <v>186</v>
      </c>
      <c r="L684" s="22" t="s">
        <v>23</v>
      </c>
      <c r="M684" s="22" t="s">
        <v>24</v>
      </c>
      <c r="N684" s="22">
        <v>32</v>
      </c>
      <c r="O684" s="26">
        <v>6999</v>
      </c>
      <c r="P684" s="22">
        <v>0.15</v>
      </c>
      <c r="Q684" s="30">
        <v>4320</v>
      </c>
      <c r="R684" s="33">
        <f>Table1_1[[#This Row],[Units Sold]]*Table1_1[[#This Row],[Unit Price]]*1-Table1_1[[#This Row],[Discount]]</f>
        <v>223967.85</v>
      </c>
      <c r="S684" s="33">
        <f>Table1_1[[#This Row],[Units Sold]]*Table1_1[[#This Row],[Unit Cost]]</f>
        <v>138240</v>
      </c>
      <c r="T684" s="33">
        <f>Table1_1[[#This Row],[Sales Amount]]-S684</f>
        <v>85727.85</v>
      </c>
      <c r="U684" s="32">
        <f>IFERROR(Table1_1[[#This Row],[Profit/loss]]/Table1_1[[#This Row],[Sales Amount]],0)</f>
        <v>0.38276855361160095</v>
      </c>
    </row>
    <row r="685" spans="1:21" ht="18" x14ac:dyDescent="0.35">
      <c r="A685" s="21" t="s">
        <v>792</v>
      </c>
      <c r="B685" s="36">
        <v>45627</v>
      </c>
      <c r="C685" s="22">
        <f>YEAR(Table1_1[[#This Row],[Order Date]])</f>
        <v>2024</v>
      </c>
      <c r="D685" s="22" t="str">
        <f>TEXT(Table1_1[[#This Row],[Order Date]],"MMMM")</f>
        <v>December</v>
      </c>
      <c r="E685" s="22" t="s">
        <v>16</v>
      </c>
      <c r="F685" s="22" t="s">
        <v>111</v>
      </c>
      <c r="G685" s="22" t="s">
        <v>50</v>
      </c>
      <c r="H685" s="22" t="s">
        <v>19</v>
      </c>
      <c r="I685" s="22" t="s">
        <v>70</v>
      </c>
      <c r="J685" s="22" t="s">
        <v>71</v>
      </c>
      <c r="K685" s="22" t="s">
        <v>80</v>
      </c>
      <c r="L685" s="22" t="s">
        <v>57</v>
      </c>
      <c r="M685" s="22" t="s">
        <v>24</v>
      </c>
      <c r="N685" s="22">
        <v>18</v>
      </c>
      <c r="O685" s="26">
        <v>1299</v>
      </c>
      <c r="P685" s="22">
        <v>0.2</v>
      </c>
      <c r="Q685" s="30">
        <v>720</v>
      </c>
      <c r="R685" s="33">
        <f>Table1_1[[#This Row],[Units Sold]]*Table1_1[[#This Row],[Unit Price]]*1-Table1_1[[#This Row],[Discount]]</f>
        <v>23381.8</v>
      </c>
      <c r="S685" s="33">
        <f>Table1_1[[#This Row],[Units Sold]]*Table1_1[[#This Row],[Unit Cost]]</f>
        <v>12960</v>
      </c>
      <c r="T685" s="33">
        <f>Table1_1[[#This Row],[Sales Amount]]-S685</f>
        <v>10421.799999999999</v>
      </c>
      <c r="U685" s="32">
        <f>IFERROR(Table1_1[[#This Row],[Profit/loss]]/Table1_1[[#This Row],[Sales Amount]],0)</f>
        <v>0.44572274161955022</v>
      </c>
    </row>
    <row r="686" spans="1:21" ht="18" x14ac:dyDescent="0.35">
      <c r="A686" s="21" t="s">
        <v>793</v>
      </c>
      <c r="B686" s="36">
        <v>45627</v>
      </c>
      <c r="C686" s="22">
        <f>YEAR(Table1_1[[#This Row],[Order Date]])</f>
        <v>2024</v>
      </c>
      <c r="D686" s="22" t="str">
        <f>TEXT(Table1_1[[#This Row],[Order Date]],"MMMM")</f>
        <v>December</v>
      </c>
      <c r="E686" s="22" t="s">
        <v>16</v>
      </c>
      <c r="F686" s="22" t="s">
        <v>98</v>
      </c>
      <c r="G686" s="22" t="s">
        <v>60</v>
      </c>
      <c r="H686" s="22" t="s">
        <v>19</v>
      </c>
      <c r="I686" s="22" t="s">
        <v>20</v>
      </c>
      <c r="J686" s="22" t="s">
        <v>21</v>
      </c>
      <c r="K686" s="22" t="s">
        <v>51</v>
      </c>
      <c r="L686" s="22" t="s">
        <v>57</v>
      </c>
      <c r="M686" s="22" t="s">
        <v>24</v>
      </c>
      <c r="N686" s="22">
        <v>5</v>
      </c>
      <c r="O686" s="26">
        <v>5999</v>
      </c>
      <c r="P686" s="22">
        <v>0.1</v>
      </c>
      <c r="Q686" s="30">
        <v>3890</v>
      </c>
      <c r="R686" s="33">
        <f>Table1_1[[#This Row],[Units Sold]]*Table1_1[[#This Row],[Unit Price]]*1-Table1_1[[#This Row],[Discount]]</f>
        <v>29994.9</v>
      </c>
      <c r="S686" s="33">
        <f>Table1_1[[#This Row],[Units Sold]]*Table1_1[[#This Row],[Unit Cost]]</f>
        <v>19450</v>
      </c>
      <c r="T686" s="33">
        <f>Table1_1[[#This Row],[Sales Amount]]-S686</f>
        <v>10544.900000000001</v>
      </c>
      <c r="U686" s="32">
        <f>IFERROR(Table1_1[[#This Row],[Profit/loss]]/Table1_1[[#This Row],[Sales Amount]],0)</f>
        <v>0.35155643125998087</v>
      </c>
    </row>
    <row r="687" spans="1:21" ht="18" x14ac:dyDescent="0.35">
      <c r="A687" s="21" t="s">
        <v>794</v>
      </c>
      <c r="B687" s="36">
        <v>45627</v>
      </c>
      <c r="C687" s="22">
        <f>YEAR(Table1_1[[#This Row],[Order Date]])</f>
        <v>2024</v>
      </c>
      <c r="D687" s="22" t="str">
        <f>TEXT(Table1_1[[#This Row],[Order Date]],"MMMM")</f>
        <v>December</v>
      </c>
      <c r="E687" s="22" t="s">
        <v>16</v>
      </c>
      <c r="F687" s="22" t="s">
        <v>17</v>
      </c>
      <c r="G687" s="22" t="s">
        <v>75</v>
      </c>
      <c r="H687" s="22" t="s">
        <v>39</v>
      </c>
      <c r="I687" s="22" t="s">
        <v>40</v>
      </c>
      <c r="J687" s="22" t="s">
        <v>64</v>
      </c>
      <c r="K687" s="22" t="s">
        <v>1627</v>
      </c>
      <c r="L687" s="22" t="s">
        <v>33</v>
      </c>
      <c r="M687" s="22" t="s">
        <v>78</v>
      </c>
      <c r="N687" s="22">
        <v>1</v>
      </c>
      <c r="O687" s="26">
        <v>4490</v>
      </c>
      <c r="P687" s="22">
        <v>0.12</v>
      </c>
      <c r="Q687" s="30">
        <v>2950</v>
      </c>
      <c r="R687" s="33">
        <f>Table1_1[[#This Row],[Units Sold]]*Table1_1[[#This Row],[Unit Price]]*1-Table1_1[[#This Row],[Discount]]</f>
        <v>4489.88</v>
      </c>
      <c r="S687" s="33">
        <f>Table1_1[[#This Row],[Units Sold]]*Table1_1[[#This Row],[Unit Cost]]</f>
        <v>2950</v>
      </c>
      <c r="T687" s="33">
        <f>Table1_1[[#This Row],[Sales Amount]]-S687</f>
        <v>1539.88</v>
      </c>
      <c r="U687" s="32">
        <f>IFERROR(Table1_1[[#This Row],[Profit/loss]]/Table1_1[[#This Row],[Sales Amount]],0)</f>
        <v>0.34296684989353837</v>
      </c>
    </row>
    <row r="688" spans="1:21" ht="18" x14ac:dyDescent="0.35">
      <c r="A688" s="21" t="s">
        <v>795</v>
      </c>
      <c r="B688" s="36">
        <v>45628</v>
      </c>
      <c r="C688" s="22">
        <f>YEAR(Table1_1[[#This Row],[Order Date]])</f>
        <v>2024</v>
      </c>
      <c r="D688" s="22" t="str">
        <f>TEXT(Table1_1[[#This Row],[Order Date]],"MMMM")</f>
        <v>December</v>
      </c>
      <c r="E688" s="22" t="s">
        <v>26</v>
      </c>
      <c r="F688" s="22" t="s">
        <v>27</v>
      </c>
      <c r="G688" s="22" t="s">
        <v>101</v>
      </c>
      <c r="H688" s="22" t="s">
        <v>39</v>
      </c>
      <c r="I688" s="22" t="s">
        <v>30</v>
      </c>
      <c r="J688" s="22" t="s">
        <v>31</v>
      </c>
      <c r="K688" s="22" t="s">
        <v>85</v>
      </c>
      <c r="L688" s="22" t="s">
        <v>23</v>
      </c>
      <c r="M688" s="22" t="s">
        <v>78</v>
      </c>
      <c r="N688" s="22">
        <v>14</v>
      </c>
      <c r="O688" s="26">
        <v>43500</v>
      </c>
      <c r="P688" s="22">
        <v>0.08</v>
      </c>
      <c r="Q688" s="30">
        <v>29520</v>
      </c>
      <c r="R688" s="33">
        <f>Table1_1[[#This Row],[Units Sold]]*Table1_1[[#This Row],[Unit Price]]*1-Table1_1[[#This Row],[Discount]]</f>
        <v>608999.92000000004</v>
      </c>
      <c r="S688" s="33">
        <f>Table1_1[[#This Row],[Units Sold]]*Table1_1[[#This Row],[Unit Cost]]</f>
        <v>413280</v>
      </c>
      <c r="T688" s="33">
        <f>Table1_1[[#This Row],[Sales Amount]]-S688</f>
        <v>195719.92000000004</v>
      </c>
      <c r="U688" s="32">
        <f>IFERROR(Table1_1[[#This Row],[Profit/loss]]/Table1_1[[#This Row],[Sales Amount]],0)</f>
        <v>0.32137922119924095</v>
      </c>
    </row>
    <row r="689" spans="1:21" ht="18" x14ac:dyDescent="0.35">
      <c r="A689" s="21" t="s">
        <v>796</v>
      </c>
      <c r="B689" s="36">
        <v>45628</v>
      </c>
      <c r="C689" s="22">
        <f>YEAR(Table1_1[[#This Row],[Order Date]])</f>
        <v>2024</v>
      </c>
      <c r="D689" s="22" t="str">
        <f>TEXT(Table1_1[[#This Row],[Order Date]],"MMMM")</f>
        <v>December</v>
      </c>
      <c r="E689" s="22" t="s">
        <v>36</v>
      </c>
      <c r="F689" s="22" t="s">
        <v>59</v>
      </c>
      <c r="G689" s="22" t="s">
        <v>50</v>
      </c>
      <c r="H689" s="22" t="s">
        <v>19</v>
      </c>
      <c r="I689" s="22" t="s">
        <v>40</v>
      </c>
      <c r="J689" s="22" t="s">
        <v>64</v>
      </c>
      <c r="K689" s="22" t="s">
        <v>1629</v>
      </c>
      <c r="L689" s="22" t="s">
        <v>23</v>
      </c>
      <c r="M689" s="22" t="s">
        <v>24</v>
      </c>
      <c r="N689" s="22">
        <v>37</v>
      </c>
      <c r="O689" s="26">
        <v>3299</v>
      </c>
      <c r="P689" s="22">
        <v>0.05</v>
      </c>
      <c r="Q689" s="30">
        <v>2050</v>
      </c>
      <c r="R689" s="33">
        <f>Table1_1[[#This Row],[Units Sold]]*Table1_1[[#This Row],[Unit Price]]*1-Table1_1[[#This Row],[Discount]]</f>
        <v>122062.95</v>
      </c>
      <c r="S689" s="33">
        <f>Table1_1[[#This Row],[Units Sold]]*Table1_1[[#This Row],[Unit Cost]]</f>
        <v>75850</v>
      </c>
      <c r="T689" s="33">
        <f>Table1_1[[#This Row],[Sales Amount]]-S689</f>
        <v>46212.95</v>
      </c>
      <c r="U689" s="32">
        <f>IFERROR(Table1_1[[#This Row],[Profit/loss]]/Table1_1[[#This Row],[Sales Amount]],0)</f>
        <v>0.37859932108801236</v>
      </c>
    </row>
    <row r="690" spans="1:21" ht="18" x14ac:dyDescent="0.35">
      <c r="A690" s="21" t="s">
        <v>797</v>
      </c>
      <c r="B690" s="36">
        <v>45629</v>
      </c>
      <c r="C690" s="22">
        <f>YEAR(Table1_1[[#This Row],[Order Date]])</f>
        <v>2024</v>
      </c>
      <c r="D690" s="22" t="str">
        <f>TEXT(Table1_1[[#This Row],[Order Date]],"MMMM")</f>
        <v>December</v>
      </c>
      <c r="E690" s="22" t="s">
        <v>36</v>
      </c>
      <c r="F690" s="22" t="s">
        <v>44</v>
      </c>
      <c r="G690" s="22" t="s">
        <v>28</v>
      </c>
      <c r="H690" s="22" t="s">
        <v>29</v>
      </c>
      <c r="I690" s="22" t="s">
        <v>54</v>
      </c>
      <c r="J690" s="22" t="s">
        <v>90</v>
      </c>
      <c r="K690" s="22" t="s">
        <v>1621</v>
      </c>
      <c r="L690" s="22" t="s">
        <v>33</v>
      </c>
      <c r="M690" s="22" t="s">
        <v>78</v>
      </c>
      <c r="N690" s="22">
        <v>12</v>
      </c>
      <c r="O690" s="26">
        <v>31990</v>
      </c>
      <c r="P690" s="22">
        <v>0.15</v>
      </c>
      <c r="Q690" s="30">
        <v>21800</v>
      </c>
      <c r="R690" s="33">
        <f>Table1_1[[#This Row],[Units Sold]]*Table1_1[[#This Row],[Unit Price]]*1-Table1_1[[#This Row],[Discount]]</f>
        <v>383879.85</v>
      </c>
      <c r="S690" s="33">
        <f>Table1_1[[#This Row],[Units Sold]]*Table1_1[[#This Row],[Unit Cost]]</f>
        <v>261600</v>
      </c>
      <c r="T690" s="33">
        <f>Table1_1[[#This Row],[Sales Amount]]-S690</f>
        <v>122279.84999999998</v>
      </c>
      <c r="U690" s="32">
        <f>IFERROR(Table1_1[[#This Row],[Profit/loss]]/Table1_1[[#This Row],[Sales Amount]],0)</f>
        <v>0.31853677654609897</v>
      </c>
    </row>
    <row r="691" spans="1:21" ht="18" x14ac:dyDescent="0.35">
      <c r="A691" s="21" t="s">
        <v>798</v>
      </c>
      <c r="B691" s="36">
        <v>45629</v>
      </c>
      <c r="C691" s="22">
        <f>YEAR(Table1_1[[#This Row],[Order Date]])</f>
        <v>2024</v>
      </c>
      <c r="D691" s="22" t="str">
        <f>TEXT(Table1_1[[#This Row],[Order Date]],"MMMM")</f>
        <v>December</v>
      </c>
      <c r="E691" s="22" t="s">
        <v>36</v>
      </c>
      <c r="F691" s="22" t="s">
        <v>44</v>
      </c>
      <c r="G691" s="22" t="s">
        <v>101</v>
      </c>
      <c r="H691" s="22" t="s">
        <v>19</v>
      </c>
      <c r="I691" s="22" t="s">
        <v>70</v>
      </c>
      <c r="J691" s="22" t="s">
        <v>71</v>
      </c>
      <c r="K691" s="22" t="s">
        <v>88</v>
      </c>
      <c r="L691" s="22" t="s">
        <v>57</v>
      </c>
      <c r="M691" s="22" t="s">
        <v>66</v>
      </c>
      <c r="N691" s="22">
        <v>9</v>
      </c>
      <c r="O691" s="26">
        <v>999</v>
      </c>
      <c r="P691" s="22">
        <v>0.2</v>
      </c>
      <c r="Q691" s="30">
        <v>540</v>
      </c>
      <c r="R691" s="33">
        <f>Table1_1[[#This Row],[Units Sold]]*Table1_1[[#This Row],[Unit Price]]*1-Table1_1[[#This Row],[Discount]]</f>
        <v>8990.7999999999993</v>
      </c>
      <c r="S691" s="33">
        <f>Table1_1[[#This Row],[Units Sold]]*Table1_1[[#This Row],[Unit Cost]]</f>
        <v>4860</v>
      </c>
      <c r="T691" s="33">
        <f>Table1_1[[#This Row],[Sales Amount]]-S691</f>
        <v>4130.7999999999993</v>
      </c>
      <c r="U691" s="32">
        <f>IFERROR(Table1_1[[#This Row],[Profit/loss]]/Table1_1[[#This Row],[Sales Amount]],0)</f>
        <v>0.45944743515593711</v>
      </c>
    </row>
    <row r="692" spans="1:21" ht="18" x14ac:dyDescent="0.35">
      <c r="A692" s="21" t="s">
        <v>799</v>
      </c>
      <c r="B692" s="36">
        <v>45629</v>
      </c>
      <c r="C692" s="22">
        <f>YEAR(Table1_1[[#This Row],[Order Date]])</f>
        <v>2024</v>
      </c>
      <c r="D692" s="22" t="str">
        <f>TEXT(Table1_1[[#This Row],[Order Date]],"MMMM")</f>
        <v>December</v>
      </c>
      <c r="E692" s="22" t="s">
        <v>36</v>
      </c>
      <c r="F692" s="22" t="s">
        <v>121</v>
      </c>
      <c r="G692" s="22" t="s">
        <v>50</v>
      </c>
      <c r="H692" s="22" t="s">
        <v>19</v>
      </c>
      <c r="I692" s="22" t="s">
        <v>30</v>
      </c>
      <c r="J692" s="22" t="s">
        <v>31</v>
      </c>
      <c r="K692" s="22" t="s">
        <v>106</v>
      </c>
      <c r="L692" s="22" t="s">
        <v>57</v>
      </c>
      <c r="M692" s="22" t="s">
        <v>24</v>
      </c>
      <c r="N692" s="22">
        <v>7</v>
      </c>
      <c r="O692" s="26">
        <v>52990</v>
      </c>
      <c r="P692" s="22">
        <v>0.15</v>
      </c>
      <c r="Q692" s="30">
        <v>35100</v>
      </c>
      <c r="R692" s="33">
        <f>Table1_1[[#This Row],[Units Sold]]*Table1_1[[#This Row],[Unit Price]]*1-Table1_1[[#This Row],[Discount]]</f>
        <v>370929.85</v>
      </c>
      <c r="S692" s="33">
        <f>Table1_1[[#This Row],[Units Sold]]*Table1_1[[#This Row],[Unit Cost]]</f>
        <v>245700</v>
      </c>
      <c r="T692" s="33">
        <f>Table1_1[[#This Row],[Sales Amount]]-S692</f>
        <v>125229.84999999998</v>
      </c>
      <c r="U692" s="32">
        <f>IFERROR(Table1_1[[#This Row],[Profit/loss]]/Table1_1[[#This Row],[Sales Amount]],0)</f>
        <v>0.33761060211250182</v>
      </c>
    </row>
    <row r="693" spans="1:21" ht="18" x14ac:dyDescent="0.35">
      <c r="A693" s="21" t="s">
        <v>800</v>
      </c>
      <c r="B693" s="36">
        <v>45630</v>
      </c>
      <c r="C693" s="22">
        <f>YEAR(Table1_1[[#This Row],[Order Date]])</f>
        <v>2024</v>
      </c>
      <c r="D693" s="22" t="str">
        <f>TEXT(Table1_1[[#This Row],[Order Date]],"MMMM")</f>
        <v>December</v>
      </c>
      <c r="E693" s="22" t="s">
        <v>82</v>
      </c>
      <c r="F693" s="22" t="s">
        <v>183</v>
      </c>
      <c r="G693" s="22" t="s">
        <v>101</v>
      </c>
      <c r="H693" s="22" t="s">
        <v>39</v>
      </c>
      <c r="I693" s="22" t="s">
        <v>70</v>
      </c>
      <c r="J693" s="22" t="s">
        <v>71</v>
      </c>
      <c r="K693" s="22" t="s">
        <v>88</v>
      </c>
      <c r="L693" s="22" t="s">
        <v>33</v>
      </c>
      <c r="M693" s="22" t="s">
        <v>24</v>
      </c>
      <c r="N693" s="22">
        <v>35</v>
      </c>
      <c r="O693" s="26">
        <v>999</v>
      </c>
      <c r="P693" s="22">
        <v>0.12</v>
      </c>
      <c r="Q693" s="30">
        <v>540</v>
      </c>
      <c r="R693" s="33">
        <f>Table1_1[[#This Row],[Units Sold]]*Table1_1[[#This Row],[Unit Price]]*1-Table1_1[[#This Row],[Discount]]</f>
        <v>34964.879999999997</v>
      </c>
      <c r="S693" s="33">
        <f>Table1_1[[#This Row],[Units Sold]]*Table1_1[[#This Row],[Unit Cost]]</f>
        <v>18900</v>
      </c>
      <c r="T693" s="33">
        <f>Table1_1[[#This Row],[Sales Amount]]-S693</f>
        <v>16064.879999999997</v>
      </c>
      <c r="U693" s="32">
        <f>IFERROR(Table1_1[[#This Row],[Profit/loss]]/Table1_1[[#This Row],[Sales Amount]],0)</f>
        <v>0.45945760431610227</v>
      </c>
    </row>
    <row r="694" spans="1:21" ht="18" x14ac:dyDescent="0.35">
      <c r="A694" s="21" t="s">
        <v>801</v>
      </c>
      <c r="B694" s="36">
        <v>45630</v>
      </c>
      <c r="C694" s="22">
        <f>YEAR(Table1_1[[#This Row],[Order Date]])</f>
        <v>2024</v>
      </c>
      <c r="D694" s="22" t="str">
        <f>TEXT(Table1_1[[#This Row],[Order Date]],"MMMM")</f>
        <v>December</v>
      </c>
      <c r="E694" s="22" t="s">
        <v>36</v>
      </c>
      <c r="F694" s="22" t="s">
        <v>37</v>
      </c>
      <c r="G694" s="22" t="s">
        <v>75</v>
      </c>
      <c r="H694" s="22" t="s">
        <v>29</v>
      </c>
      <c r="I694" s="22" t="s">
        <v>54</v>
      </c>
      <c r="J694" s="22" t="s">
        <v>129</v>
      </c>
      <c r="K694" s="22" t="s">
        <v>1630</v>
      </c>
      <c r="L694" s="22" t="s">
        <v>23</v>
      </c>
      <c r="M694" s="22" t="s">
        <v>24</v>
      </c>
      <c r="N694" s="22">
        <v>18</v>
      </c>
      <c r="O694" s="26">
        <v>29010</v>
      </c>
      <c r="P694" s="22">
        <v>0.12</v>
      </c>
      <c r="Q694" s="30">
        <v>19100</v>
      </c>
      <c r="R694" s="33">
        <f>Table1_1[[#This Row],[Units Sold]]*Table1_1[[#This Row],[Unit Price]]*1-Table1_1[[#This Row],[Discount]]</f>
        <v>522179.88</v>
      </c>
      <c r="S694" s="33">
        <f>Table1_1[[#This Row],[Units Sold]]*Table1_1[[#This Row],[Unit Cost]]</f>
        <v>343800</v>
      </c>
      <c r="T694" s="33">
        <f>Table1_1[[#This Row],[Sales Amount]]-S694</f>
        <v>178379.88</v>
      </c>
      <c r="U694" s="32">
        <f>IFERROR(Table1_1[[#This Row],[Profit/loss]]/Table1_1[[#This Row],[Sales Amount]],0)</f>
        <v>0.34160619133774361</v>
      </c>
    </row>
    <row r="695" spans="1:21" ht="18" x14ac:dyDescent="0.35">
      <c r="A695" s="21" t="s">
        <v>802</v>
      </c>
      <c r="B695" s="36">
        <v>45630</v>
      </c>
      <c r="C695" s="22">
        <f>YEAR(Table1_1[[#This Row],[Order Date]])</f>
        <v>2024</v>
      </c>
      <c r="D695" s="22" t="str">
        <f>TEXT(Table1_1[[#This Row],[Order Date]],"MMMM")</f>
        <v>December</v>
      </c>
      <c r="E695" s="22" t="s">
        <v>82</v>
      </c>
      <c r="F695" s="22" t="s">
        <v>100</v>
      </c>
      <c r="G695" s="22" t="s">
        <v>60</v>
      </c>
      <c r="H695" s="22" t="s">
        <v>29</v>
      </c>
      <c r="I695" s="22" t="s">
        <v>40</v>
      </c>
      <c r="J695" s="22" t="s">
        <v>76</v>
      </c>
      <c r="K695" s="22" t="s">
        <v>1626</v>
      </c>
      <c r="L695" s="22" t="s">
        <v>23</v>
      </c>
      <c r="M695" s="22" t="s">
        <v>78</v>
      </c>
      <c r="N695" s="22">
        <v>34</v>
      </c>
      <c r="O695" s="26">
        <v>25999</v>
      </c>
      <c r="P695" s="22">
        <v>0.05</v>
      </c>
      <c r="Q695" s="30">
        <v>17800</v>
      </c>
      <c r="R695" s="33">
        <f>Table1_1[[#This Row],[Units Sold]]*Table1_1[[#This Row],[Unit Price]]*1-Table1_1[[#This Row],[Discount]]</f>
        <v>883965.95</v>
      </c>
      <c r="S695" s="33">
        <f>Table1_1[[#This Row],[Units Sold]]*Table1_1[[#This Row],[Unit Cost]]</f>
        <v>605200</v>
      </c>
      <c r="T695" s="33">
        <f>Table1_1[[#This Row],[Sales Amount]]-S695</f>
        <v>278765.94999999995</v>
      </c>
      <c r="U695" s="32">
        <f>IFERROR(Table1_1[[#This Row],[Profit/loss]]/Table1_1[[#This Row],[Sales Amount]],0)</f>
        <v>0.31535824428531434</v>
      </c>
    </row>
    <row r="696" spans="1:21" ht="18" x14ac:dyDescent="0.35">
      <c r="A696" s="21" t="s">
        <v>803</v>
      </c>
      <c r="B696" s="36">
        <v>45630</v>
      </c>
      <c r="C696" s="22">
        <f>YEAR(Table1_1[[#This Row],[Order Date]])</f>
        <v>2024</v>
      </c>
      <c r="D696" s="22" t="str">
        <f>TEXT(Table1_1[[#This Row],[Order Date]],"MMMM")</f>
        <v>December</v>
      </c>
      <c r="E696" s="22" t="s">
        <v>26</v>
      </c>
      <c r="F696" s="22" t="s">
        <v>53</v>
      </c>
      <c r="G696" s="22" t="s">
        <v>18</v>
      </c>
      <c r="H696" s="22" t="s">
        <v>19</v>
      </c>
      <c r="I696" s="22" t="s">
        <v>30</v>
      </c>
      <c r="J696" s="22" t="s">
        <v>61</v>
      </c>
      <c r="K696" s="22" t="s">
        <v>186</v>
      </c>
      <c r="L696" s="22" t="s">
        <v>33</v>
      </c>
      <c r="M696" s="22" t="s">
        <v>66</v>
      </c>
      <c r="N696" s="22">
        <v>8</v>
      </c>
      <c r="O696" s="26">
        <v>6999</v>
      </c>
      <c r="P696" s="22">
        <v>0.05</v>
      </c>
      <c r="Q696" s="30">
        <v>4320</v>
      </c>
      <c r="R696" s="33">
        <f>Table1_1[[#This Row],[Units Sold]]*Table1_1[[#This Row],[Unit Price]]*1-Table1_1[[#This Row],[Discount]]</f>
        <v>55991.95</v>
      </c>
      <c r="S696" s="33">
        <f>Table1_1[[#This Row],[Units Sold]]*Table1_1[[#This Row],[Unit Cost]]</f>
        <v>34560</v>
      </c>
      <c r="T696" s="33">
        <f>Table1_1[[#This Row],[Sales Amount]]-S696</f>
        <v>21431.949999999997</v>
      </c>
      <c r="U696" s="32">
        <f>IFERROR(Table1_1[[#This Row],[Profit/loss]]/Table1_1[[#This Row],[Sales Amount]],0)</f>
        <v>0.38276841581691651</v>
      </c>
    </row>
    <row r="697" spans="1:21" ht="18" x14ac:dyDescent="0.35">
      <c r="A697" s="21" t="s">
        <v>804</v>
      </c>
      <c r="B697" s="36">
        <v>45630</v>
      </c>
      <c r="C697" s="22">
        <f>YEAR(Table1_1[[#This Row],[Order Date]])</f>
        <v>2024</v>
      </c>
      <c r="D697" s="22" t="str">
        <f>TEXT(Table1_1[[#This Row],[Order Date]],"MMMM")</f>
        <v>December</v>
      </c>
      <c r="E697" s="22" t="s">
        <v>36</v>
      </c>
      <c r="F697" s="22" t="s">
        <v>59</v>
      </c>
      <c r="G697" s="22" t="s">
        <v>105</v>
      </c>
      <c r="H697" s="22" t="s">
        <v>29</v>
      </c>
      <c r="I697" s="22" t="s">
        <v>40</v>
      </c>
      <c r="J697" s="22" t="s">
        <v>41</v>
      </c>
      <c r="K697" s="22" t="s">
        <v>42</v>
      </c>
      <c r="L697" s="22" t="s">
        <v>33</v>
      </c>
      <c r="M697" s="22" t="s">
        <v>24</v>
      </c>
      <c r="N697" s="22">
        <v>19</v>
      </c>
      <c r="O697" s="26">
        <v>55230</v>
      </c>
      <c r="P697" s="22">
        <v>0.15</v>
      </c>
      <c r="Q697" s="30">
        <v>33800</v>
      </c>
      <c r="R697" s="33">
        <f>Table1_1[[#This Row],[Units Sold]]*Table1_1[[#This Row],[Unit Price]]*1-Table1_1[[#This Row],[Discount]]</f>
        <v>1049369.8500000001</v>
      </c>
      <c r="S697" s="33">
        <f>Table1_1[[#This Row],[Units Sold]]*Table1_1[[#This Row],[Unit Cost]]</f>
        <v>642200</v>
      </c>
      <c r="T697" s="33">
        <f>Table1_1[[#This Row],[Sales Amount]]-S697</f>
        <v>407169.85000000009</v>
      </c>
      <c r="U697" s="32">
        <f>IFERROR(Table1_1[[#This Row],[Profit/loss]]/Table1_1[[#This Row],[Sales Amount]],0)</f>
        <v>0.38801367315822927</v>
      </c>
    </row>
    <row r="698" spans="1:21" ht="18" x14ac:dyDescent="0.35">
      <c r="A698" s="21" t="s">
        <v>805</v>
      </c>
      <c r="B698" s="36">
        <v>45631</v>
      </c>
      <c r="C698" s="22">
        <f>YEAR(Table1_1[[#This Row],[Order Date]])</f>
        <v>2024</v>
      </c>
      <c r="D698" s="22" t="str">
        <f>TEXT(Table1_1[[#This Row],[Order Date]],"MMMM")</f>
        <v>December</v>
      </c>
      <c r="E698" s="22" t="s">
        <v>26</v>
      </c>
      <c r="F698" s="22" t="s">
        <v>74</v>
      </c>
      <c r="G698" s="22" t="s">
        <v>28</v>
      </c>
      <c r="H698" s="22" t="s">
        <v>29</v>
      </c>
      <c r="I698" s="22" t="s">
        <v>40</v>
      </c>
      <c r="J698" s="22" t="s">
        <v>76</v>
      </c>
      <c r="K698" s="22" t="s">
        <v>1626</v>
      </c>
      <c r="L698" s="22" t="s">
        <v>57</v>
      </c>
      <c r="M698" s="22" t="s">
        <v>66</v>
      </c>
      <c r="N698" s="22">
        <v>16</v>
      </c>
      <c r="O698" s="26">
        <v>25999</v>
      </c>
      <c r="P698" s="22">
        <v>0.1</v>
      </c>
      <c r="Q698" s="30">
        <v>17800</v>
      </c>
      <c r="R698" s="33">
        <f>Table1_1[[#This Row],[Units Sold]]*Table1_1[[#This Row],[Unit Price]]*1-Table1_1[[#This Row],[Discount]]</f>
        <v>415983.9</v>
      </c>
      <c r="S698" s="33">
        <f>Table1_1[[#This Row],[Units Sold]]*Table1_1[[#This Row],[Unit Cost]]</f>
        <v>284800</v>
      </c>
      <c r="T698" s="33">
        <f>Table1_1[[#This Row],[Sales Amount]]-S698</f>
        <v>131183.90000000002</v>
      </c>
      <c r="U698" s="32">
        <f>IFERROR(Table1_1[[#This Row],[Profit/loss]]/Table1_1[[#This Row],[Sales Amount]],0)</f>
        <v>0.31535811842717953</v>
      </c>
    </row>
    <row r="699" spans="1:21" ht="18" x14ac:dyDescent="0.35">
      <c r="A699" s="21" t="s">
        <v>806</v>
      </c>
      <c r="B699" s="36">
        <v>45631</v>
      </c>
      <c r="C699" s="22">
        <f>YEAR(Table1_1[[#This Row],[Order Date]])</f>
        <v>2024</v>
      </c>
      <c r="D699" s="22" t="str">
        <f>TEXT(Table1_1[[#This Row],[Order Date]],"MMMM")</f>
        <v>December</v>
      </c>
      <c r="E699" s="22" t="s">
        <v>16</v>
      </c>
      <c r="F699" s="22" t="s">
        <v>126</v>
      </c>
      <c r="G699" s="22" t="s">
        <v>105</v>
      </c>
      <c r="H699" s="22" t="s">
        <v>19</v>
      </c>
      <c r="I699" s="22" t="s">
        <v>40</v>
      </c>
      <c r="J699" s="22" t="s">
        <v>41</v>
      </c>
      <c r="K699" s="22" t="s">
        <v>42</v>
      </c>
      <c r="L699" s="22" t="s">
        <v>57</v>
      </c>
      <c r="M699" s="22" t="s">
        <v>66</v>
      </c>
      <c r="N699" s="22">
        <v>32</v>
      </c>
      <c r="O699" s="26">
        <v>55230</v>
      </c>
      <c r="P699" s="22">
        <v>0.1</v>
      </c>
      <c r="Q699" s="30">
        <v>33800</v>
      </c>
      <c r="R699" s="33">
        <f>Table1_1[[#This Row],[Units Sold]]*Table1_1[[#This Row],[Unit Price]]*1-Table1_1[[#This Row],[Discount]]</f>
        <v>1767359.9</v>
      </c>
      <c r="S699" s="33">
        <f>Table1_1[[#This Row],[Units Sold]]*Table1_1[[#This Row],[Unit Cost]]</f>
        <v>1081600</v>
      </c>
      <c r="T699" s="33">
        <f>Table1_1[[#This Row],[Sales Amount]]-S699</f>
        <v>685759.89999999991</v>
      </c>
      <c r="U699" s="32">
        <f>IFERROR(Table1_1[[#This Row],[Profit/loss]]/Table1_1[[#This Row],[Sales Amount]],0)</f>
        <v>0.3880137260101918</v>
      </c>
    </row>
    <row r="700" spans="1:21" ht="18" x14ac:dyDescent="0.35">
      <c r="A700" s="21" t="s">
        <v>807</v>
      </c>
      <c r="B700" s="36">
        <v>45632</v>
      </c>
      <c r="C700" s="22">
        <f>YEAR(Table1_1[[#This Row],[Order Date]])</f>
        <v>2024</v>
      </c>
      <c r="D700" s="22" t="str">
        <f>TEXT(Table1_1[[#This Row],[Order Date]],"MMMM")</f>
        <v>December</v>
      </c>
      <c r="E700" s="22" t="s">
        <v>82</v>
      </c>
      <c r="F700" s="22" t="s">
        <v>87</v>
      </c>
      <c r="G700" s="22" t="s">
        <v>105</v>
      </c>
      <c r="H700" s="22" t="s">
        <v>19</v>
      </c>
      <c r="I700" s="22" t="s">
        <v>20</v>
      </c>
      <c r="J700" s="22" t="s">
        <v>45</v>
      </c>
      <c r="K700" s="22" t="s">
        <v>196</v>
      </c>
      <c r="L700" s="22" t="s">
        <v>33</v>
      </c>
      <c r="M700" s="22" t="s">
        <v>24</v>
      </c>
      <c r="N700" s="22">
        <v>28</v>
      </c>
      <c r="O700" s="26">
        <v>2499</v>
      </c>
      <c r="P700" s="22">
        <v>0.1</v>
      </c>
      <c r="Q700" s="30">
        <v>1510</v>
      </c>
      <c r="R700" s="33">
        <f>Table1_1[[#This Row],[Units Sold]]*Table1_1[[#This Row],[Unit Price]]*1-Table1_1[[#This Row],[Discount]]</f>
        <v>69971.899999999994</v>
      </c>
      <c r="S700" s="33">
        <f>Table1_1[[#This Row],[Units Sold]]*Table1_1[[#This Row],[Unit Cost]]</f>
        <v>42280</v>
      </c>
      <c r="T700" s="33">
        <f>Table1_1[[#This Row],[Sales Amount]]-S700</f>
        <v>27691.899999999994</v>
      </c>
      <c r="U700" s="32">
        <f>IFERROR(Table1_1[[#This Row],[Profit/loss]]/Table1_1[[#This Row],[Sales Amount]],0)</f>
        <v>0.39575743977225136</v>
      </c>
    </row>
    <row r="701" spans="1:21" ht="18" x14ac:dyDescent="0.35">
      <c r="A701" s="21" t="s">
        <v>808</v>
      </c>
      <c r="B701" s="36">
        <v>45632</v>
      </c>
      <c r="C701" s="22">
        <f>YEAR(Table1_1[[#This Row],[Order Date]])</f>
        <v>2024</v>
      </c>
      <c r="D701" s="22" t="str">
        <f>TEXT(Table1_1[[#This Row],[Order Date]],"MMMM")</f>
        <v>December</v>
      </c>
      <c r="E701" s="22" t="s">
        <v>82</v>
      </c>
      <c r="F701" s="22" t="s">
        <v>183</v>
      </c>
      <c r="G701" s="22" t="s">
        <v>50</v>
      </c>
      <c r="H701" s="22" t="s">
        <v>39</v>
      </c>
      <c r="I701" s="22" t="s">
        <v>70</v>
      </c>
      <c r="J701" s="22" t="s">
        <v>71</v>
      </c>
      <c r="K701" s="22" t="s">
        <v>88</v>
      </c>
      <c r="L701" s="22" t="s">
        <v>33</v>
      </c>
      <c r="M701" s="22" t="s">
        <v>34</v>
      </c>
      <c r="N701" s="22">
        <v>23</v>
      </c>
      <c r="O701" s="26">
        <v>999</v>
      </c>
      <c r="P701" s="22">
        <v>0.2</v>
      </c>
      <c r="Q701" s="30">
        <v>540</v>
      </c>
      <c r="R701" s="33">
        <f>Table1_1[[#This Row],[Units Sold]]*Table1_1[[#This Row],[Unit Price]]*1-Table1_1[[#This Row],[Discount]]</f>
        <v>22976.799999999999</v>
      </c>
      <c r="S701" s="33">
        <f>Table1_1[[#This Row],[Units Sold]]*Table1_1[[#This Row],[Unit Cost]]</f>
        <v>12420</v>
      </c>
      <c r="T701" s="33">
        <f>Table1_1[[#This Row],[Sales Amount]]-S701</f>
        <v>10556.8</v>
      </c>
      <c r="U701" s="32">
        <f>IFERROR(Table1_1[[#This Row],[Profit/loss]]/Table1_1[[#This Row],[Sales Amount]],0)</f>
        <v>0.45945475436092054</v>
      </c>
    </row>
    <row r="702" spans="1:21" ht="18" x14ac:dyDescent="0.35">
      <c r="A702" s="21" t="s">
        <v>809</v>
      </c>
      <c r="B702" s="36">
        <v>45633</v>
      </c>
      <c r="C702" s="22">
        <f>YEAR(Table1_1[[#This Row],[Order Date]])</f>
        <v>2024</v>
      </c>
      <c r="D702" s="22" t="str">
        <f>TEXT(Table1_1[[#This Row],[Order Date]],"MMMM")</f>
        <v>December</v>
      </c>
      <c r="E702" s="22" t="s">
        <v>36</v>
      </c>
      <c r="F702" s="22" t="s">
        <v>121</v>
      </c>
      <c r="G702" s="22" t="s">
        <v>28</v>
      </c>
      <c r="H702" s="22" t="s">
        <v>39</v>
      </c>
      <c r="I702" s="22" t="s">
        <v>54</v>
      </c>
      <c r="J702" s="22" t="s">
        <v>55</v>
      </c>
      <c r="K702" s="22" t="s">
        <v>56</v>
      </c>
      <c r="L702" s="22" t="s">
        <v>23</v>
      </c>
      <c r="M702" s="22" t="s">
        <v>24</v>
      </c>
      <c r="N702" s="22">
        <v>30</v>
      </c>
      <c r="O702" s="26">
        <v>7299</v>
      </c>
      <c r="P702" s="22">
        <v>0.1</v>
      </c>
      <c r="Q702" s="30">
        <v>5010</v>
      </c>
      <c r="R702" s="33">
        <f>Table1_1[[#This Row],[Units Sold]]*Table1_1[[#This Row],[Unit Price]]*1-Table1_1[[#This Row],[Discount]]</f>
        <v>218969.9</v>
      </c>
      <c r="S702" s="33">
        <f>Table1_1[[#This Row],[Units Sold]]*Table1_1[[#This Row],[Unit Cost]]</f>
        <v>150300</v>
      </c>
      <c r="T702" s="33">
        <f>Table1_1[[#This Row],[Sales Amount]]-S702</f>
        <v>68669.899999999994</v>
      </c>
      <c r="U702" s="32">
        <f>IFERROR(Table1_1[[#This Row],[Profit/loss]]/Table1_1[[#This Row],[Sales Amount]],0)</f>
        <v>0.31360428990468553</v>
      </c>
    </row>
    <row r="703" spans="1:21" ht="18" x14ac:dyDescent="0.35">
      <c r="A703" s="21" t="s">
        <v>810</v>
      </c>
      <c r="B703" s="36">
        <v>45634</v>
      </c>
      <c r="C703" s="22">
        <f>YEAR(Table1_1[[#This Row],[Order Date]])</f>
        <v>2024</v>
      </c>
      <c r="D703" s="22" t="str">
        <f>TEXT(Table1_1[[#This Row],[Order Date]],"MMMM")</f>
        <v>December</v>
      </c>
      <c r="E703" s="22" t="s">
        <v>48</v>
      </c>
      <c r="F703" s="22" t="s">
        <v>49</v>
      </c>
      <c r="G703" s="22" t="s">
        <v>75</v>
      </c>
      <c r="H703" s="22" t="s">
        <v>29</v>
      </c>
      <c r="I703" s="22" t="s">
        <v>40</v>
      </c>
      <c r="J703" s="22" t="s">
        <v>41</v>
      </c>
      <c r="K703" s="22" t="s">
        <v>42</v>
      </c>
      <c r="L703" s="22" t="s">
        <v>33</v>
      </c>
      <c r="M703" s="22" t="s">
        <v>78</v>
      </c>
      <c r="N703" s="22">
        <v>16</v>
      </c>
      <c r="O703" s="26">
        <v>55230</v>
      </c>
      <c r="P703" s="22">
        <v>0.1</v>
      </c>
      <c r="Q703" s="30">
        <v>33800</v>
      </c>
      <c r="R703" s="33">
        <f>Table1_1[[#This Row],[Units Sold]]*Table1_1[[#This Row],[Unit Price]]*1-Table1_1[[#This Row],[Discount]]</f>
        <v>883679.9</v>
      </c>
      <c r="S703" s="33">
        <f>Table1_1[[#This Row],[Units Sold]]*Table1_1[[#This Row],[Unit Cost]]</f>
        <v>540800</v>
      </c>
      <c r="T703" s="33">
        <f>Table1_1[[#This Row],[Sales Amount]]-S703</f>
        <v>342879.9</v>
      </c>
      <c r="U703" s="32">
        <f>IFERROR(Table1_1[[#This Row],[Profit/loss]]/Table1_1[[#This Row],[Sales Amount]],0)</f>
        <v>0.38801369138304492</v>
      </c>
    </row>
    <row r="704" spans="1:21" ht="18" x14ac:dyDescent="0.35">
      <c r="A704" s="21" t="s">
        <v>811</v>
      </c>
      <c r="B704" s="36">
        <v>45634</v>
      </c>
      <c r="C704" s="22">
        <f>YEAR(Table1_1[[#This Row],[Order Date]])</f>
        <v>2024</v>
      </c>
      <c r="D704" s="22" t="str">
        <f>TEXT(Table1_1[[#This Row],[Order Date]],"MMMM")</f>
        <v>December</v>
      </c>
      <c r="E704" s="22" t="s">
        <v>48</v>
      </c>
      <c r="F704" s="22" t="s">
        <v>49</v>
      </c>
      <c r="G704" s="22" t="s">
        <v>75</v>
      </c>
      <c r="H704" s="22" t="s">
        <v>29</v>
      </c>
      <c r="I704" s="22" t="s">
        <v>54</v>
      </c>
      <c r="J704" s="22" t="s">
        <v>55</v>
      </c>
      <c r="K704" s="22" t="s">
        <v>1623</v>
      </c>
      <c r="L704" s="22" t="s">
        <v>33</v>
      </c>
      <c r="M704" s="22" t="s">
        <v>24</v>
      </c>
      <c r="N704" s="22">
        <v>9</v>
      </c>
      <c r="O704" s="26">
        <v>5890</v>
      </c>
      <c r="P704" s="22">
        <v>0.12</v>
      </c>
      <c r="Q704" s="30">
        <v>3980</v>
      </c>
      <c r="R704" s="33">
        <f>Table1_1[[#This Row],[Units Sold]]*Table1_1[[#This Row],[Unit Price]]*1-Table1_1[[#This Row],[Discount]]</f>
        <v>53009.88</v>
      </c>
      <c r="S704" s="33">
        <f>Table1_1[[#This Row],[Units Sold]]*Table1_1[[#This Row],[Unit Cost]]</f>
        <v>35820</v>
      </c>
      <c r="T704" s="33">
        <f>Table1_1[[#This Row],[Sales Amount]]-S704</f>
        <v>17189.879999999997</v>
      </c>
      <c r="U704" s="32">
        <f>IFERROR(Table1_1[[#This Row],[Profit/loss]]/Table1_1[[#This Row],[Sales Amount]],0)</f>
        <v>0.32427690838009815</v>
      </c>
    </row>
    <row r="705" spans="1:21" ht="18" x14ac:dyDescent="0.35">
      <c r="A705" s="21" t="s">
        <v>812</v>
      </c>
      <c r="B705" s="36">
        <v>45634</v>
      </c>
      <c r="C705" s="22">
        <f>YEAR(Table1_1[[#This Row],[Order Date]])</f>
        <v>2024</v>
      </c>
      <c r="D705" s="22" t="str">
        <f>TEXT(Table1_1[[#This Row],[Order Date]],"MMMM")</f>
        <v>December</v>
      </c>
      <c r="E705" s="22" t="s">
        <v>26</v>
      </c>
      <c r="F705" s="22" t="s">
        <v>74</v>
      </c>
      <c r="G705" s="22" t="s">
        <v>101</v>
      </c>
      <c r="H705" s="22" t="s">
        <v>29</v>
      </c>
      <c r="I705" s="22" t="s">
        <v>30</v>
      </c>
      <c r="J705" s="22" t="s">
        <v>61</v>
      </c>
      <c r="K705" s="22" t="s">
        <v>96</v>
      </c>
      <c r="L705" s="22" t="s">
        <v>23</v>
      </c>
      <c r="M705" s="22" t="s">
        <v>66</v>
      </c>
      <c r="N705" s="22">
        <v>7</v>
      </c>
      <c r="O705" s="26">
        <v>25110</v>
      </c>
      <c r="P705" s="22">
        <v>0.05</v>
      </c>
      <c r="Q705" s="30">
        <v>16730</v>
      </c>
      <c r="R705" s="33">
        <f>Table1_1[[#This Row],[Units Sold]]*Table1_1[[#This Row],[Unit Price]]*1-Table1_1[[#This Row],[Discount]]</f>
        <v>175769.95</v>
      </c>
      <c r="S705" s="33">
        <f>Table1_1[[#This Row],[Units Sold]]*Table1_1[[#This Row],[Unit Cost]]</f>
        <v>117110</v>
      </c>
      <c r="T705" s="33">
        <f>Table1_1[[#This Row],[Sales Amount]]-S705</f>
        <v>58659.950000000012</v>
      </c>
      <c r="U705" s="32">
        <f>IFERROR(Table1_1[[#This Row],[Profit/loss]]/Table1_1[[#This Row],[Sales Amount]],0)</f>
        <v>0.33373139151487502</v>
      </c>
    </row>
    <row r="706" spans="1:21" ht="18" x14ac:dyDescent="0.35">
      <c r="A706" s="21" t="s">
        <v>813</v>
      </c>
      <c r="B706" s="36">
        <v>45635</v>
      </c>
      <c r="C706" s="22">
        <f>YEAR(Table1_1[[#This Row],[Order Date]])</f>
        <v>2024</v>
      </c>
      <c r="D706" s="22" t="str">
        <f>TEXT(Table1_1[[#This Row],[Order Date]],"MMMM")</f>
        <v>December</v>
      </c>
      <c r="E706" s="22" t="s">
        <v>16</v>
      </c>
      <c r="F706" s="22" t="s">
        <v>126</v>
      </c>
      <c r="G706" s="22" t="s">
        <v>105</v>
      </c>
      <c r="H706" s="22" t="s">
        <v>19</v>
      </c>
      <c r="I706" s="22" t="s">
        <v>40</v>
      </c>
      <c r="J706" s="22" t="s">
        <v>64</v>
      </c>
      <c r="K706" s="22" t="s">
        <v>1627</v>
      </c>
      <c r="L706" s="22" t="s">
        <v>33</v>
      </c>
      <c r="M706" s="22" t="s">
        <v>66</v>
      </c>
      <c r="N706" s="22">
        <v>4</v>
      </c>
      <c r="O706" s="26">
        <v>4490</v>
      </c>
      <c r="P706" s="22">
        <v>0.18</v>
      </c>
      <c r="Q706" s="30">
        <v>2950</v>
      </c>
      <c r="R706" s="33">
        <f>Table1_1[[#This Row],[Units Sold]]*Table1_1[[#This Row],[Unit Price]]*1-Table1_1[[#This Row],[Discount]]</f>
        <v>17959.82</v>
      </c>
      <c r="S706" s="33">
        <f>Table1_1[[#This Row],[Units Sold]]*Table1_1[[#This Row],[Unit Cost]]</f>
        <v>11800</v>
      </c>
      <c r="T706" s="33">
        <f>Table1_1[[#This Row],[Sales Amount]]-S706</f>
        <v>6159.82</v>
      </c>
      <c r="U706" s="32">
        <f>IFERROR(Table1_1[[#This Row],[Profit/loss]]/Table1_1[[#This Row],[Sales Amount]],0)</f>
        <v>0.3429778249447934</v>
      </c>
    </row>
    <row r="707" spans="1:21" ht="18" x14ac:dyDescent="0.35">
      <c r="A707" s="21" t="s">
        <v>814</v>
      </c>
      <c r="B707" s="36">
        <v>45635</v>
      </c>
      <c r="C707" s="22">
        <f>YEAR(Table1_1[[#This Row],[Order Date]])</f>
        <v>2024</v>
      </c>
      <c r="D707" s="22" t="str">
        <f>TEXT(Table1_1[[#This Row],[Order Date]],"MMMM")</f>
        <v>December</v>
      </c>
      <c r="E707" s="22" t="s">
        <v>16</v>
      </c>
      <c r="F707" s="22" t="s">
        <v>98</v>
      </c>
      <c r="G707" s="22" t="s">
        <v>84</v>
      </c>
      <c r="H707" s="22" t="s">
        <v>39</v>
      </c>
      <c r="I707" s="22" t="s">
        <v>40</v>
      </c>
      <c r="J707" s="22" t="s">
        <v>41</v>
      </c>
      <c r="K707" s="22" t="s">
        <v>42</v>
      </c>
      <c r="L707" s="22" t="s">
        <v>33</v>
      </c>
      <c r="M707" s="22" t="s">
        <v>34</v>
      </c>
      <c r="N707" s="22">
        <v>23</v>
      </c>
      <c r="O707" s="26">
        <v>55230</v>
      </c>
      <c r="P707" s="22">
        <v>0.15</v>
      </c>
      <c r="Q707" s="30">
        <v>33800</v>
      </c>
      <c r="R707" s="33">
        <f>Table1_1[[#This Row],[Units Sold]]*Table1_1[[#This Row],[Unit Price]]*1-Table1_1[[#This Row],[Discount]]</f>
        <v>1270289.8500000001</v>
      </c>
      <c r="S707" s="33">
        <f>Table1_1[[#This Row],[Units Sold]]*Table1_1[[#This Row],[Unit Cost]]</f>
        <v>777400</v>
      </c>
      <c r="T707" s="33">
        <f>Table1_1[[#This Row],[Sales Amount]]-S707</f>
        <v>492889.85000000009</v>
      </c>
      <c r="U707" s="32">
        <f>IFERROR(Table1_1[[#This Row],[Profit/loss]]/Table1_1[[#This Row],[Sales Amount]],0)</f>
        <v>0.38801368837198852</v>
      </c>
    </row>
    <row r="708" spans="1:21" ht="18" x14ac:dyDescent="0.35">
      <c r="A708" s="21" t="s">
        <v>815</v>
      </c>
      <c r="B708" s="36">
        <v>45636</v>
      </c>
      <c r="C708" s="22">
        <f>YEAR(Table1_1[[#This Row],[Order Date]])</f>
        <v>2024</v>
      </c>
      <c r="D708" s="22" t="str">
        <f>TEXT(Table1_1[[#This Row],[Order Date]],"MMMM")</f>
        <v>December</v>
      </c>
      <c r="E708" s="22" t="s">
        <v>16</v>
      </c>
      <c r="F708" s="22" t="s">
        <v>111</v>
      </c>
      <c r="G708" s="22" t="s">
        <v>28</v>
      </c>
      <c r="H708" s="22" t="s">
        <v>39</v>
      </c>
      <c r="I708" s="22" t="s">
        <v>54</v>
      </c>
      <c r="J708" s="22" t="s">
        <v>129</v>
      </c>
      <c r="K708" s="22" t="s">
        <v>130</v>
      </c>
      <c r="L708" s="22" t="s">
        <v>57</v>
      </c>
      <c r="M708" s="22" t="s">
        <v>78</v>
      </c>
      <c r="N708" s="22">
        <v>38</v>
      </c>
      <c r="O708" s="26">
        <v>27890</v>
      </c>
      <c r="P708" s="22">
        <v>0.05</v>
      </c>
      <c r="Q708" s="30">
        <v>18800</v>
      </c>
      <c r="R708" s="33">
        <f>Table1_1[[#This Row],[Units Sold]]*Table1_1[[#This Row],[Unit Price]]*1-Table1_1[[#This Row],[Discount]]</f>
        <v>1059819.95</v>
      </c>
      <c r="S708" s="33">
        <f>Table1_1[[#This Row],[Units Sold]]*Table1_1[[#This Row],[Unit Cost]]</f>
        <v>714400</v>
      </c>
      <c r="T708" s="33">
        <f>Table1_1[[#This Row],[Sales Amount]]-S708</f>
        <v>345419.94999999995</v>
      </c>
      <c r="U708" s="32">
        <f>IFERROR(Table1_1[[#This Row],[Profit/loss]]/Table1_1[[#This Row],[Sales Amount]],0)</f>
        <v>0.32592323818776953</v>
      </c>
    </row>
    <row r="709" spans="1:21" ht="18" x14ac:dyDescent="0.35">
      <c r="A709" s="21" t="s">
        <v>816</v>
      </c>
      <c r="B709" s="36">
        <v>45637</v>
      </c>
      <c r="C709" s="22">
        <f>YEAR(Table1_1[[#This Row],[Order Date]])</f>
        <v>2024</v>
      </c>
      <c r="D709" s="22" t="str">
        <f>TEXT(Table1_1[[#This Row],[Order Date]],"MMMM")</f>
        <v>December</v>
      </c>
      <c r="E709" s="22" t="s">
        <v>82</v>
      </c>
      <c r="F709" s="22" t="s">
        <v>83</v>
      </c>
      <c r="G709" s="22" t="s">
        <v>50</v>
      </c>
      <c r="H709" s="22" t="s">
        <v>39</v>
      </c>
      <c r="I709" s="22" t="s">
        <v>40</v>
      </c>
      <c r="J709" s="22" t="s">
        <v>64</v>
      </c>
      <c r="K709" s="22" t="s">
        <v>1619</v>
      </c>
      <c r="L709" s="22" t="s">
        <v>57</v>
      </c>
      <c r="M709" s="22" t="s">
        <v>24</v>
      </c>
      <c r="N709" s="22">
        <v>8</v>
      </c>
      <c r="O709" s="26">
        <v>1930</v>
      </c>
      <c r="P709" s="22">
        <v>0.12</v>
      </c>
      <c r="Q709" s="30">
        <v>1120</v>
      </c>
      <c r="R709" s="33">
        <f>Table1_1[[#This Row],[Units Sold]]*Table1_1[[#This Row],[Unit Price]]*1-Table1_1[[#This Row],[Discount]]</f>
        <v>15439.88</v>
      </c>
      <c r="S709" s="33">
        <f>Table1_1[[#This Row],[Units Sold]]*Table1_1[[#This Row],[Unit Cost]]</f>
        <v>8960</v>
      </c>
      <c r="T709" s="33">
        <f>Table1_1[[#This Row],[Sales Amount]]-S709</f>
        <v>6479.8799999999992</v>
      </c>
      <c r="U709" s="32">
        <f>IFERROR(Table1_1[[#This Row],[Profit/loss]]/Table1_1[[#This Row],[Sales Amount]],0)</f>
        <v>0.4196846089477379</v>
      </c>
    </row>
    <row r="710" spans="1:21" ht="18" x14ac:dyDescent="0.35">
      <c r="A710" s="21" t="s">
        <v>817</v>
      </c>
      <c r="B710" s="36">
        <v>45637</v>
      </c>
      <c r="C710" s="22">
        <f>YEAR(Table1_1[[#This Row],[Order Date]])</f>
        <v>2024</v>
      </c>
      <c r="D710" s="22" t="str">
        <f>TEXT(Table1_1[[#This Row],[Order Date]],"MMMM")</f>
        <v>December</v>
      </c>
      <c r="E710" s="22" t="s">
        <v>16</v>
      </c>
      <c r="F710" s="22" t="s">
        <v>111</v>
      </c>
      <c r="G710" s="22" t="s">
        <v>101</v>
      </c>
      <c r="H710" s="22" t="s">
        <v>19</v>
      </c>
      <c r="I710" s="22" t="s">
        <v>40</v>
      </c>
      <c r="J710" s="22" t="s">
        <v>76</v>
      </c>
      <c r="K710" s="22" t="s">
        <v>1620</v>
      </c>
      <c r="L710" s="22" t="s">
        <v>23</v>
      </c>
      <c r="M710" s="22" t="s">
        <v>34</v>
      </c>
      <c r="N710" s="22">
        <v>30</v>
      </c>
      <c r="O710" s="26">
        <v>52990</v>
      </c>
      <c r="P710" s="22">
        <v>0.2</v>
      </c>
      <c r="Q710" s="30">
        <v>39500</v>
      </c>
      <c r="R710" s="33">
        <f>Table1_1[[#This Row],[Units Sold]]*Table1_1[[#This Row],[Unit Price]]*1-Table1_1[[#This Row],[Discount]]</f>
        <v>1589699.8</v>
      </c>
      <c r="S710" s="33">
        <f>Table1_1[[#This Row],[Units Sold]]*Table1_1[[#This Row],[Unit Cost]]</f>
        <v>1185000</v>
      </c>
      <c r="T710" s="33">
        <f>Table1_1[[#This Row],[Sales Amount]]-S710</f>
        <v>404699.80000000005</v>
      </c>
      <c r="U710" s="32">
        <f>IFERROR(Table1_1[[#This Row],[Profit/loss]]/Table1_1[[#This Row],[Sales Amount]],0)</f>
        <v>0.25457624137588747</v>
      </c>
    </row>
    <row r="711" spans="1:21" ht="18" x14ac:dyDescent="0.35">
      <c r="A711" s="21" t="s">
        <v>818</v>
      </c>
      <c r="B711" s="36">
        <v>45638</v>
      </c>
      <c r="C711" s="22">
        <f>YEAR(Table1_1[[#This Row],[Order Date]])</f>
        <v>2024</v>
      </c>
      <c r="D711" s="22" t="str">
        <f>TEXT(Table1_1[[#This Row],[Order Date]],"MMMM")</f>
        <v>December</v>
      </c>
      <c r="E711" s="22" t="s">
        <v>26</v>
      </c>
      <c r="F711" s="22" t="s">
        <v>27</v>
      </c>
      <c r="G711" s="22" t="s">
        <v>84</v>
      </c>
      <c r="H711" s="22" t="s">
        <v>29</v>
      </c>
      <c r="I711" s="22" t="s">
        <v>30</v>
      </c>
      <c r="J711" s="22" t="s">
        <v>31</v>
      </c>
      <c r="K711" s="22" t="s">
        <v>32</v>
      </c>
      <c r="L711" s="22" t="s">
        <v>33</v>
      </c>
      <c r="M711" s="22" t="s">
        <v>34</v>
      </c>
      <c r="N711" s="22">
        <v>9</v>
      </c>
      <c r="O711" s="26">
        <v>38990</v>
      </c>
      <c r="P711" s="22">
        <v>0.18</v>
      </c>
      <c r="Q711" s="30">
        <v>25400</v>
      </c>
      <c r="R711" s="33">
        <f>Table1_1[[#This Row],[Units Sold]]*Table1_1[[#This Row],[Unit Price]]*1-Table1_1[[#This Row],[Discount]]</f>
        <v>350909.82</v>
      </c>
      <c r="S711" s="33">
        <f>Table1_1[[#This Row],[Units Sold]]*Table1_1[[#This Row],[Unit Cost]]</f>
        <v>228600</v>
      </c>
      <c r="T711" s="33">
        <f>Table1_1[[#This Row],[Sales Amount]]-S711</f>
        <v>122309.82</v>
      </c>
      <c r="U711" s="32">
        <f>IFERROR(Table1_1[[#This Row],[Profit/loss]]/Table1_1[[#This Row],[Sales Amount]],0)</f>
        <v>0.34855057632755904</v>
      </c>
    </row>
    <row r="712" spans="1:21" ht="18" x14ac:dyDescent="0.35">
      <c r="A712" s="21" t="s">
        <v>819</v>
      </c>
      <c r="B712" s="36">
        <v>45639</v>
      </c>
      <c r="C712" s="22">
        <f>YEAR(Table1_1[[#This Row],[Order Date]])</f>
        <v>2024</v>
      </c>
      <c r="D712" s="22" t="str">
        <f>TEXT(Table1_1[[#This Row],[Order Date]],"MMMM")</f>
        <v>December</v>
      </c>
      <c r="E712" s="22" t="s">
        <v>36</v>
      </c>
      <c r="F712" s="22" t="s">
        <v>59</v>
      </c>
      <c r="G712" s="22" t="s">
        <v>18</v>
      </c>
      <c r="H712" s="22" t="s">
        <v>29</v>
      </c>
      <c r="I712" s="22" t="s">
        <v>30</v>
      </c>
      <c r="J712" s="22" t="s">
        <v>31</v>
      </c>
      <c r="K712" s="22" t="s">
        <v>106</v>
      </c>
      <c r="L712" s="22" t="s">
        <v>33</v>
      </c>
      <c r="M712" s="22" t="s">
        <v>24</v>
      </c>
      <c r="N712" s="22">
        <v>25</v>
      </c>
      <c r="O712" s="26">
        <v>52990</v>
      </c>
      <c r="P712" s="22">
        <v>0.15</v>
      </c>
      <c r="Q712" s="30">
        <v>35100</v>
      </c>
      <c r="R712" s="33">
        <f>Table1_1[[#This Row],[Units Sold]]*Table1_1[[#This Row],[Unit Price]]*1-Table1_1[[#This Row],[Discount]]</f>
        <v>1324749.8500000001</v>
      </c>
      <c r="S712" s="33">
        <f>Table1_1[[#This Row],[Units Sold]]*Table1_1[[#This Row],[Unit Cost]]</f>
        <v>877500</v>
      </c>
      <c r="T712" s="33">
        <f>Table1_1[[#This Row],[Sales Amount]]-S712</f>
        <v>447249.85000000009</v>
      </c>
      <c r="U712" s="32">
        <f>IFERROR(Table1_1[[#This Row],[Profit/loss]]/Table1_1[[#This Row],[Sales Amount]],0)</f>
        <v>0.33761079497385871</v>
      </c>
    </row>
    <row r="713" spans="1:21" ht="18" x14ac:dyDescent="0.35">
      <c r="A713" s="21" t="s">
        <v>820</v>
      </c>
      <c r="B713" s="36">
        <v>45639</v>
      </c>
      <c r="C713" s="22">
        <f>YEAR(Table1_1[[#This Row],[Order Date]])</f>
        <v>2024</v>
      </c>
      <c r="D713" s="22" t="str">
        <f>TEXT(Table1_1[[#This Row],[Order Date]],"MMMM")</f>
        <v>December</v>
      </c>
      <c r="E713" s="22" t="s">
        <v>48</v>
      </c>
      <c r="F713" s="22" t="s">
        <v>49</v>
      </c>
      <c r="G713" s="22" t="s">
        <v>105</v>
      </c>
      <c r="H713" s="22" t="s">
        <v>29</v>
      </c>
      <c r="I713" s="22" t="s">
        <v>30</v>
      </c>
      <c r="J713" s="22" t="s">
        <v>61</v>
      </c>
      <c r="K713" s="22" t="s">
        <v>186</v>
      </c>
      <c r="L713" s="22" t="s">
        <v>33</v>
      </c>
      <c r="M713" s="22" t="s">
        <v>24</v>
      </c>
      <c r="N713" s="22">
        <v>34</v>
      </c>
      <c r="O713" s="26">
        <v>6999</v>
      </c>
      <c r="P713" s="22">
        <v>0.12</v>
      </c>
      <c r="Q713" s="30">
        <v>4320</v>
      </c>
      <c r="R713" s="33">
        <f>Table1_1[[#This Row],[Units Sold]]*Table1_1[[#This Row],[Unit Price]]*1-Table1_1[[#This Row],[Discount]]</f>
        <v>237965.88</v>
      </c>
      <c r="S713" s="33">
        <f>Table1_1[[#This Row],[Units Sold]]*Table1_1[[#This Row],[Unit Cost]]</f>
        <v>146880</v>
      </c>
      <c r="T713" s="33">
        <f>Table1_1[[#This Row],[Sales Amount]]-S713</f>
        <v>91085.88</v>
      </c>
      <c r="U713" s="32">
        <f>IFERROR(Table1_1[[#This Row],[Profit/loss]]/Table1_1[[#This Row],[Sales Amount]],0)</f>
        <v>0.38276865574173913</v>
      </c>
    </row>
    <row r="714" spans="1:21" ht="18" x14ac:dyDescent="0.35">
      <c r="A714" s="21" t="s">
        <v>821</v>
      </c>
      <c r="B714" s="36">
        <v>45639</v>
      </c>
      <c r="C714" s="22">
        <f>YEAR(Table1_1[[#This Row],[Order Date]])</f>
        <v>2024</v>
      </c>
      <c r="D714" s="22" t="str">
        <f>TEXT(Table1_1[[#This Row],[Order Date]],"MMMM")</f>
        <v>December</v>
      </c>
      <c r="E714" s="22" t="s">
        <v>36</v>
      </c>
      <c r="F714" s="22" t="s">
        <v>37</v>
      </c>
      <c r="G714" s="22" t="s">
        <v>84</v>
      </c>
      <c r="H714" s="22" t="s">
        <v>29</v>
      </c>
      <c r="I714" s="22" t="s">
        <v>20</v>
      </c>
      <c r="J714" s="22" t="s">
        <v>21</v>
      </c>
      <c r="K714" s="22" t="s">
        <v>115</v>
      </c>
      <c r="L714" s="22" t="s">
        <v>33</v>
      </c>
      <c r="M714" s="22" t="s">
        <v>34</v>
      </c>
      <c r="N714" s="22">
        <v>22</v>
      </c>
      <c r="O714" s="26">
        <v>6499</v>
      </c>
      <c r="P714" s="22">
        <v>0.2</v>
      </c>
      <c r="Q714" s="30">
        <v>4210</v>
      </c>
      <c r="R714" s="33">
        <f>Table1_1[[#This Row],[Units Sold]]*Table1_1[[#This Row],[Unit Price]]*1-Table1_1[[#This Row],[Discount]]</f>
        <v>142977.79999999999</v>
      </c>
      <c r="S714" s="33">
        <f>Table1_1[[#This Row],[Units Sold]]*Table1_1[[#This Row],[Unit Cost]]</f>
        <v>92620</v>
      </c>
      <c r="T714" s="33">
        <f>Table1_1[[#This Row],[Sales Amount]]-S714</f>
        <v>50357.799999999988</v>
      </c>
      <c r="U714" s="32">
        <f>IFERROR(Table1_1[[#This Row],[Profit/loss]]/Table1_1[[#This Row],[Sales Amount]],0)</f>
        <v>0.35220712586149733</v>
      </c>
    </row>
    <row r="715" spans="1:21" ht="18" x14ac:dyDescent="0.35">
      <c r="A715" s="21" t="s">
        <v>822</v>
      </c>
      <c r="B715" s="36">
        <v>45640</v>
      </c>
      <c r="C715" s="22">
        <f>YEAR(Table1_1[[#This Row],[Order Date]])</f>
        <v>2024</v>
      </c>
      <c r="D715" s="22" t="str">
        <f>TEXT(Table1_1[[#This Row],[Order Date]],"MMMM")</f>
        <v>December</v>
      </c>
      <c r="E715" s="22" t="s">
        <v>36</v>
      </c>
      <c r="F715" s="22" t="s">
        <v>44</v>
      </c>
      <c r="G715" s="22" t="s">
        <v>69</v>
      </c>
      <c r="H715" s="22" t="s">
        <v>39</v>
      </c>
      <c r="I715" s="22" t="s">
        <v>40</v>
      </c>
      <c r="J715" s="22" t="s">
        <v>41</v>
      </c>
      <c r="K715" s="22" t="s">
        <v>42</v>
      </c>
      <c r="L715" s="22" t="s">
        <v>23</v>
      </c>
      <c r="M715" s="22" t="s">
        <v>24</v>
      </c>
      <c r="N715" s="22">
        <v>29</v>
      </c>
      <c r="O715" s="26">
        <v>55230</v>
      </c>
      <c r="P715" s="22">
        <v>0.12</v>
      </c>
      <c r="Q715" s="30">
        <v>33800</v>
      </c>
      <c r="R715" s="33">
        <f>Table1_1[[#This Row],[Units Sold]]*Table1_1[[#This Row],[Unit Price]]*1-Table1_1[[#This Row],[Discount]]</f>
        <v>1601669.88</v>
      </c>
      <c r="S715" s="33">
        <f>Table1_1[[#This Row],[Units Sold]]*Table1_1[[#This Row],[Unit Cost]]</f>
        <v>980200</v>
      </c>
      <c r="T715" s="33">
        <f>Table1_1[[#This Row],[Sales Amount]]-S715</f>
        <v>621469.87999999989</v>
      </c>
      <c r="U715" s="32">
        <f>IFERROR(Table1_1[[#This Row],[Profit/loss]]/Table1_1[[#This Row],[Sales Amount]],0)</f>
        <v>0.38801371478622043</v>
      </c>
    </row>
    <row r="716" spans="1:21" ht="18" x14ac:dyDescent="0.35">
      <c r="A716" s="21" t="s">
        <v>823</v>
      </c>
      <c r="B716" s="36">
        <v>45642</v>
      </c>
      <c r="C716" s="22">
        <f>YEAR(Table1_1[[#This Row],[Order Date]])</f>
        <v>2024</v>
      </c>
      <c r="D716" s="22" t="str">
        <f>TEXT(Table1_1[[#This Row],[Order Date]],"MMMM")</f>
        <v>December</v>
      </c>
      <c r="E716" s="22" t="s">
        <v>48</v>
      </c>
      <c r="F716" s="22" t="s">
        <v>49</v>
      </c>
      <c r="G716" s="22" t="s">
        <v>60</v>
      </c>
      <c r="H716" s="22" t="s">
        <v>39</v>
      </c>
      <c r="I716" s="22" t="s">
        <v>70</v>
      </c>
      <c r="J716" s="22" t="s">
        <v>71</v>
      </c>
      <c r="K716" s="22" t="s">
        <v>88</v>
      </c>
      <c r="L716" s="22" t="s">
        <v>33</v>
      </c>
      <c r="M716" s="22" t="s">
        <v>24</v>
      </c>
      <c r="N716" s="22">
        <v>14</v>
      </c>
      <c r="O716" s="26">
        <v>999</v>
      </c>
      <c r="P716" s="22">
        <v>0.2</v>
      </c>
      <c r="Q716" s="30">
        <v>540</v>
      </c>
      <c r="R716" s="33">
        <f>Table1_1[[#This Row],[Units Sold]]*Table1_1[[#This Row],[Unit Price]]*1-Table1_1[[#This Row],[Discount]]</f>
        <v>13985.8</v>
      </c>
      <c r="S716" s="33">
        <f>Table1_1[[#This Row],[Units Sold]]*Table1_1[[#This Row],[Unit Cost]]</f>
        <v>7560</v>
      </c>
      <c r="T716" s="33">
        <f>Table1_1[[#This Row],[Sales Amount]]-S716</f>
        <v>6425.7999999999993</v>
      </c>
      <c r="U716" s="32">
        <f>IFERROR(Table1_1[[#This Row],[Profit/loss]]/Table1_1[[#This Row],[Sales Amount]],0)</f>
        <v>0.45945172961146302</v>
      </c>
    </row>
    <row r="717" spans="1:21" ht="18" x14ac:dyDescent="0.35">
      <c r="A717" s="21" t="s">
        <v>824</v>
      </c>
      <c r="B717" s="36">
        <v>45642</v>
      </c>
      <c r="C717" s="22">
        <f>YEAR(Table1_1[[#This Row],[Order Date]])</f>
        <v>2024</v>
      </c>
      <c r="D717" s="22" t="str">
        <f>TEXT(Table1_1[[#This Row],[Order Date]],"MMMM")</f>
        <v>December</v>
      </c>
      <c r="E717" s="22" t="s">
        <v>36</v>
      </c>
      <c r="F717" s="22" t="s">
        <v>121</v>
      </c>
      <c r="G717" s="22" t="s">
        <v>38</v>
      </c>
      <c r="H717" s="22" t="s">
        <v>39</v>
      </c>
      <c r="I717" s="22" t="s">
        <v>70</v>
      </c>
      <c r="J717" s="22" t="s">
        <v>71</v>
      </c>
      <c r="K717" s="22" t="s">
        <v>80</v>
      </c>
      <c r="L717" s="22" t="s">
        <v>33</v>
      </c>
      <c r="M717" s="22" t="s">
        <v>24</v>
      </c>
      <c r="N717" s="22">
        <v>28</v>
      </c>
      <c r="O717" s="26">
        <v>1299</v>
      </c>
      <c r="P717" s="22">
        <v>0.1</v>
      </c>
      <c r="Q717" s="30">
        <v>720</v>
      </c>
      <c r="R717" s="33">
        <f>Table1_1[[#This Row],[Units Sold]]*Table1_1[[#This Row],[Unit Price]]*1-Table1_1[[#This Row],[Discount]]</f>
        <v>36371.9</v>
      </c>
      <c r="S717" s="33">
        <f>Table1_1[[#This Row],[Units Sold]]*Table1_1[[#This Row],[Unit Cost]]</f>
        <v>20160</v>
      </c>
      <c r="T717" s="33">
        <f>Table1_1[[#This Row],[Sales Amount]]-S717</f>
        <v>16211.900000000001</v>
      </c>
      <c r="U717" s="32">
        <f>IFERROR(Table1_1[[#This Row],[Profit/loss]]/Table1_1[[#This Row],[Sales Amount]],0)</f>
        <v>0.44572595877586818</v>
      </c>
    </row>
    <row r="718" spans="1:21" ht="18" x14ac:dyDescent="0.35">
      <c r="A718" s="21" t="s">
        <v>825</v>
      </c>
      <c r="B718" s="36">
        <v>45643</v>
      </c>
      <c r="C718" s="22">
        <f>YEAR(Table1_1[[#This Row],[Order Date]])</f>
        <v>2024</v>
      </c>
      <c r="D718" s="22" t="str">
        <f>TEXT(Table1_1[[#This Row],[Order Date]],"MMMM")</f>
        <v>December</v>
      </c>
      <c r="E718" s="22" t="s">
        <v>48</v>
      </c>
      <c r="F718" s="22" t="s">
        <v>49</v>
      </c>
      <c r="G718" s="22" t="s">
        <v>38</v>
      </c>
      <c r="H718" s="22" t="s">
        <v>29</v>
      </c>
      <c r="I718" s="22" t="s">
        <v>30</v>
      </c>
      <c r="J718" s="22" t="s">
        <v>31</v>
      </c>
      <c r="K718" s="22" t="s">
        <v>106</v>
      </c>
      <c r="L718" s="22" t="s">
        <v>33</v>
      </c>
      <c r="M718" s="22" t="s">
        <v>66</v>
      </c>
      <c r="N718" s="22">
        <v>22</v>
      </c>
      <c r="O718" s="26">
        <v>52990</v>
      </c>
      <c r="P718" s="22">
        <v>0.08</v>
      </c>
      <c r="Q718" s="30">
        <v>35100</v>
      </c>
      <c r="R718" s="33">
        <f>Table1_1[[#This Row],[Units Sold]]*Table1_1[[#This Row],[Unit Price]]*1-Table1_1[[#This Row],[Discount]]</f>
        <v>1165779.92</v>
      </c>
      <c r="S718" s="33">
        <f>Table1_1[[#This Row],[Units Sold]]*Table1_1[[#This Row],[Unit Cost]]</f>
        <v>772200</v>
      </c>
      <c r="T718" s="33">
        <f>Table1_1[[#This Row],[Sales Amount]]-S718</f>
        <v>393579.91999999993</v>
      </c>
      <c r="U718" s="32">
        <f>IFERROR(Table1_1[[#This Row],[Profit/loss]]/Table1_1[[#This Row],[Sales Amount]],0)</f>
        <v>0.33761082451994878</v>
      </c>
    </row>
    <row r="719" spans="1:21" ht="18" x14ac:dyDescent="0.35">
      <c r="A719" s="21" t="s">
        <v>826</v>
      </c>
      <c r="B719" s="36">
        <v>45644</v>
      </c>
      <c r="C719" s="22">
        <f>YEAR(Table1_1[[#This Row],[Order Date]])</f>
        <v>2024</v>
      </c>
      <c r="D719" s="22" t="str">
        <f>TEXT(Table1_1[[#This Row],[Order Date]],"MMMM")</f>
        <v>December</v>
      </c>
      <c r="E719" s="22" t="s">
        <v>82</v>
      </c>
      <c r="F719" s="22" t="s">
        <v>83</v>
      </c>
      <c r="G719" s="22" t="s">
        <v>75</v>
      </c>
      <c r="H719" s="22" t="s">
        <v>29</v>
      </c>
      <c r="I719" s="22" t="s">
        <v>70</v>
      </c>
      <c r="J719" s="22" t="s">
        <v>71</v>
      </c>
      <c r="K719" s="22" t="s">
        <v>72</v>
      </c>
      <c r="L719" s="22" t="s">
        <v>57</v>
      </c>
      <c r="M719" s="22" t="s">
        <v>34</v>
      </c>
      <c r="N719" s="22">
        <v>35</v>
      </c>
      <c r="O719" s="26">
        <v>3499</v>
      </c>
      <c r="P719" s="22">
        <v>0.05</v>
      </c>
      <c r="Q719" s="30">
        <v>2190</v>
      </c>
      <c r="R719" s="33">
        <f>Table1_1[[#This Row],[Units Sold]]*Table1_1[[#This Row],[Unit Price]]*1-Table1_1[[#This Row],[Discount]]</f>
        <v>122464.95</v>
      </c>
      <c r="S719" s="33">
        <f>Table1_1[[#This Row],[Units Sold]]*Table1_1[[#This Row],[Unit Cost]]</f>
        <v>76650</v>
      </c>
      <c r="T719" s="33">
        <f>Table1_1[[#This Row],[Sales Amount]]-S719</f>
        <v>45814.95</v>
      </c>
      <c r="U719" s="32">
        <f>IFERROR(Table1_1[[#This Row],[Profit/loss]]/Table1_1[[#This Row],[Sales Amount]],0)</f>
        <v>0.37410663214250278</v>
      </c>
    </row>
    <row r="720" spans="1:21" ht="18" x14ac:dyDescent="0.35">
      <c r="A720" s="21" t="s">
        <v>827</v>
      </c>
      <c r="B720" s="36">
        <v>45645</v>
      </c>
      <c r="C720" s="22">
        <f>YEAR(Table1_1[[#This Row],[Order Date]])</f>
        <v>2024</v>
      </c>
      <c r="D720" s="22" t="str">
        <f>TEXT(Table1_1[[#This Row],[Order Date]],"MMMM")</f>
        <v>December</v>
      </c>
      <c r="E720" s="22" t="s">
        <v>16</v>
      </c>
      <c r="F720" s="22" t="s">
        <v>98</v>
      </c>
      <c r="G720" s="22" t="s">
        <v>50</v>
      </c>
      <c r="H720" s="22" t="s">
        <v>29</v>
      </c>
      <c r="I720" s="22" t="s">
        <v>30</v>
      </c>
      <c r="J720" s="22" t="s">
        <v>31</v>
      </c>
      <c r="K720" s="22" t="s">
        <v>32</v>
      </c>
      <c r="L720" s="22" t="s">
        <v>23</v>
      </c>
      <c r="M720" s="22" t="s">
        <v>24</v>
      </c>
      <c r="N720" s="22">
        <v>5</v>
      </c>
      <c r="O720" s="26">
        <v>38990</v>
      </c>
      <c r="P720" s="22">
        <v>0.15</v>
      </c>
      <c r="Q720" s="30">
        <v>25400</v>
      </c>
      <c r="R720" s="33">
        <f>Table1_1[[#This Row],[Units Sold]]*Table1_1[[#This Row],[Unit Price]]*1-Table1_1[[#This Row],[Discount]]</f>
        <v>194949.85</v>
      </c>
      <c r="S720" s="33">
        <f>Table1_1[[#This Row],[Units Sold]]*Table1_1[[#This Row],[Unit Cost]]</f>
        <v>127000</v>
      </c>
      <c r="T720" s="33">
        <f>Table1_1[[#This Row],[Sales Amount]]-S720</f>
        <v>67949.850000000006</v>
      </c>
      <c r="U720" s="32">
        <f>IFERROR(Table1_1[[#This Row],[Profit/loss]]/Table1_1[[#This Row],[Sales Amount]],0)</f>
        <v>0.34855040924627539</v>
      </c>
    </row>
    <row r="721" spans="1:21" ht="18" x14ac:dyDescent="0.35">
      <c r="A721" s="21" t="s">
        <v>828</v>
      </c>
      <c r="B721" s="36">
        <v>45645</v>
      </c>
      <c r="C721" s="22">
        <f>YEAR(Table1_1[[#This Row],[Order Date]])</f>
        <v>2024</v>
      </c>
      <c r="D721" s="22" t="str">
        <f>TEXT(Table1_1[[#This Row],[Order Date]],"MMMM")</f>
        <v>December</v>
      </c>
      <c r="E721" s="22" t="s">
        <v>26</v>
      </c>
      <c r="F721" s="22" t="s">
        <v>163</v>
      </c>
      <c r="G721" s="22" t="s">
        <v>60</v>
      </c>
      <c r="H721" s="22" t="s">
        <v>29</v>
      </c>
      <c r="I721" s="22" t="s">
        <v>54</v>
      </c>
      <c r="J721" s="22" t="s">
        <v>55</v>
      </c>
      <c r="K721" s="22" t="s">
        <v>1623</v>
      </c>
      <c r="L721" s="22" t="s">
        <v>33</v>
      </c>
      <c r="M721" s="22" t="s">
        <v>24</v>
      </c>
      <c r="N721" s="22">
        <v>36</v>
      </c>
      <c r="O721" s="26">
        <v>5890</v>
      </c>
      <c r="P721" s="22">
        <v>0.15</v>
      </c>
      <c r="Q721" s="30">
        <v>3980</v>
      </c>
      <c r="R721" s="33">
        <f>Table1_1[[#This Row],[Units Sold]]*Table1_1[[#This Row],[Unit Price]]*1-Table1_1[[#This Row],[Discount]]</f>
        <v>212039.85</v>
      </c>
      <c r="S721" s="33">
        <f>Table1_1[[#This Row],[Units Sold]]*Table1_1[[#This Row],[Unit Cost]]</f>
        <v>143280</v>
      </c>
      <c r="T721" s="33">
        <f>Table1_1[[#This Row],[Sales Amount]]-S721</f>
        <v>68759.850000000006</v>
      </c>
      <c r="U721" s="32">
        <f>IFERROR(Table1_1[[#This Row],[Profit/loss]]/Table1_1[[#This Row],[Sales Amount]],0)</f>
        <v>0.32427796001553483</v>
      </c>
    </row>
    <row r="722" spans="1:21" ht="18" x14ac:dyDescent="0.35">
      <c r="A722" s="21" t="s">
        <v>829</v>
      </c>
      <c r="B722" s="36">
        <v>45645</v>
      </c>
      <c r="C722" s="22">
        <f>YEAR(Table1_1[[#This Row],[Order Date]])</f>
        <v>2024</v>
      </c>
      <c r="D722" s="22" t="str">
        <f>TEXT(Table1_1[[#This Row],[Order Date]],"MMMM")</f>
        <v>December</v>
      </c>
      <c r="E722" s="22" t="s">
        <v>36</v>
      </c>
      <c r="F722" s="22" t="s">
        <v>37</v>
      </c>
      <c r="G722" s="22" t="s">
        <v>69</v>
      </c>
      <c r="H722" s="22" t="s">
        <v>19</v>
      </c>
      <c r="I722" s="22" t="s">
        <v>40</v>
      </c>
      <c r="J722" s="22" t="s">
        <v>41</v>
      </c>
      <c r="K722" s="22" t="s">
        <v>1628</v>
      </c>
      <c r="L722" s="22" t="s">
        <v>33</v>
      </c>
      <c r="M722" s="22" t="s">
        <v>34</v>
      </c>
      <c r="N722" s="22">
        <v>23</v>
      </c>
      <c r="O722" s="26">
        <v>48500</v>
      </c>
      <c r="P722" s="22">
        <v>0.1</v>
      </c>
      <c r="Q722" s="30">
        <v>30200</v>
      </c>
      <c r="R722" s="33">
        <f>Table1_1[[#This Row],[Units Sold]]*Table1_1[[#This Row],[Unit Price]]*1-Table1_1[[#This Row],[Discount]]</f>
        <v>1115499.8999999999</v>
      </c>
      <c r="S722" s="33">
        <f>Table1_1[[#This Row],[Units Sold]]*Table1_1[[#This Row],[Unit Cost]]</f>
        <v>694600</v>
      </c>
      <c r="T722" s="33">
        <f>Table1_1[[#This Row],[Sales Amount]]-S722</f>
        <v>420899.89999999991</v>
      </c>
      <c r="U722" s="32">
        <f>IFERROR(Table1_1[[#This Row],[Profit/loss]]/Table1_1[[#This Row],[Sales Amount]],0)</f>
        <v>0.37731953180811573</v>
      </c>
    </row>
    <row r="723" spans="1:21" ht="18" x14ac:dyDescent="0.35">
      <c r="A723" s="21" t="s">
        <v>830</v>
      </c>
      <c r="B723" s="36">
        <v>45645</v>
      </c>
      <c r="C723" s="22">
        <f>YEAR(Table1_1[[#This Row],[Order Date]])</f>
        <v>2024</v>
      </c>
      <c r="D723" s="22" t="str">
        <f>TEXT(Table1_1[[#This Row],[Order Date]],"MMMM")</f>
        <v>December</v>
      </c>
      <c r="E723" s="22" t="s">
        <v>82</v>
      </c>
      <c r="F723" s="22" t="s">
        <v>100</v>
      </c>
      <c r="G723" s="22" t="s">
        <v>60</v>
      </c>
      <c r="H723" s="22" t="s">
        <v>39</v>
      </c>
      <c r="I723" s="22" t="s">
        <v>54</v>
      </c>
      <c r="J723" s="22" t="s">
        <v>90</v>
      </c>
      <c r="K723" s="22" t="s">
        <v>1625</v>
      </c>
      <c r="L723" s="22" t="s">
        <v>33</v>
      </c>
      <c r="M723" s="22" t="s">
        <v>24</v>
      </c>
      <c r="N723" s="22">
        <v>6</v>
      </c>
      <c r="O723" s="26">
        <v>32800</v>
      </c>
      <c r="P723" s="22">
        <v>0.12</v>
      </c>
      <c r="Q723" s="30">
        <v>23100</v>
      </c>
      <c r="R723" s="33">
        <f>Table1_1[[#This Row],[Units Sold]]*Table1_1[[#This Row],[Unit Price]]*1-Table1_1[[#This Row],[Discount]]</f>
        <v>196799.88</v>
      </c>
      <c r="S723" s="33">
        <f>Table1_1[[#This Row],[Units Sold]]*Table1_1[[#This Row],[Unit Cost]]</f>
        <v>138600</v>
      </c>
      <c r="T723" s="33">
        <f>Table1_1[[#This Row],[Sales Amount]]-S723</f>
        <v>58199.880000000005</v>
      </c>
      <c r="U723" s="32">
        <f>IFERROR(Table1_1[[#This Row],[Profit/loss]]/Table1_1[[#This Row],[Sales Amount]],0)</f>
        <v>0.29573127788492554</v>
      </c>
    </row>
    <row r="724" spans="1:21" ht="18" x14ac:dyDescent="0.35">
      <c r="A724" s="21" t="s">
        <v>831</v>
      </c>
      <c r="B724" s="36">
        <v>45646</v>
      </c>
      <c r="C724" s="22">
        <f>YEAR(Table1_1[[#This Row],[Order Date]])</f>
        <v>2024</v>
      </c>
      <c r="D724" s="22" t="str">
        <f>TEXT(Table1_1[[#This Row],[Order Date]],"MMMM")</f>
        <v>December</v>
      </c>
      <c r="E724" s="22" t="s">
        <v>26</v>
      </c>
      <c r="F724" s="22" t="s">
        <v>74</v>
      </c>
      <c r="G724" s="22" t="s">
        <v>84</v>
      </c>
      <c r="H724" s="22" t="s">
        <v>19</v>
      </c>
      <c r="I724" s="22" t="s">
        <v>70</v>
      </c>
      <c r="J724" s="22" t="s">
        <v>71</v>
      </c>
      <c r="K724" s="22" t="s">
        <v>88</v>
      </c>
      <c r="L724" s="22" t="s">
        <v>57</v>
      </c>
      <c r="M724" s="22" t="s">
        <v>78</v>
      </c>
      <c r="N724" s="22">
        <v>33</v>
      </c>
      <c r="O724" s="26">
        <v>999</v>
      </c>
      <c r="P724" s="22">
        <v>0.2</v>
      </c>
      <c r="Q724" s="30">
        <v>540</v>
      </c>
      <c r="R724" s="33">
        <f>Table1_1[[#This Row],[Units Sold]]*Table1_1[[#This Row],[Unit Price]]*1-Table1_1[[#This Row],[Discount]]</f>
        <v>32966.800000000003</v>
      </c>
      <c r="S724" s="33">
        <f>Table1_1[[#This Row],[Units Sold]]*Table1_1[[#This Row],[Unit Cost]]</f>
        <v>17820</v>
      </c>
      <c r="T724" s="33">
        <f>Table1_1[[#This Row],[Sales Amount]]-S724</f>
        <v>15146.800000000003</v>
      </c>
      <c r="U724" s="32">
        <f>IFERROR(Table1_1[[#This Row],[Profit/loss]]/Table1_1[[#This Row],[Sales Amount]],0)</f>
        <v>0.45945618015700651</v>
      </c>
    </row>
    <row r="725" spans="1:21" ht="18" x14ac:dyDescent="0.35">
      <c r="A725" s="21" t="s">
        <v>832</v>
      </c>
      <c r="B725" s="36">
        <v>45647</v>
      </c>
      <c r="C725" s="22">
        <f>YEAR(Table1_1[[#This Row],[Order Date]])</f>
        <v>2024</v>
      </c>
      <c r="D725" s="22" t="str">
        <f>TEXT(Table1_1[[#This Row],[Order Date]],"MMMM")</f>
        <v>December</v>
      </c>
      <c r="E725" s="22" t="s">
        <v>48</v>
      </c>
      <c r="F725" s="22" t="s">
        <v>68</v>
      </c>
      <c r="G725" s="22" t="s">
        <v>38</v>
      </c>
      <c r="H725" s="22" t="s">
        <v>29</v>
      </c>
      <c r="I725" s="22" t="s">
        <v>40</v>
      </c>
      <c r="J725" s="22" t="s">
        <v>64</v>
      </c>
      <c r="K725" s="22" t="s">
        <v>1619</v>
      </c>
      <c r="L725" s="22" t="s">
        <v>23</v>
      </c>
      <c r="M725" s="22" t="s">
        <v>66</v>
      </c>
      <c r="N725" s="22">
        <v>16</v>
      </c>
      <c r="O725" s="26">
        <v>1930</v>
      </c>
      <c r="P725" s="22">
        <v>0.08</v>
      </c>
      <c r="Q725" s="30">
        <v>1120</v>
      </c>
      <c r="R725" s="33">
        <f>Table1_1[[#This Row],[Units Sold]]*Table1_1[[#This Row],[Unit Price]]*1-Table1_1[[#This Row],[Discount]]</f>
        <v>30879.919999999998</v>
      </c>
      <c r="S725" s="33">
        <f>Table1_1[[#This Row],[Units Sold]]*Table1_1[[#This Row],[Unit Cost]]</f>
        <v>17920</v>
      </c>
      <c r="T725" s="33">
        <f>Table1_1[[#This Row],[Sales Amount]]-S725</f>
        <v>12959.919999999998</v>
      </c>
      <c r="U725" s="32">
        <f>IFERROR(Table1_1[[#This Row],[Profit/loss]]/Table1_1[[#This Row],[Sales Amount]],0)</f>
        <v>0.41968761577102526</v>
      </c>
    </row>
    <row r="726" spans="1:21" ht="18" x14ac:dyDescent="0.35">
      <c r="A726" s="21" t="s">
        <v>833</v>
      </c>
      <c r="B726" s="36">
        <v>45647</v>
      </c>
      <c r="C726" s="22">
        <f>YEAR(Table1_1[[#This Row],[Order Date]])</f>
        <v>2024</v>
      </c>
      <c r="D726" s="22" t="str">
        <f>TEXT(Table1_1[[#This Row],[Order Date]],"MMMM")</f>
        <v>December</v>
      </c>
      <c r="E726" s="22" t="s">
        <v>48</v>
      </c>
      <c r="F726" s="22" t="s">
        <v>49</v>
      </c>
      <c r="G726" s="22" t="s">
        <v>69</v>
      </c>
      <c r="H726" s="22" t="s">
        <v>19</v>
      </c>
      <c r="I726" s="22" t="s">
        <v>20</v>
      </c>
      <c r="J726" s="22" t="s">
        <v>21</v>
      </c>
      <c r="K726" s="22" t="s">
        <v>22</v>
      </c>
      <c r="L726" s="22" t="s">
        <v>57</v>
      </c>
      <c r="M726" s="22" t="s">
        <v>34</v>
      </c>
      <c r="N726" s="22">
        <v>10</v>
      </c>
      <c r="O726" s="26">
        <v>4499</v>
      </c>
      <c r="P726" s="22">
        <v>0.08</v>
      </c>
      <c r="Q726" s="30">
        <v>2910</v>
      </c>
      <c r="R726" s="33">
        <f>Table1_1[[#This Row],[Units Sold]]*Table1_1[[#This Row],[Unit Price]]*1-Table1_1[[#This Row],[Discount]]</f>
        <v>44989.919999999998</v>
      </c>
      <c r="S726" s="33">
        <f>Table1_1[[#This Row],[Units Sold]]*Table1_1[[#This Row],[Unit Cost]]</f>
        <v>29100</v>
      </c>
      <c r="T726" s="33">
        <f>Table1_1[[#This Row],[Sales Amount]]-S726</f>
        <v>15889.919999999998</v>
      </c>
      <c r="U726" s="32">
        <f>IFERROR(Table1_1[[#This Row],[Profit/loss]]/Table1_1[[#This Row],[Sales Amount]],0)</f>
        <v>0.35318844754558354</v>
      </c>
    </row>
    <row r="727" spans="1:21" ht="18" x14ac:dyDescent="0.35">
      <c r="A727" s="21" t="s">
        <v>834</v>
      </c>
      <c r="B727" s="36">
        <v>45648</v>
      </c>
      <c r="C727" s="22">
        <f>YEAR(Table1_1[[#This Row],[Order Date]])</f>
        <v>2024</v>
      </c>
      <c r="D727" s="22" t="str">
        <f>TEXT(Table1_1[[#This Row],[Order Date]],"MMMM")</f>
        <v>December</v>
      </c>
      <c r="E727" s="22" t="s">
        <v>82</v>
      </c>
      <c r="F727" s="22" t="s">
        <v>183</v>
      </c>
      <c r="G727" s="22" t="s">
        <v>75</v>
      </c>
      <c r="H727" s="22" t="s">
        <v>29</v>
      </c>
      <c r="I727" s="22" t="s">
        <v>20</v>
      </c>
      <c r="J727" s="22" t="s">
        <v>21</v>
      </c>
      <c r="K727" s="22" t="s">
        <v>51</v>
      </c>
      <c r="L727" s="22" t="s">
        <v>57</v>
      </c>
      <c r="M727" s="22" t="s">
        <v>66</v>
      </c>
      <c r="N727" s="22">
        <v>37</v>
      </c>
      <c r="O727" s="26">
        <v>5999</v>
      </c>
      <c r="P727" s="22">
        <v>0.08</v>
      </c>
      <c r="Q727" s="30">
        <v>3890</v>
      </c>
      <c r="R727" s="33">
        <f>Table1_1[[#This Row],[Units Sold]]*Table1_1[[#This Row],[Unit Price]]*1-Table1_1[[#This Row],[Discount]]</f>
        <v>221962.92</v>
      </c>
      <c r="S727" s="33">
        <f>Table1_1[[#This Row],[Units Sold]]*Table1_1[[#This Row],[Unit Cost]]</f>
        <v>143930</v>
      </c>
      <c r="T727" s="33">
        <f>Table1_1[[#This Row],[Sales Amount]]-S727</f>
        <v>78032.920000000013</v>
      </c>
      <c r="U727" s="32">
        <f>IFERROR(Table1_1[[#This Row],[Profit/loss]]/Table1_1[[#This Row],[Sales Amount]],0)</f>
        <v>0.35155835938723462</v>
      </c>
    </row>
    <row r="728" spans="1:21" ht="18" x14ac:dyDescent="0.35">
      <c r="A728" s="21" t="s">
        <v>835</v>
      </c>
      <c r="B728" s="36">
        <v>45648</v>
      </c>
      <c r="C728" s="22">
        <f>YEAR(Table1_1[[#This Row],[Order Date]])</f>
        <v>2024</v>
      </c>
      <c r="D728" s="22" t="str">
        <f>TEXT(Table1_1[[#This Row],[Order Date]],"MMMM")</f>
        <v>December</v>
      </c>
      <c r="E728" s="22" t="s">
        <v>82</v>
      </c>
      <c r="F728" s="22" t="s">
        <v>83</v>
      </c>
      <c r="G728" s="22" t="s">
        <v>101</v>
      </c>
      <c r="H728" s="22" t="s">
        <v>29</v>
      </c>
      <c r="I728" s="22" t="s">
        <v>54</v>
      </c>
      <c r="J728" s="22" t="s">
        <v>55</v>
      </c>
      <c r="K728" s="22" t="s">
        <v>1623</v>
      </c>
      <c r="L728" s="22" t="s">
        <v>33</v>
      </c>
      <c r="M728" s="22" t="s">
        <v>66</v>
      </c>
      <c r="N728" s="22">
        <v>31</v>
      </c>
      <c r="O728" s="26">
        <v>5890</v>
      </c>
      <c r="P728" s="22">
        <v>0.08</v>
      </c>
      <c r="Q728" s="30">
        <v>3980</v>
      </c>
      <c r="R728" s="33">
        <f>Table1_1[[#This Row],[Units Sold]]*Table1_1[[#This Row],[Unit Price]]*1-Table1_1[[#This Row],[Discount]]</f>
        <v>182589.92</v>
      </c>
      <c r="S728" s="33">
        <f>Table1_1[[#This Row],[Units Sold]]*Table1_1[[#This Row],[Unit Cost]]</f>
        <v>123380</v>
      </c>
      <c r="T728" s="33">
        <f>Table1_1[[#This Row],[Sales Amount]]-S728</f>
        <v>59209.920000000013</v>
      </c>
      <c r="U728" s="32">
        <f>IFERROR(Table1_1[[#This Row],[Profit/loss]]/Table1_1[[#This Row],[Sales Amount]],0)</f>
        <v>0.32427814196972105</v>
      </c>
    </row>
    <row r="729" spans="1:21" ht="18" x14ac:dyDescent="0.35">
      <c r="A729" s="21" t="s">
        <v>836</v>
      </c>
      <c r="B729" s="36">
        <v>45648</v>
      </c>
      <c r="C729" s="22">
        <f>YEAR(Table1_1[[#This Row],[Order Date]])</f>
        <v>2024</v>
      </c>
      <c r="D729" s="22" t="str">
        <f>TEXT(Table1_1[[#This Row],[Order Date]],"MMMM")</f>
        <v>December</v>
      </c>
      <c r="E729" s="22" t="s">
        <v>36</v>
      </c>
      <c r="F729" s="22" t="s">
        <v>59</v>
      </c>
      <c r="G729" s="22" t="s">
        <v>105</v>
      </c>
      <c r="H729" s="22" t="s">
        <v>19</v>
      </c>
      <c r="I729" s="22" t="s">
        <v>20</v>
      </c>
      <c r="J729" s="22" t="s">
        <v>21</v>
      </c>
      <c r="K729" s="22" t="s">
        <v>51</v>
      </c>
      <c r="L729" s="22" t="s">
        <v>57</v>
      </c>
      <c r="M729" s="22" t="s">
        <v>34</v>
      </c>
      <c r="N729" s="22">
        <v>37</v>
      </c>
      <c r="O729" s="26">
        <v>5999</v>
      </c>
      <c r="P729" s="22">
        <v>0.08</v>
      </c>
      <c r="Q729" s="30">
        <v>3890</v>
      </c>
      <c r="R729" s="33">
        <f>Table1_1[[#This Row],[Units Sold]]*Table1_1[[#This Row],[Unit Price]]*1-Table1_1[[#This Row],[Discount]]</f>
        <v>221962.92</v>
      </c>
      <c r="S729" s="33">
        <f>Table1_1[[#This Row],[Units Sold]]*Table1_1[[#This Row],[Unit Cost]]</f>
        <v>143930</v>
      </c>
      <c r="T729" s="33">
        <f>Table1_1[[#This Row],[Sales Amount]]-S729</f>
        <v>78032.920000000013</v>
      </c>
      <c r="U729" s="32">
        <f>IFERROR(Table1_1[[#This Row],[Profit/loss]]/Table1_1[[#This Row],[Sales Amount]],0)</f>
        <v>0.35155835938723462</v>
      </c>
    </row>
    <row r="730" spans="1:21" ht="18" x14ac:dyDescent="0.35">
      <c r="A730" s="21" t="s">
        <v>837</v>
      </c>
      <c r="B730" s="36">
        <v>45648</v>
      </c>
      <c r="C730" s="22">
        <f>YEAR(Table1_1[[#This Row],[Order Date]])</f>
        <v>2024</v>
      </c>
      <c r="D730" s="22" t="str">
        <f>TEXT(Table1_1[[#This Row],[Order Date]],"MMMM")</f>
        <v>December</v>
      </c>
      <c r="E730" s="22" t="s">
        <v>26</v>
      </c>
      <c r="F730" s="22" t="s">
        <v>74</v>
      </c>
      <c r="G730" s="22" t="s">
        <v>28</v>
      </c>
      <c r="H730" s="22" t="s">
        <v>19</v>
      </c>
      <c r="I730" s="22" t="s">
        <v>20</v>
      </c>
      <c r="J730" s="22" t="s">
        <v>45</v>
      </c>
      <c r="K730" s="22" t="s">
        <v>1622</v>
      </c>
      <c r="L730" s="22" t="s">
        <v>23</v>
      </c>
      <c r="M730" s="22" t="s">
        <v>24</v>
      </c>
      <c r="N730" s="22">
        <v>8</v>
      </c>
      <c r="O730" s="26">
        <v>1599</v>
      </c>
      <c r="P730" s="22">
        <v>0.08</v>
      </c>
      <c r="Q730" s="30">
        <v>920</v>
      </c>
      <c r="R730" s="33">
        <f>Table1_1[[#This Row],[Units Sold]]*Table1_1[[#This Row],[Unit Price]]*1-Table1_1[[#This Row],[Discount]]</f>
        <v>12791.92</v>
      </c>
      <c r="S730" s="33">
        <f>Table1_1[[#This Row],[Units Sold]]*Table1_1[[#This Row],[Unit Cost]]</f>
        <v>7360</v>
      </c>
      <c r="T730" s="33">
        <f>Table1_1[[#This Row],[Sales Amount]]-S730</f>
        <v>5431.92</v>
      </c>
      <c r="U730" s="32">
        <f>IFERROR(Table1_1[[#This Row],[Profit/loss]]/Table1_1[[#This Row],[Sales Amount]],0)</f>
        <v>0.42463680198125064</v>
      </c>
    </row>
    <row r="731" spans="1:21" ht="18" x14ac:dyDescent="0.35">
      <c r="A731" s="21" t="s">
        <v>838</v>
      </c>
      <c r="B731" s="36">
        <v>45648</v>
      </c>
      <c r="C731" s="22">
        <f>YEAR(Table1_1[[#This Row],[Order Date]])</f>
        <v>2024</v>
      </c>
      <c r="D731" s="22" t="str">
        <f>TEXT(Table1_1[[#This Row],[Order Date]],"MMMM")</f>
        <v>December</v>
      </c>
      <c r="E731" s="22" t="s">
        <v>26</v>
      </c>
      <c r="F731" s="22" t="s">
        <v>74</v>
      </c>
      <c r="G731" s="22" t="s">
        <v>105</v>
      </c>
      <c r="H731" s="22" t="s">
        <v>29</v>
      </c>
      <c r="I731" s="22" t="s">
        <v>70</v>
      </c>
      <c r="J731" s="22" t="s">
        <v>71</v>
      </c>
      <c r="K731" s="22" t="s">
        <v>80</v>
      </c>
      <c r="L731" s="22" t="s">
        <v>57</v>
      </c>
      <c r="M731" s="22" t="s">
        <v>34</v>
      </c>
      <c r="N731" s="22">
        <v>23</v>
      </c>
      <c r="O731" s="26">
        <v>1299</v>
      </c>
      <c r="P731" s="22">
        <v>0.15</v>
      </c>
      <c r="Q731" s="30">
        <v>720</v>
      </c>
      <c r="R731" s="33">
        <f>Table1_1[[#This Row],[Units Sold]]*Table1_1[[#This Row],[Unit Price]]*1-Table1_1[[#This Row],[Discount]]</f>
        <v>29876.85</v>
      </c>
      <c r="S731" s="33">
        <f>Table1_1[[#This Row],[Units Sold]]*Table1_1[[#This Row],[Unit Cost]]</f>
        <v>16560</v>
      </c>
      <c r="T731" s="33">
        <f>Table1_1[[#This Row],[Sales Amount]]-S731</f>
        <v>13316.849999999999</v>
      </c>
      <c r="U731" s="32">
        <f>IFERROR(Table1_1[[#This Row],[Profit/loss]]/Table1_1[[#This Row],[Sales Amount]],0)</f>
        <v>0.44572469989306102</v>
      </c>
    </row>
    <row r="732" spans="1:21" ht="18" x14ac:dyDescent="0.35">
      <c r="A732" s="21" t="s">
        <v>839</v>
      </c>
      <c r="B732" s="36">
        <v>45648</v>
      </c>
      <c r="C732" s="22">
        <f>YEAR(Table1_1[[#This Row],[Order Date]])</f>
        <v>2024</v>
      </c>
      <c r="D732" s="22" t="str">
        <f>TEXT(Table1_1[[#This Row],[Order Date]],"MMMM")</f>
        <v>December</v>
      </c>
      <c r="E732" s="22" t="s">
        <v>16</v>
      </c>
      <c r="F732" s="22" t="s">
        <v>98</v>
      </c>
      <c r="G732" s="22" t="s">
        <v>28</v>
      </c>
      <c r="H732" s="22" t="s">
        <v>19</v>
      </c>
      <c r="I732" s="22" t="s">
        <v>54</v>
      </c>
      <c r="J732" s="22" t="s">
        <v>55</v>
      </c>
      <c r="K732" s="22" t="s">
        <v>1623</v>
      </c>
      <c r="L732" s="22" t="s">
        <v>33</v>
      </c>
      <c r="M732" s="22" t="s">
        <v>34</v>
      </c>
      <c r="N732" s="22">
        <v>13</v>
      </c>
      <c r="O732" s="26">
        <v>5890</v>
      </c>
      <c r="P732" s="22">
        <v>0.1</v>
      </c>
      <c r="Q732" s="30">
        <v>3980</v>
      </c>
      <c r="R732" s="33">
        <f>Table1_1[[#This Row],[Units Sold]]*Table1_1[[#This Row],[Unit Price]]*1-Table1_1[[#This Row],[Discount]]</f>
        <v>76569.899999999994</v>
      </c>
      <c r="S732" s="33">
        <f>Table1_1[[#This Row],[Units Sold]]*Table1_1[[#This Row],[Unit Cost]]</f>
        <v>51740</v>
      </c>
      <c r="T732" s="33">
        <f>Table1_1[[#This Row],[Sales Amount]]-S732</f>
        <v>24829.899999999994</v>
      </c>
      <c r="U732" s="32">
        <f>IFERROR(Table1_1[[#This Row],[Profit/loss]]/Table1_1[[#This Row],[Sales Amount]],0)</f>
        <v>0.32427755554075421</v>
      </c>
    </row>
    <row r="733" spans="1:21" ht="18" x14ac:dyDescent="0.35">
      <c r="A733" s="21" t="s">
        <v>840</v>
      </c>
      <c r="B733" s="36">
        <v>45649</v>
      </c>
      <c r="C733" s="22">
        <f>YEAR(Table1_1[[#This Row],[Order Date]])</f>
        <v>2024</v>
      </c>
      <c r="D733" s="22" t="str">
        <f>TEXT(Table1_1[[#This Row],[Order Date]],"MMMM")</f>
        <v>December</v>
      </c>
      <c r="E733" s="22" t="s">
        <v>26</v>
      </c>
      <c r="F733" s="22" t="s">
        <v>74</v>
      </c>
      <c r="G733" s="22" t="s">
        <v>38</v>
      </c>
      <c r="H733" s="22" t="s">
        <v>29</v>
      </c>
      <c r="I733" s="22" t="s">
        <v>70</v>
      </c>
      <c r="J733" s="22" t="s">
        <v>71</v>
      </c>
      <c r="K733" s="22" t="s">
        <v>72</v>
      </c>
      <c r="L733" s="22" t="s">
        <v>23</v>
      </c>
      <c r="M733" s="22" t="s">
        <v>24</v>
      </c>
      <c r="N733" s="22">
        <v>30</v>
      </c>
      <c r="O733" s="26">
        <v>3499</v>
      </c>
      <c r="P733" s="22">
        <v>0.05</v>
      </c>
      <c r="Q733" s="30">
        <v>2190</v>
      </c>
      <c r="R733" s="33">
        <f>Table1_1[[#This Row],[Units Sold]]*Table1_1[[#This Row],[Unit Price]]*1-Table1_1[[#This Row],[Discount]]</f>
        <v>104969.95</v>
      </c>
      <c r="S733" s="33">
        <f>Table1_1[[#This Row],[Units Sold]]*Table1_1[[#This Row],[Unit Cost]]</f>
        <v>65700</v>
      </c>
      <c r="T733" s="33">
        <f>Table1_1[[#This Row],[Sales Amount]]-S733</f>
        <v>39269.949999999997</v>
      </c>
      <c r="U733" s="32">
        <f>IFERROR(Table1_1[[#This Row],[Profit/loss]]/Table1_1[[#This Row],[Sales Amount]],0)</f>
        <v>0.37410658955253384</v>
      </c>
    </row>
    <row r="734" spans="1:21" ht="18" x14ac:dyDescent="0.35">
      <c r="A734" s="21" t="s">
        <v>841</v>
      </c>
      <c r="B734" s="36">
        <v>45649</v>
      </c>
      <c r="C734" s="22">
        <f>YEAR(Table1_1[[#This Row],[Order Date]])</f>
        <v>2024</v>
      </c>
      <c r="D734" s="22" t="str">
        <f>TEXT(Table1_1[[#This Row],[Order Date]],"MMMM")</f>
        <v>December</v>
      </c>
      <c r="E734" s="22" t="s">
        <v>26</v>
      </c>
      <c r="F734" s="22" t="s">
        <v>27</v>
      </c>
      <c r="G734" s="22" t="s">
        <v>101</v>
      </c>
      <c r="H734" s="22" t="s">
        <v>39</v>
      </c>
      <c r="I734" s="22" t="s">
        <v>40</v>
      </c>
      <c r="J734" s="22" t="s">
        <v>76</v>
      </c>
      <c r="K734" s="22" t="s">
        <v>1620</v>
      </c>
      <c r="L734" s="22" t="s">
        <v>23</v>
      </c>
      <c r="M734" s="22" t="s">
        <v>24</v>
      </c>
      <c r="N734" s="22">
        <v>21</v>
      </c>
      <c r="O734" s="26">
        <v>52990</v>
      </c>
      <c r="P734" s="22">
        <v>0.15</v>
      </c>
      <c r="Q734" s="30">
        <v>39500</v>
      </c>
      <c r="R734" s="33">
        <f>Table1_1[[#This Row],[Units Sold]]*Table1_1[[#This Row],[Unit Price]]*1-Table1_1[[#This Row],[Discount]]</f>
        <v>1112789.8500000001</v>
      </c>
      <c r="S734" s="33">
        <f>Table1_1[[#This Row],[Units Sold]]*Table1_1[[#This Row],[Unit Cost]]</f>
        <v>829500</v>
      </c>
      <c r="T734" s="33">
        <f>Table1_1[[#This Row],[Sales Amount]]-S734</f>
        <v>283289.85000000009</v>
      </c>
      <c r="U734" s="32">
        <f>IFERROR(Table1_1[[#This Row],[Profit/loss]]/Table1_1[[#This Row],[Sales Amount]],0)</f>
        <v>0.25457623467719448</v>
      </c>
    </row>
    <row r="735" spans="1:21" ht="18" x14ac:dyDescent="0.35">
      <c r="A735" s="21" t="s">
        <v>842</v>
      </c>
      <c r="B735" s="36">
        <v>45649</v>
      </c>
      <c r="C735" s="22">
        <f>YEAR(Table1_1[[#This Row],[Order Date]])</f>
        <v>2024</v>
      </c>
      <c r="D735" s="22" t="str">
        <f>TEXT(Table1_1[[#This Row],[Order Date]],"MMMM")</f>
        <v>December</v>
      </c>
      <c r="E735" s="22" t="s">
        <v>82</v>
      </c>
      <c r="F735" s="22" t="s">
        <v>183</v>
      </c>
      <c r="G735" s="22" t="s">
        <v>50</v>
      </c>
      <c r="H735" s="22" t="s">
        <v>29</v>
      </c>
      <c r="I735" s="22" t="s">
        <v>70</v>
      </c>
      <c r="J735" s="22" t="s">
        <v>71</v>
      </c>
      <c r="K735" s="22" t="s">
        <v>72</v>
      </c>
      <c r="L735" s="22" t="s">
        <v>23</v>
      </c>
      <c r="M735" s="22" t="s">
        <v>24</v>
      </c>
      <c r="N735" s="22">
        <v>18</v>
      </c>
      <c r="O735" s="26">
        <v>3499</v>
      </c>
      <c r="P735" s="22">
        <v>0.18</v>
      </c>
      <c r="Q735" s="30">
        <v>2190</v>
      </c>
      <c r="R735" s="33">
        <f>Table1_1[[#This Row],[Units Sold]]*Table1_1[[#This Row],[Unit Price]]*1-Table1_1[[#This Row],[Discount]]</f>
        <v>62981.82</v>
      </c>
      <c r="S735" s="33">
        <f>Table1_1[[#This Row],[Units Sold]]*Table1_1[[#This Row],[Unit Cost]]</f>
        <v>39420</v>
      </c>
      <c r="T735" s="33">
        <f>Table1_1[[#This Row],[Sales Amount]]-S735</f>
        <v>23561.82</v>
      </c>
      <c r="U735" s="32">
        <f>IFERROR(Table1_1[[#This Row],[Profit/loss]]/Table1_1[[#This Row],[Sales Amount]],0)</f>
        <v>0.37410509889996829</v>
      </c>
    </row>
    <row r="736" spans="1:21" ht="18" x14ac:dyDescent="0.35">
      <c r="A736" s="21" t="s">
        <v>843</v>
      </c>
      <c r="B736" s="36">
        <v>45650</v>
      </c>
      <c r="C736" s="22">
        <f>YEAR(Table1_1[[#This Row],[Order Date]])</f>
        <v>2024</v>
      </c>
      <c r="D736" s="22" t="str">
        <f>TEXT(Table1_1[[#This Row],[Order Date]],"MMMM")</f>
        <v>December</v>
      </c>
      <c r="E736" s="22" t="s">
        <v>48</v>
      </c>
      <c r="F736" s="22" t="s">
        <v>68</v>
      </c>
      <c r="G736" s="22" t="s">
        <v>101</v>
      </c>
      <c r="H736" s="22" t="s">
        <v>29</v>
      </c>
      <c r="I736" s="22" t="s">
        <v>30</v>
      </c>
      <c r="J736" s="22" t="s">
        <v>61</v>
      </c>
      <c r="K736" s="22" t="s">
        <v>96</v>
      </c>
      <c r="L736" s="22" t="s">
        <v>57</v>
      </c>
      <c r="M736" s="22" t="s">
        <v>66</v>
      </c>
      <c r="N736" s="22">
        <v>20</v>
      </c>
      <c r="O736" s="26">
        <v>25110</v>
      </c>
      <c r="P736" s="22">
        <v>0.18</v>
      </c>
      <c r="Q736" s="30">
        <v>16730</v>
      </c>
      <c r="R736" s="33">
        <f>Table1_1[[#This Row],[Units Sold]]*Table1_1[[#This Row],[Unit Price]]*1-Table1_1[[#This Row],[Discount]]</f>
        <v>502199.82</v>
      </c>
      <c r="S736" s="33">
        <f>Table1_1[[#This Row],[Units Sold]]*Table1_1[[#This Row],[Unit Cost]]</f>
        <v>334600</v>
      </c>
      <c r="T736" s="33">
        <f>Table1_1[[#This Row],[Sales Amount]]-S736</f>
        <v>167599.82</v>
      </c>
      <c r="U736" s="32">
        <f>IFERROR(Table1_1[[#This Row],[Profit/loss]]/Table1_1[[#This Row],[Sales Amount]],0)</f>
        <v>0.3337313422374385</v>
      </c>
    </row>
    <row r="737" spans="1:21" ht="18" x14ac:dyDescent="0.35">
      <c r="A737" s="21" t="s">
        <v>844</v>
      </c>
      <c r="B737" s="36">
        <v>45650</v>
      </c>
      <c r="C737" s="22">
        <f>YEAR(Table1_1[[#This Row],[Order Date]])</f>
        <v>2024</v>
      </c>
      <c r="D737" s="22" t="str">
        <f>TEXT(Table1_1[[#This Row],[Order Date]],"MMMM")</f>
        <v>December</v>
      </c>
      <c r="E737" s="22" t="s">
        <v>16</v>
      </c>
      <c r="F737" s="22" t="s">
        <v>98</v>
      </c>
      <c r="G737" s="22" t="s">
        <v>38</v>
      </c>
      <c r="H737" s="22" t="s">
        <v>39</v>
      </c>
      <c r="I737" s="22" t="s">
        <v>70</v>
      </c>
      <c r="J737" s="22" t="s">
        <v>71</v>
      </c>
      <c r="K737" s="22" t="s">
        <v>88</v>
      </c>
      <c r="L737" s="22" t="s">
        <v>57</v>
      </c>
      <c r="M737" s="22" t="s">
        <v>78</v>
      </c>
      <c r="N737" s="22">
        <v>34</v>
      </c>
      <c r="O737" s="26">
        <v>999</v>
      </c>
      <c r="P737" s="22">
        <v>0.18</v>
      </c>
      <c r="Q737" s="30">
        <v>540</v>
      </c>
      <c r="R737" s="33">
        <f>Table1_1[[#This Row],[Units Sold]]*Table1_1[[#This Row],[Unit Price]]*1-Table1_1[[#This Row],[Discount]]</f>
        <v>33965.82</v>
      </c>
      <c r="S737" s="33">
        <f>Table1_1[[#This Row],[Units Sold]]*Table1_1[[#This Row],[Unit Cost]]</f>
        <v>18360</v>
      </c>
      <c r="T737" s="33">
        <f>Table1_1[[#This Row],[Sales Amount]]-S737</f>
        <v>15605.82</v>
      </c>
      <c r="U737" s="32">
        <f>IFERROR(Table1_1[[#This Row],[Profit/loss]]/Table1_1[[#This Row],[Sales Amount]],0)</f>
        <v>0.45945659489451451</v>
      </c>
    </row>
    <row r="738" spans="1:21" ht="18" x14ac:dyDescent="0.35">
      <c r="A738" s="21" t="s">
        <v>845</v>
      </c>
      <c r="B738" s="36">
        <v>45651</v>
      </c>
      <c r="C738" s="22">
        <f>YEAR(Table1_1[[#This Row],[Order Date]])</f>
        <v>2024</v>
      </c>
      <c r="D738" s="22" t="str">
        <f>TEXT(Table1_1[[#This Row],[Order Date]],"MMMM")</f>
        <v>December</v>
      </c>
      <c r="E738" s="22" t="s">
        <v>36</v>
      </c>
      <c r="F738" s="22" t="s">
        <v>59</v>
      </c>
      <c r="G738" s="22" t="s">
        <v>28</v>
      </c>
      <c r="H738" s="22" t="s">
        <v>39</v>
      </c>
      <c r="I738" s="22" t="s">
        <v>70</v>
      </c>
      <c r="J738" s="22" t="s">
        <v>71</v>
      </c>
      <c r="K738" s="22" t="s">
        <v>72</v>
      </c>
      <c r="L738" s="22" t="s">
        <v>23</v>
      </c>
      <c r="M738" s="22" t="s">
        <v>78</v>
      </c>
      <c r="N738" s="22">
        <v>22</v>
      </c>
      <c r="O738" s="26">
        <v>3499</v>
      </c>
      <c r="P738" s="22">
        <v>0.1</v>
      </c>
      <c r="Q738" s="30">
        <v>2190</v>
      </c>
      <c r="R738" s="33">
        <f>Table1_1[[#This Row],[Units Sold]]*Table1_1[[#This Row],[Unit Price]]*1-Table1_1[[#This Row],[Discount]]</f>
        <v>76977.899999999994</v>
      </c>
      <c r="S738" s="33">
        <f>Table1_1[[#This Row],[Units Sold]]*Table1_1[[#This Row],[Unit Cost]]</f>
        <v>48180</v>
      </c>
      <c r="T738" s="33">
        <f>Table1_1[[#This Row],[Sales Amount]]-S738</f>
        <v>28797.899999999994</v>
      </c>
      <c r="U738" s="32">
        <f>IFERROR(Table1_1[[#This Row],[Profit/loss]]/Table1_1[[#This Row],[Sales Amount]],0)</f>
        <v>0.37410607460063205</v>
      </c>
    </row>
    <row r="739" spans="1:21" ht="18" x14ac:dyDescent="0.35">
      <c r="A739" s="21" t="s">
        <v>846</v>
      </c>
      <c r="B739" s="36">
        <v>45652</v>
      </c>
      <c r="C739" s="22">
        <f>YEAR(Table1_1[[#This Row],[Order Date]])</f>
        <v>2024</v>
      </c>
      <c r="D739" s="22" t="str">
        <f>TEXT(Table1_1[[#This Row],[Order Date]],"MMMM")</f>
        <v>December</v>
      </c>
      <c r="E739" s="22" t="s">
        <v>26</v>
      </c>
      <c r="F739" s="22" t="s">
        <v>27</v>
      </c>
      <c r="G739" s="22" t="s">
        <v>69</v>
      </c>
      <c r="H739" s="22" t="s">
        <v>29</v>
      </c>
      <c r="I739" s="22" t="s">
        <v>70</v>
      </c>
      <c r="J739" s="22" t="s">
        <v>71</v>
      </c>
      <c r="K739" s="22" t="s">
        <v>88</v>
      </c>
      <c r="L739" s="22" t="s">
        <v>23</v>
      </c>
      <c r="M739" s="22" t="s">
        <v>24</v>
      </c>
      <c r="N739" s="22">
        <v>37</v>
      </c>
      <c r="O739" s="26">
        <v>999</v>
      </c>
      <c r="P739" s="22">
        <v>0.08</v>
      </c>
      <c r="Q739" s="30">
        <v>540</v>
      </c>
      <c r="R739" s="33">
        <f>Table1_1[[#This Row],[Units Sold]]*Table1_1[[#This Row],[Unit Price]]*1-Table1_1[[#This Row],[Discount]]</f>
        <v>36962.92</v>
      </c>
      <c r="S739" s="33">
        <f>Table1_1[[#This Row],[Units Sold]]*Table1_1[[#This Row],[Unit Cost]]</f>
        <v>19980</v>
      </c>
      <c r="T739" s="33">
        <f>Table1_1[[#This Row],[Sales Amount]]-S739</f>
        <v>16982.919999999998</v>
      </c>
      <c r="U739" s="32">
        <f>IFERROR(Table1_1[[#This Row],[Profit/loss]]/Table1_1[[#This Row],[Sales Amount]],0)</f>
        <v>0.45945828955071727</v>
      </c>
    </row>
    <row r="740" spans="1:21" ht="18" x14ac:dyDescent="0.35">
      <c r="A740" s="21" t="s">
        <v>847</v>
      </c>
      <c r="B740" s="36">
        <v>45652</v>
      </c>
      <c r="C740" s="22">
        <f>YEAR(Table1_1[[#This Row],[Order Date]])</f>
        <v>2024</v>
      </c>
      <c r="D740" s="22" t="str">
        <f>TEXT(Table1_1[[#This Row],[Order Date]],"MMMM")</f>
        <v>December</v>
      </c>
      <c r="E740" s="22" t="s">
        <v>26</v>
      </c>
      <c r="F740" s="22" t="s">
        <v>27</v>
      </c>
      <c r="G740" s="22" t="s">
        <v>18</v>
      </c>
      <c r="H740" s="22" t="s">
        <v>29</v>
      </c>
      <c r="I740" s="22" t="s">
        <v>40</v>
      </c>
      <c r="J740" s="22" t="s">
        <v>41</v>
      </c>
      <c r="K740" s="22" t="s">
        <v>1624</v>
      </c>
      <c r="L740" s="22" t="s">
        <v>33</v>
      </c>
      <c r="M740" s="22" t="s">
        <v>34</v>
      </c>
      <c r="N740" s="22">
        <v>39</v>
      </c>
      <c r="O740" s="26">
        <v>48990</v>
      </c>
      <c r="P740" s="22">
        <v>0.18</v>
      </c>
      <c r="Q740" s="30">
        <v>30100</v>
      </c>
      <c r="R740" s="33">
        <f>Table1_1[[#This Row],[Units Sold]]*Table1_1[[#This Row],[Unit Price]]*1-Table1_1[[#This Row],[Discount]]</f>
        <v>1910609.82</v>
      </c>
      <c r="S740" s="33">
        <f>Table1_1[[#This Row],[Units Sold]]*Table1_1[[#This Row],[Unit Cost]]</f>
        <v>1173900</v>
      </c>
      <c r="T740" s="33">
        <f>Table1_1[[#This Row],[Sales Amount]]-S740</f>
        <v>736709.82000000007</v>
      </c>
      <c r="U740" s="32">
        <f>IFERROR(Table1_1[[#This Row],[Profit/loss]]/Table1_1[[#This Row],[Sales Amount]],0)</f>
        <v>0.38558883780886255</v>
      </c>
    </row>
    <row r="741" spans="1:21" ht="18" x14ac:dyDescent="0.35">
      <c r="A741" s="21" t="s">
        <v>848</v>
      </c>
      <c r="B741" s="36">
        <v>45652</v>
      </c>
      <c r="C741" s="22">
        <f>YEAR(Table1_1[[#This Row],[Order Date]])</f>
        <v>2024</v>
      </c>
      <c r="D741" s="22" t="str">
        <f>TEXT(Table1_1[[#This Row],[Order Date]],"MMMM")</f>
        <v>December</v>
      </c>
      <c r="E741" s="22" t="s">
        <v>26</v>
      </c>
      <c r="F741" s="22" t="s">
        <v>74</v>
      </c>
      <c r="G741" s="22" t="s">
        <v>75</v>
      </c>
      <c r="H741" s="22" t="s">
        <v>39</v>
      </c>
      <c r="I741" s="22" t="s">
        <v>70</v>
      </c>
      <c r="J741" s="22" t="s">
        <v>71</v>
      </c>
      <c r="K741" s="22" t="s">
        <v>72</v>
      </c>
      <c r="L741" s="22" t="s">
        <v>23</v>
      </c>
      <c r="M741" s="22" t="s">
        <v>34</v>
      </c>
      <c r="N741" s="22">
        <v>25</v>
      </c>
      <c r="O741" s="26">
        <v>3499</v>
      </c>
      <c r="P741" s="22">
        <v>0.05</v>
      </c>
      <c r="Q741" s="30">
        <v>2190</v>
      </c>
      <c r="R741" s="33">
        <f>Table1_1[[#This Row],[Units Sold]]*Table1_1[[#This Row],[Unit Price]]*1-Table1_1[[#This Row],[Discount]]</f>
        <v>87474.95</v>
      </c>
      <c r="S741" s="33">
        <f>Table1_1[[#This Row],[Units Sold]]*Table1_1[[#This Row],[Unit Cost]]</f>
        <v>54750</v>
      </c>
      <c r="T741" s="33">
        <f>Table1_1[[#This Row],[Sales Amount]]-S741</f>
        <v>32724.949999999997</v>
      </c>
      <c r="U741" s="32">
        <f>IFERROR(Table1_1[[#This Row],[Profit/loss]]/Table1_1[[#This Row],[Sales Amount]],0)</f>
        <v>0.37410652992656751</v>
      </c>
    </row>
    <row r="742" spans="1:21" ht="18" x14ac:dyDescent="0.35">
      <c r="A742" s="21" t="s">
        <v>849</v>
      </c>
      <c r="B742" s="36">
        <v>45652</v>
      </c>
      <c r="C742" s="22">
        <f>YEAR(Table1_1[[#This Row],[Order Date]])</f>
        <v>2024</v>
      </c>
      <c r="D742" s="22" t="str">
        <f>TEXT(Table1_1[[#This Row],[Order Date]],"MMMM")</f>
        <v>December</v>
      </c>
      <c r="E742" s="22" t="s">
        <v>16</v>
      </c>
      <c r="F742" s="22" t="s">
        <v>98</v>
      </c>
      <c r="G742" s="22" t="s">
        <v>75</v>
      </c>
      <c r="H742" s="22" t="s">
        <v>29</v>
      </c>
      <c r="I742" s="22" t="s">
        <v>70</v>
      </c>
      <c r="J742" s="22" t="s">
        <v>71</v>
      </c>
      <c r="K742" s="22" t="s">
        <v>80</v>
      </c>
      <c r="L742" s="22" t="s">
        <v>23</v>
      </c>
      <c r="M742" s="22" t="s">
        <v>24</v>
      </c>
      <c r="N742" s="22">
        <v>5</v>
      </c>
      <c r="O742" s="26">
        <v>1299</v>
      </c>
      <c r="P742" s="22">
        <v>0.1</v>
      </c>
      <c r="Q742" s="30">
        <v>720</v>
      </c>
      <c r="R742" s="33">
        <f>Table1_1[[#This Row],[Units Sold]]*Table1_1[[#This Row],[Unit Price]]*1-Table1_1[[#This Row],[Discount]]</f>
        <v>6494.9</v>
      </c>
      <c r="S742" s="33">
        <f>Table1_1[[#This Row],[Units Sold]]*Table1_1[[#This Row],[Unit Cost]]</f>
        <v>3600</v>
      </c>
      <c r="T742" s="33">
        <f>Table1_1[[#This Row],[Sales Amount]]-S742</f>
        <v>2894.8999999999996</v>
      </c>
      <c r="U742" s="32">
        <f>IFERROR(Table1_1[[#This Row],[Profit/loss]]/Table1_1[[#This Row],[Sales Amount]],0)</f>
        <v>0.44571894871360601</v>
      </c>
    </row>
    <row r="743" spans="1:21" ht="18" x14ac:dyDescent="0.35">
      <c r="A743" s="21" t="s">
        <v>850</v>
      </c>
      <c r="B743" s="36">
        <v>45652</v>
      </c>
      <c r="C743" s="22">
        <f>YEAR(Table1_1[[#This Row],[Order Date]])</f>
        <v>2024</v>
      </c>
      <c r="D743" s="22" t="str">
        <f>TEXT(Table1_1[[#This Row],[Order Date]],"MMMM")</f>
        <v>December</v>
      </c>
      <c r="E743" s="22" t="s">
        <v>16</v>
      </c>
      <c r="F743" s="22" t="s">
        <v>17</v>
      </c>
      <c r="G743" s="22" t="s">
        <v>69</v>
      </c>
      <c r="H743" s="22" t="s">
        <v>29</v>
      </c>
      <c r="I743" s="22" t="s">
        <v>40</v>
      </c>
      <c r="J743" s="22" t="s">
        <v>64</v>
      </c>
      <c r="K743" s="22" t="s">
        <v>1619</v>
      </c>
      <c r="L743" s="22" t="s">
        <v>57</v>
      </c>
      <c r="M743" s="22" t="s">
        <v>78</v>
      </c>
      <c r="N743" s="22">
        <v>40</v>
      </c>
      <c r="O743" s="26">
        <v>1930</v>
      </c>
      <c r="P743" s="22">
        <v>0.12</v>
      </c>
      <c r="Q743" s="30">
        <v>1120</v>
      </c>
      <c r="R743" s="33">
        <f>Table1_1[[#This Row],[Units Sold]]*Table1_1[[#This Row],[Unit Price]]*1-Table1_1[[#This Row],[Discount]]</f>
        <v>77199.88</v>
      </c>
      <c r="S743" s="33">
        <f>Table1_1[[#This Row],[Units Sold]]*Table1_1[[#This Row],[Unit Cost]]</f>
        <v>44800</v>
      </c>
      <c r="T743" s="33">
        <f>Table1_1[[#This Row],[Sales Amount]]-S743</f>
        <v>32399.880000000005</v>
      </c>
      <c r="U743" s="32">
        <f>IFERROR(Table1_1[[#This Row],[Profit/loss]]/Table1_1[[#This Row],[Sales Amount]],0)</f>
        <v>0.41968821713194376</v>
      </c>
    </row>
    <row r="744" spans="1:21" ht="18" x14ac:dyDescent="0.35">
      <c r="A744" s="21" t="s">
        <v>851</v>
      </c>
      <c r="B744" s="36">
        <v>45652</v>
      </c>
      <c r="C744" s="22">
        <f>YEAR(Table1_1[[#This Row],[Order Date]])</f>
        <v>2024</v>
      </c>
      <c r="D744" s="22" t="str">
        <f>TEXT(Table1_1[[#This Row],[Order Date]],"MMMM")</f>
        <v>December</v>
      </c>
      <c r="E744" s="22" t="s">
        <v>36</v>
      </c>
      <c r="F744" s="22" t="s">
        <v>37</v>
      </c>
      <c r="G744" s="22" t="s">
        <v>60</v>
      </c>
      <c r="H744" s="22" t="s">
        <v>29</v>
      </c>
      <c r="I744" s="22" t="s">
        <v>54</v>
      </c>
      <c r="J744" s="22" t="s">
        <v>55</v>
      </c>
      <c r="K744" s="22" t="s">
        <v>148</v>
      </c>
      <c r="L744" s="22" t="s">
        <v>33</v>
      </c>
      <c r="M744" s="22" t="s">
        <v>34</v>
      </c>
      <c r="N744" s="22">
        <v>4</v>
      </c>
      <c r="O744" s="26">
        <v>4680</v>
      </c>
      <c r="P744" s="22">
        <v>0.1</v>
      </c>
      <c r="Q744" s="30">
        <v>3250</v>
      </c>
      <c r="R744" s="33">
        <f>Table1_1[[#This Row],[Units Sold]]*Table1_1[[#This Row],[Unit Price]]*1-Table1_1[[#This Row],[Discount]]</f>
        <v>18719.900000000001</v>
      </c>
      <c r="S744" s="33">
        <f>Table1_1[[#This Row],[Units Sold]]*Table1_1[[#This Row],[Unit Cost]]</f>
        <v>13000</v>
      </c>
      <c r="T744" s="33">
        <f>Table1_1[[#This Row],[Sales Amount]]-S744</f>
        <v>5719.9000000000015</v>
      </c>
      <c r="U744" s="32">
        <f>IFERROR(Table1_1[[#This Row],[Profit/loss]]/Table1_1[[#This Row],[Sales Amount]],0)</f>
        <v>0.30555184589661277</v>
      </c>
    </row>
    <row r="745" spans="1:21" ht="18" x14ac:dyDescent="0.35">
      <c r="A745" s="21" t="s">
        <v>852</v>
      </c>
      <c r="B745" s="36">
        <v>45654</v>
      </c>
      <c r="C745" s="22">
        <f>YEAR(Table1_1[[#This Row],[Order Date]])</f>
        <v>2024</v>
      </c>
      <c r="D745" s="22" t="str">
        <f>TEXT(Table1_1[[#This Row],[Order Date]],"MMMM")</f>
        <v>December</v>
      </c>
      <c r="E745" s="22" t="s">
        <v>48</v>
      </c>
      <c r="F745" s="22" t="s">
        <v>49</v>
      </c>
      <c r="G745" s="22" t="s">
        <v>69</v>
      </c>
      <c r="H745" s="22" t="s">
        <v>19</v>
      </c>
      <c r="I745" s="22" t="s">
        <v>54</v>
      </c>
      <c r="J745" s="22" t="s">
        <v>129</v>
      </c>
      <c r="K745" s="22" t="s">
        <v>145</v>
      </c>
      <c r="L745" s="22" t="s">
        <v>57</v>
      </c>
      <c r="M745" s="22" t="s">
        <v>78</v>
      </c>
      <c r="N745" s="22">
        <v>1</v>
      </c>
      <c r="O745" s="26">
        <v>31490</v>
      </c>
      <c r="P745" s="22">
        <v>0.15</v>
      </c>
      <c r="Q745" s="30">
        <v>21300</v>
      </c>
      <c r="R745" s="33">
        <f>Table1_1[[#This Row],[Units Sold]]*Table1_1[[#This Row],[Unit Price]]*1-Table1_1[[#This Row],[Discount]]</f>
        <v>31489.85</v>
      </c>
      <c r="S745" s="33">
        <f>Table1_1[[#This Row],[Units Sold]]*Table1_1[[#This Row],[Unit Cost]]</f>
        <v>21300</v>
      </c>
      <c r="T745" s="33">
        <f>Table1_1[[#This Row],[Sales Amount]]-S745</f>
        <v>10189.849999999999</v>
      </c>
      <c r="U745" s="32">
        <f>IFERROR(Table1_1[[#This Row],[Profit/loss]]/Table1_1[[#This Row],[Sales Amount]],0)</f>
        <v>0.32359156998207356</v>
      </c>
    </row>
    <row r="746" spans="1:21" ht="18" x14ac:dyDescent="0.35">
      <c r="A746" s="21" t="s">
        <v>853</v>
      </c>
      <c r="B746" s="36">
        <v>45654</v>
      </c>
      <c r="C746" s="22">
        <f>YEAR(Table1_1[[#This Row],[Order Date]])</f>
        <v>2024</v>
      </c>
      <c r="D746" s="22" t="str">
        <f>TEXT(Table1_1[[#This Row],[Order Date]],"MMMM")</f>
        <v>December</v>
      </c>
      <c r="E746" s="22" t="s">
        <v>48</v>
      </c>
      <c r="F746" s="22" t="s">
        <v>49</v>
      </c>
      <c r="G746" s="22" t="s">
        <v>105</v>
      </c>
      <c r="H746" s="22" t="s">
        <v>39</v>
      </c>
      <c r="I746" s="22" t="s">
        <v>54</v>
      </c>
      <c r="J746" s="22" t="s">
        <v>90</v>
      </c>
      <c r="K746" s="22" t="s">
        <v>1631</v>
      </c>
      <c r="L746" s="22" t="s">
        <v>57</v>
      </c>
      <c r="M746" s="22" t="s">
        <v>24</v>
      </c>
      <c r="N746" s="22">
        <v>14</v>
      </c>
      <c r="O746" s="26">
        <v>29010</v>
      </c>
      <c r="P746" s="22">
        <v>0.15</v>
      </c>
      <c r="Q746" s="30">
        <v>19150</v>
      </c>
      <c r="R746" s="33">
        <f>Table1_1[[#This Row],[Units Sold]]*Table1_1[[#This Row],[Unit Price]]*1-Table1_1[[#This Row],[Discount]]</f>
        <v>406139.85</v>
      </c>
      <c r="S746" s="33">
        <f>Table1_1[[#This Row],[Units Sold]]*Table1_1[[#This Row],[Unit Cost]]</f>
        <v>268100</v>
      </c>
      <c r="T746" s="33">
        <f>Table1_1[[#This Row],[Sales Amount]]-S746</f>
        <v>138039.84999999998</v>
      </c>
      <c r="U746" s="32">
        <f>IFERROR(Table1_1[[#This Row],[Profit/loss]]/Table1_1[[#This Row],[Sales Amount]],0)</f>
        <v>0.33988255523312966</v>
      </c>
    </row>
    <row r="747" spans="1:21" ht="18" x14ac:dyDescent="0.35">
      <c r="A747" s="21" t="s">
        <v>854</v>
      </c>
      <c r="B747" s="36">
        <v>45654</v>
      </c>
      <c r="C747" s="22">
        <f>YEAR(Table1_1[[#This Row],[Order Date]])</f>
        <v>2024</v>
      </c>
      <c r="D747" s="22" t="str">
        <f>TEXT(Table1_1[[#This Row],[Order Date]],"MMMM")</f>
        <v>December</v>
      </c>
      <c r="E747" s="22" t="s">
        <v>48</v>
      </c>
      <c r="F747" s="22" t="s">
        <v>136</v>
      </c>
      <c r="G747" s="22" t="s">
        <v>18</v>
      </c>
      <c r="H747" s="22" t="s">
        <v>19</v>
      </c>
      <c r="I747" s="22" t="s">
        <v>54</v>
      </c>
      <c r="J747" s="22" t="s">
        <v>129</v>
      </c>
      <c r="K747" s="22" t="s">
        <v>1630</v>
      </c>
      <c r="L747" s="22" t="s">
        <v>23</v>
      </c>
      <c r="M747" s="22" t="s">
        <v>24</v>
      </c>
      <c r="N747" s="22">
        <v>14</v>
      </c>
      <c r="O747" s="26">
        <v>29010</v>
      </c>
      <c r="P747" s="22">
        <v>0.15</v>
      </c>
      <c r="Q747" s="30">
        <v>19100</v>
      </c>
      <c r="R747" s="33">
        <f>Table1_1[[#This Row],[Units Sold]]*Table1_1[[#This Row],[Unit Price]]*1-Table1_1[[#This Row],[Discount]]</f>
        <v>406139.85</v>
      </c>
      <c r="S747" s="33">
        <f>Table1_1[[#This Row],[Units Sold]]*Table1_1[[#This Row],[Unit Cost]]</f>
        <v>267400</v>
      </c>
      <c r="T747" s="33">
        <f>Table1_1[[#This Row],[Sales Amount]]-S747</f>
        <v>138739.84999999998</v>
      </c>
      <c r="U747" s="32">
        <f>IFERROR(Table1_1[[#This Row],[Profit/loss]]/Table1_1[[#This Row],[Sales Amount]],0)</f>
        <v>0.34160609947534076</v>
      </c>
    </row>
    <row r="748" spans="1:21" ht="18" x14ac:dyDescent="0.35">
      <c r="A748" s="21" t="s">
        <v>855</v>
      </c>
      <c r="B748" s="36">
        <v>45655</v>
      </c>
      <c r="C748" s="22">
        <f>YEAR(Table1_1[[#This Row],[Order Date]])</f>
        <v>2024</v>
      </c>
      <c r="D748" s="22" t="str">
        <f>TEXT(Table1_1[[#This Row],[Order Date]],"MMMM")</f>
        <v>December</v>
      </c>
      <c r="E748" s="22" t="s">
        <v>48</v>
      </c>
      <c r="F748" s="22" t="s">
        <v>136</v>
      </c>
      <c r="G748" s="22" t="s">
        <v>101</v>
      </c>
      <c r="H748" s="22" t="s">
        <v>29</v>
      </c>
      <c r="I748" s="22" t="s">
        <v>70</v>
      </c>
      <c r="J748" s="22" t="s">
        <v>71</v>
      </c>
      <c r="K748" s="22" t="s">
        <v>72</v>
      </c>
      <c r="L748" s="22" t="s">
        <v>57</v>
      </c>
      <c r="M748" s="22" t="s">
        <v>24</v>
      </c>
      <c r="N748" s="22">
        <v>6</v>
      </c>
      <c r="O748" s="26">
        <v>3499</v>
      </c>
      <c r="P748" s="22">
        <v>0.1</v>
      </c>
      <c r="Q748" s="30">
        <v>2190</v>
      </c>
      <c r="R748" s="33">
        <f>Table1_1[[#This Row],[Units Sold]]*Table1_1[[#This Row],[Unit Price]]*1-Table1_1[[#This Row],[Discount]]</f>
        <v>20993.9</v>
      </c>
      <c r="S748" s="33">
        <f>Table1_1[[#This Row],[Units Sold]]*Table1_1[[#This Row],[Unit Cost]]</f>
        <v>13140</v>
      </c>
      <c r="T748" s="33">
        <f>Table1_1[[#This Row],[Sales Amount]]-S748</f>
        <v>7853.9000000000015</v>
      </c>
      <c r="U748" s="32">
        <f>IFERROR(Table1_1[[#This Row],[Profit/loss]]/Table1_1[[#This Row],[Sales Amount]],0)</f>
        <v>0.37410390637280355</v>
      </c>
    </row>
    <row r="749" spans="1:21" ht="18" x14ac:dyDescent="0.35">
      <c r="A749" s="21" t="s">
        <v>856</v>
      </c>
      <c r="B749" s="36">
        <v>45656</v>
      </c>
      <c r="C749" s="22">
        <f>YEAR(Table1_1[[#This Row],[Order Date]])</f>
        <v>2024</v>
      </c>
      <c r="D749" s="22" t="str">
        <f>TEXT(Table1_1[[#This Row],[Order Date]],"MMMM")</f>
        <v>December</v>
      </c>
      <c r="E749" s="22" t="s">
        <v>82</v>
      </c>
      <c r="F749" s="22" t="s">
        <v>100</v>
      </c>
      <c r="G749" s="22" t="s">
        <v>50</v>
      </c>
      <c r="H749" s="22" t="s">
        <v>29</v>
      </c>
      <c r="I749" s="22" t="s">
        <v>30</v>
      </c>
      <c r="J749" s="22" t="s">
        <v>61</v>
      </c>
      <c r="K749" s="22" t="s">
        <v>62</v>
      </c>
      <c r="L749" s="22" t="s">
        <v>57</v>
      </c>
      <c r="M749" s="22" t="s">
        <v>24</v>
      </c>
      <c r="N749" s="22">
        <v>36</v>
      </c>
      <c r="O749" s="26">
        <v>12490</v>
      </c>
      <c r="P749" s="22">
        <v>0.05</v>
      </c>
      <c r="Q749" s="30">
        <v>7900</v>
      </c>
      <c r="R749" s="33">
        <f>Table1_1[[#This Row],[Units Sold]]*Table1_1[[#This Row],[Unit Price]]*1-Table1_1[[#This Row],[Discount]]</f>
        <v>449639.95</v>
      </c>
      <c r="S749" s="33">
        <f>Table1_1[[#This Row],[Units Sold]]*Table1_1[[#This Row],[Unit Cost]]</f>
        <v>284400</v>
      </c>
      <c r="T749" s="33">
        <f>Table1_1[[#This Row],[Sales Amount]]-S749</f>
        <v>165239.95000000001</v>
      </c>
      <c r="U749" s="32">
        <f>IFERROR(Table1_1[[#This Row],[Profit/loss]]/Table1_1[[#This Row],[Sales Amount]],0)</f>
        <v>0.36749392486143639</v>
      </c>
    </row>
    <row r="750" spans="1:21" ht="18" x14ac:dyDescent="0.35">
      <c r="A750" s="21" t="s">
        <v>857</v>
      </c>
      <c r="B750" s="36">
        <v>45656</v>
      </c>
      <c r="C750" s="22">
        <f>YEAR(Table1_1[[#This Row],[Order Date]])</f>
        <v>2024</v>
      </c>
      <c r="D750" s="22" t="str">
        <f>TEXT(Table1_1[[#This Row],[Order Date]],"MMMM")</f>
        <v>December</v>
      </c>
      <c r="E750" s="22" t="s">
        <v>16</v>
      </c>
      <c r="F750" s="22" t="s">
        <v>98</v>
      </c>
      <c r="G750" s="22" t="s">
        <v>28</v>
      </c>
      <c r="H750" s="22" t="s">
        <v>29</v>
      </c>
      <c r="I750" s="22" t="s">
        <v>30</v>
      </c>
      <c r="J750" s="22" t="s">
        <v>31</v>
      </c>
      <c r="K750" s="22" t="s">
        <v>106</v>
      </c>
      <c r="L750" s="22" t="s">
        <v>57</v>
      </c>
      <c r="M750" s="22" t="s">
        <v>24</v>
      </c>
      <c r="N750" s="22">
        <v>17</v>
      </c>
      <c r="O750" s="26">
        <v>52990</v>
      </c>
      <c r="P750" s="22">
        <v>0.18</v>
      </c>
      <c r="Q750" s="30">
        <v>35100</v>
      </c>
      <c r="R750" s="33">
        <f>Table1_1[[#This Row],[Units Sold]]*Table1_1[[#This Row],[Unit Price]]*1-Table1_1[[#This Row],[Discount]]</f>
        <v>900829.82</v>
      </c>
      <c r="S750" s="33">
        <f>Table1_1[[#This Row],[Units Sold]]*Table1_1[[#This Row],[Unit Cost]]</f>
        <v>596700</v>
      </c>
      <c r="T750" s="33">
        <f>Table1_1[[#This Row],[Sales Amount]]-S750</f>
        <v>304129.81999999995</v>
      </c>
      <c r="U750" s="32">
        <f>IFERROR(Table1_1[[#This Row],[Profit/loss]]/Table1_1[[#This Row],[Sales Amount]],0)</f>
        <v>0.33761073761967603</v>
      </c>
    </row>
    <row r="751" spans="1:21" ht="18" x14ac:dyDescent="0.35">
      <c r="A751" s="21" t="s">
        <v>858</v>
      </c>
      <c r="B751" s="36">
        <v>45656</v>
      </c>
      <c r="C751" s="22">
        <f>YEAR(Table1_1[[#This Row],[Order Date]])</f>
        <v>2024</v>
      </c>
      <c r="D751" s="22" t="str">
        <f>TEXT(Table1_1[[#This Row],[Order Date]],"MMMM")</f>
        <v>December</v>
      </c>
      <c r="E751" s="22" t="s">
        <v>36</v>
      </c>
      <c r="F751" s="22" t="s">
        <v>37</v>
      </c>
      <c r="G751" s="22" t="s">
        <v>105</v>
      </c>
      <c r="H751" s="22" t="s">
        <v>19</v>
      </c>
      <c r="I751" s="22" t="s">
        <v>70</v>
      </c>
      <c r="J751" s="22" t="s">
        <v>71</v>
      </c>
      <c r="K751" s="22" t="s">
        <v>80</v>
      </c>
      <c r="L751" s="22" t="s">
        <v>33</v>
      </c>
      <c r="M751" s="22" t="s">
        <v>78</v>
      </c>
      <c r="N751" s="22">
        <v>30</v>
      </c>
      <c r="O751" s="26">
        <v>1299</v>
      </c>
      <c r="P751" s="22">
        <v>0.15</v>
      </c>
      <c r="Q751" s="30">
        <v>720</v>
      </c>
      <c r="R751" s="33">
        <f>Table1_1[[#This Row],[Units Sold]]*Table1_1[[#This Row],[Unit Price]]*1-Table1_1[[#This Row],[Discount]]</f>
        <v>38969.85</v>
      </c>
      <c r="S751" s="33">
        <f>Table1_1[[#This Row],[Units Sold]]*Table1_1[[#This Row],[Unit Cost]]</f>
        <v>21600</v>
      </c>
      <c r="T751" s="33">
        <f>Table1_1[[#This Row],[Sales Amount]]-S751</f>
        <v>17369.849999999999</v>
      </c>
      <c r="U751" s="32">
        <f>IFERROR(Table1_1[[#This Row],[Profit/loss]]/Table1_1[[#This Row],[Sales Amount]],0)</f>
        <v>0.44572534921227563</v>
      </c>
    </row>
    <row r="752" spans="1:21" ht="18" x14ac:dyDescent="0.35">
      <c r="A752" s="21" t="s">
        <v>859</v>
      </c>
      <c r="B752" s="36">
        <v>45658</v>
      </c>
      <c r="C752" s="22">
        <f>YEAR(Table1_1[[#This Row],[Order Date]])</f>
        <v>2025</v>
      </c>
      <c r="D752" s="22" t="str">
        <f>TEXT(Table1_1[[#This Row],[Order Date]],"MMMM")</f>
        <v>January</v>
      </c>
      <c r="E752" s="22" t="s">
        <v>82</v>
      </c>
      <c r="F752" s="22" t="s">
        <v>83</v>
      </c>
      <c r="G752" s="22" t="s">
        <v>101</v>
      </c>
      <c r="H752" s="22" t="s">
        <v>39</v>
      </c>
      <c r="I752" s="22" t="s">
        <v>40</v>
      </c>
      <c r="J752" s="22" t="s">
        <v>76</v>
      </c>
      <c r="K752" s="22" t="s">
        <v>1620</v>
      </c>
      <c r="L752" s="22" t="s">
        <v>23</v>
      </c>
      <c r="M752" s="22" t="s">
        <v>24</v>
      </c>
      <c r="N752" s="22">
        <v>8</v>
      </c>
      <c r="O752" s="26">
        <v>52990</v>
      </c>
      <c r="P752" s="22">
        <v>0.05</v>
      </c>
      <c r="Q752" s="30">
        <v>39500</v>
      </c>
      <c r="R752" s="33">
        <f>Table1_1[[#This Row],[Units Sold]]*Table1_1[[#This Row],[Unit Price]]*1-Table1_1[[#This Row],[Discount]]</f>
        <v>423919.95</v>
      </c>
      <c r="S752" s="33">
        <f>Table1_1[[#This Row],[Units Sold]]*Table1_1[[#This Row],[Unit Cost]]</f>
        <v>316000</v>
      </c>
      <c r="T752" s="33">
        <f>Table1_1[[#This Row],[Sales Amount]]-S752</f>
        <v>107919.95000000001</v>
      </c>
      <c r="U752" s="32">
        <f>IFERROR(Table1_1[[#This Row],[Profit/loss]]/Table1_1[[#This Row],[Sales Amount]],0)</f>
        <v>0.25457624723724376</v>
      </c>
    </row>
    <row r="753" spans="1:21" ht="18" x14ac:dyDescent="0.35">
      <c r="A753" s="21" t="s">
        <v>860</v>
      </c>
      <c r="B753" s="36">
        <v>45661</v>
      </c>
      <c r="C753" s="22">
        <f>YEAR(Table1_1[[#This Row],[Order Date]])</f>
        <v>2025</v>
      </c>
      <c r="D753" s="22" t="str">
        <f>TEXT(Table1_1[[#This Row],[Order Date]],"MMMM")</f>
        <v>January</v>
      </c>
      <c r="E753" s="22" t="s">
        <v>26</v>
      </c>
      <c r="F753" s="22" t="s">
        <v>74</v>
      </c>
      <c r="G753" s="22" t="s">
        <v>38</v>
      </c>
      <c r="H753" s="22" t="s">
        <v>39</v>
      </c>
      <c r="I753" s="22" t="s">
        <v>70</v>
      </c>
      <c r="J753" s="22" t="s">
        <v>71</v>
      </c>
      <c r="K753" s="22" t="s">
        <v>72</v>
      </c>
      <c r="L753" s="22" t="s">
        <v>33</v>
      </c>
      <c r="M753" s="22" t="s">
        <v>78</v>
      </c>
      <c r="N753" s="22">
        <v>13</v>
      </c>
      <c r="O753" s="26">
        <v>3499</v>
      </c>
      <c r="P753" s="22">
        <v>0.2</v>
      </c>
      <c r="Q753" s="30">
        <v>2190</v>
      </c>
      <c r="R753" s="33">
        <f>Table1_1[[#This Row],[Units Sold]]*Table1_1[[#This Row],[Unit Price]]*1-Table1_1[[#This Row],[Discount]]</f>
        <v>45486.8</v>
      </c>
      <c r="S753" s="33">
        <f>Table1_1[[#This Row],[Units Sold]]*Table1_1[[#This Row],[Unit Cost]]</f>
        <v>28470</v>
      </c>
      <c r="T753" s="33">
        <f>Table1_1[[#This Row],[Sales Amount]]-S753</f>
        <v>17016.800000000003</v>
      </c>
      <c r="U753" s="32">
        <f>IFERROR(Table1_1[[#This Row],[Profit/loss]]/Table1_1[[#This Row],[Sales Amount]],0)</f>
        <v>0.37410413570530354</v>
      </c>
    </row>
    <row r="754" spans="1:21" ht="18" x14ac:dyDescent="0.35">
      <c r="A754" s="21" t="s">
        <v>861</v>
      </c>
      <c r="B754" s="36">
        <v>45661</v>
      </c>
      <c r="C754" s="22">
        <f>YEAR(Table1_1[[#This Row],[Order Date]])</f>
        <v>2025</v>
      </c>
      <c r="D754" s="22" t="str">
        <f>TEXT(Table1_1[[#This Row],[Order Date]],"MMMM")</f>
        <v>January</v>
      </c>
      <c r="E754" s="22" t="s">
        <v>36</v>
      </c>
      <c r="F754" s="22" t="s">
        <v>44</v>
      </c>
      <c r="G754" s="22" t="s">
        <v>18</v>
      </c>
      <c r="H754" s="22" t="s">
        <v>19</v>
      </c>
      <c r="I754" s="22" t="s">
        <v>70</v>
      </c>
      <c r="J754" s="22" t="s">
        <v>71</v>
      </c>
      <c r="K754" s="22" t="s">
        <v>72</v>
      </c>
      <c r="L754" s="22" t="s">
        <v>23</v>
      </c>
      <c r="M754" s="22" t="s">
        <v>34</v>
      </c>
      <c r="N754" s="22">
        <v>4</v>
      </c>
      <c r="O754" s="26">
        <v>3499</v>
      </c>
      <c r="P754" s="22">
        <v>0.1</v>
      </c>
      <c r="Q754" s="30">
        <v>2190</v>
      </c>
      <c r="R754" s="33">
        <f>Table1_1[[#This Row],[Units Sold]]*Table1_1[[#This Row],[Unit Price]]*1-Table1_1[[#This Row],[Discount]]</f>
        <v>13995.9</v>
      </c>
      <c r="S754" s="33">
        <f>Table1_1[[#This Row],[Units Sold]]*Table1_1[[#This Row],[Unit Cost]]</f>
        <v>8760</v>
      </c>
      <c r="T754" s="33">
        <f>Table1_1[[#This Row],[Sales Amount]]-S754</f>
        <v>5235.8999999999996</v>
      </c>
      <c r="U754" s="32">
        <f>IFERROR(Table1_1[[#This Row],[Profit/loss]]/Table1_1[[#This Row],[Sales Amount]],0)</f>
        <v>0.37410241570745717</v>
      </c>
    </row>
    <row r="755" spans="1:21" ht="18" x14ac:dyDescent="0.35">
      <c r="A755" s="21" t="s">
        <v>862</v>
      </c>
      <c r="B755" s="36">
        <v>45662</v>
      </c>
      <c r="C755" s="22">
        <f>YEAR(Table1_1[[#This Row],[Order Date]])</f>
        <v>2025</v>
      </c>
      <c r="D755" s="22" t="str">
        <f>TEXT(Table1_1[[#This Row],[Order Date]],"MMMM")</f>
        <v>January</v>
      </c>
      <c r="E755" s="22" t="s">
        <v>16</v>
      </c>
      <c r="F755" s="22" t="s">
        <v>111</v>
      </c>
      <c r="G755" s="22" t="s">
        <v>101</v>
      </c>
      <c r="H755" s="22" t="s">
        <v>39</v>
      </c>
      <c r="I755" s="22" t="s">
        <v>30</v>
      </c>
      <c r="J755" s="22" t="s">
        <v>61</v>
      </c>
      <c r="K755" s="22" t="s">
        <v>62</v>
      </c>
      <c r="L755" s="22" t="s">
        <v>23</v>
      </c>
      <c r="M755" s="22" t="s">
        <v>24</v>
      </c>
      <c r="N755" s="22">
        <v>35</v>
      </c>
      <c r="O755" s="26">
        <v>12490</v>
      </c>
      <c r="P755" s="22">
        <v>0.1</v>
      </c>
      <c r="Q755" s="30">
        <v>7900</v>
      </c>
      <c r="R755" s="33">
        <f>Table1_1[[#This Row],[Units Sold]]*Table1_1[[#This Row],[Unit Price]]*1-Table1_1[[#This Row],[Discount]]</f>
        <v>437149.9</v>
      </c>
      <c r="S755" s="33">
        <f>Table1_1[[#This Row],[Units Sold]]*Table1_1[[#This Row],[Unit Cost]]</f>
        <v>276500</v>
      </c>
      <c r="T755" s="33">
        <f>Table1_1[[#This Row],[Sales Amount]]-S755</f>
        <v>160649.90000000002</v>
      </c>
      <c r="U755" s="32">
        <f>IFERROR(Table1_1[[#This Row],[Profit/loss]]/Table1_1[[#This Row],[Sales Amount]],0)</f>
        <v>0.36749385050757194</v>
      </c>
    </row>
    <row r="756" spans="1:21" ht="18" x14ac:dyDescent="0.35">
      <c r="A756" s="21" t="s">
        <v>863</v>
      </c>
      <c r="B756" s="36">
        <v>45662</v>
      </c>
      <c r="C756" s="22">
        <f>YEAR(Table1_1[[#This Row],[Order Date]])</f>
        <v>2025</v>
      </c>
      <c r="D756" s="22" t="str">
        <f>TEXT(Table1_1[[#This Row],[Order Date]],"MMMM")</f>
        <v>January</v>
      </c>
      <c r="E756" s="22" t="s">
        <v>26</v>
      </c>
      <c r="F756" s="22" t="s">
        <v>163</v>
      </c>
      <c r="G756" s="22" t="s">
        <v>50</v>
      </c>
      <c r="H756" s="22" t="s">
        <v>39</v>
      </c>
      <c r="I756" s="22" t="s">
        <v>70</v>
      </c>
      <c r="J756" s="22" t="s">
        <v>71</v>
      </c>
      <c r="K756" s="22" t="s">
        <v>88</v>
      </c>
      <c r="L756" s="22" t="s">
        <v>33</v>
      </c>
      <c r="M756" s="22" t="s">
        <v>24</v>
      </c>
      <c r="N756" s="22">
        <v>6</v>
      </c>
      <c r="O756" s="26">
        <v>999</v>
      </c>
      <c r="P756" s="22">
        <v>0.05</v>
      </c>
      <c r="Q756" s="30">
        <v>540</v>
      </c>
      <c r="R756" s="33">
        <f>Table1_1[[#This Row],[Units Sold]]*Table1_1[[#This Row],[Unit Price]]*1-Table1_1[[#This Row],[Discount]]</f>
        <v>5993.95</v>
      </c>
      <c r="S756" s="33">
        <f>Table1_1[[#This Row],[Units Sold]]*Table1_1[[#This Row],[Unit Cost]]</f>
        <v>3240</v>
      </c>
      <c r="T756" s="33">
        <f>Table1_1[[#This Row],[Sales Amount]]-S756</f>
        <v>2753.95</v>
      </c>
      <c r="U756" s="32">
        <f>IFERROR(Table1_1[[#This Row],[Profit/loss]]/Table1_1[[#This Row],[Sales Amount]],0)</f>
        <v>0.4594549504083284</v>
      </c>
    </row>
    <row r="757" spans="1:21" ht="18" x14ac:dyDescent="0.35">
      <c r="A757" s="21" t="s">
        <v>864</v>
      </c>
      <c r="B757" s="36">
        <v>45663</v>
      </c>
      <c r="C757" s="22">
        <f>YEAR(Table1_1[[#This Row],[Order Date]])</f>
        <v>2025</v>
      </c>
      <c r="D757" s="22" t="str">
        <f>TEXT(Table1_1[[#This Row],[Order Date]],"MMMM")</f>
        <v>January</v>
      </c>
      <c r="E757" s="22" t="s">
        <v>36</v>
      </c>
      <c r="F757" s="22" t="s">
        <v>59</v>
      </c>
      <c r="G757" s="22" t="s">
        <v>75</v>
      </c>
      <c r="H757" s="22" t="s">
        <v>29</v>
      </c>
      <c r="I757" s="22" t="s">
        <v>30</v>
      </c>
      <c r="J757" s="22" t="s">
        <v>61</v>
      </c>
      <c r="K757" s="22" t="s">
        <v>62</v>
      </c>
      <c r="L757" s="22" t="s">
        <v>33</v>
      </c>
      <c r="M757" s="22" t="s">
        <v>24</v>
      </c>
      <c r="N757" s="22">
        <v>14</v>
      </c>
      <c r="O757" s="26">
        <v>12490</v>
      </c>
      <c r="P757" s="22">
        <v>0.15</v>
      </c>
      <c r="Q757" s="30">
        <v>7900</v>
      </c>
      <c r="R757" s="33">
        <f>Table1_1[[#This Row],[Units Sold]]*Table1_1[[#This Row],[Unit Price]]*1-Table1_1[[#This Row],[Discount]]</f>
        <v>174859.85</v>
      </c>
      <c r="S757" s="33">
        <f>Table1_1[[#This Row],[Units Sold]]*Table1_1[[#This Row],[Unit Cost]]</f>
        <v>110600</v>
      </c>
      <c r="T757" s="33">
        <f>Table1_1[[#This Row],[Sales Amount]]-S757</f>
        <v>64259.850000000006</v>
      </c>
      <c r="U757" s="32">
        <f>IFERROR(Table1_1[[#This Row],[Profit/loss]]/Table1_1[[#This Row],[Sales Amount]],0)</f>
        <v>0.36749345261362171</v>
      </c>
    </row>
    <row r="758" spans="1:21" ht="18" x14ac:dyDescent="0.35">
      <c r="A758" s="21" t="s">
        <v>865</v>
      </c>
      <c r="B758" s="36">
        <v>45663</v>
      </c>
      <c r="C758" s="22">
        <f>YEAR(Table1_1[[#This Row],[Order Date]])</f>
        <v>2025</v>
      </c>
      <c r="D758" s="22" t="str">
        <f>TEXT(Table1_1[[#This Row],[Order Date]],"MMMM")</f>
        <v>January</v>
      </c>
      <c r="E758" s="22" t="s">
        <v>26</v>
      </c>
      <c r="F758" s="22" t="s">
        <v>74</v>
      </c>
      <c r="G758" s="22" t="s">
        <v>28</v>
      </c>
      <c r="H758" s="22" t="s">
        <v>39</v>
      </c>
      <c r="I758" s="22" t="s">
        <v>54</v>
      </c>
      <c r="J758" s="22" t="s">
        <v>129</v>
      </c>
      <c r="K758" s="22" t="s">
        <v>145</v>
      </c>
      <c r="L758" s="22" t="s">
        <v>57</v>
      </c>
      <c r="M758" s="22" t="s">
        <v>66</v>
      </c>
      <c r="N758" s="22">
        <v>37</v>
      </c>
      <c r="O758" s="26">
        <v>31490</v>
      </c>
      <c r="P758" s="22">
        <v>0.12</v>
      </c>
      <c r="Q758" s="30">
        <v>21300</v>
      </c>
      <c r="R758" s="33">
        <f>Table1_1[[#This Row],[Units Sold]]*Table1_1[[#This Row],[Unit Price]]*1-Table1_1[[#This Row],[Discount]]</f>
        <v>1165129.8799999999</v>
      </c>
      <c r="S758" s="33">
        <f>Table1_1[[#This Row],[Units Sold]]*Table1_1[[#This Row],[Unit Cost]]</f>
        <v>788100</v>
      </c>
      <c r="T758" s="33">
        <f>Table1_1[[#This Row],[Sales Amount]]-S758</f>
        <v>377029.87999999989</v>
      </c>
      <c r="U758" s="32">
        <f>IFERROR(Table1_1[[#This Row],[Profit/loss]]/Table1_1[[#This Row],[Sales Amount]],0)</f>
        <v>0.32359472233258657</v>
      </c>
    </row>
    <row r="759" spans="1:21" ht="18" x14ac:dyDescent="0.35">
      <c r="A759" s="21" t="s">
        <v>866</v>
      </c>
      <c r="B759" s="36">
        <v>45663</v>
      </c>
      <c r="C759" s="22">
        <f>YEAR(Table1_1[[#This Row],[Order Date]])</f>
        <v>2025</v>
      </c>
      <c r="D759" s="22" t="str">
        <f>TEXT(Table1_1[[#This Row],[Order Date]],"MMMM")</f>
        <v>January</v>
      </c>
      <c r="E759" s="22" t="s">
        <v>26</v>
      </c>
      <c r="F759" s="22" t="s">
        <v>163</v>
      </c>
      <c r="G759" s="22" t="s">
        <v>28</v>
      </c>
      <c r="H759" s="22" t="s">
        <v>19</v>
      </c>
      <c r="I759" s="22" t="s">
        <v>40</v>
      </c>
      <c r="J759" s="22" t="s">
        <v>76</v>
      </c>
      <c r="K759" s="22" t="s">
        <v>1620</v>
      </c>
      <c r="L759" s="22" t="s">
        <v>33</v>
      </c>
      <c r="M759" s="22" t="s">
        <v>24</v>
      </c>
      <c r="N759" s="22">
        <v>15</v>
      </c>
      <c r="O759" s="26">
        <v>52990</v>
      </c>
      <c r="P759" s="22">
        <v>0.05</v>
      </c>
      <c r="Q759" s="30">
        <v>39500</v>
      </c>
      <c r="R759" s="33">
        <f>Table1_1[[#This Row],[Units Sold]]*Table1_1[[#This Row],[Unit Price]]*1-Table1_1[[#This Row],[Discount]]</f>
        <v>794849.95</v>
      </c>
      <c r="S759" s="33">
        <f>Table1_1[[#This Row],[Units Sold]]*Table1_1[[#This Row],[Unit Cost]]</f>
        <v>592500</v>
      </c>
      <c r="T759" s="33">
        <f>Table1_1[[#This Row],[Sales Amount]]-S759</f>
        <v>202349.94999999995</v>
      </c>
      <c r="U759" s="32">
        <f>IFERROR(Table1_1[[#This Row],[Profit/loss]]/Table1_1[[#This Row],[Sales Amount]],0)</f>
        <v>0.25457628826673506</v>
      </c>
    </row>
    <row r="760" spans="1:21" ht="18" x14ac:dyDescent="0.35">
      <c r="A760" s="21" t="s">
        <v>867</v>
      </c>
      <c r="B760" s="36">
        <v>45663</v>
      </c>
      <c r="C760" s="22">
        <f>YEAR(Table1_1[[#This Row],[Order Date]])</f>
        <v>2025</v>
      </c>
      <c r="D760" s="22" t="str">
        <f>TEXT(Table1_1[[#This Row],[Order Date]],"MMMM")</f>
        <v>January</v>
      </c>
      <c r="E760" s="22" t="s">
        <v>48</v>
      </c>
      <c r="F760" s="22" t="s">
        <v>68</v>
      </c>
      <c r="G760" s="22" t="s">
        <v>105</v>
      </c>
      <c r="H760" s="22" t="s">
        <v>29</v>
      </c>
      <c r="I760" s="22" t="s">
        <v>30</v>
      </c>
      <c r="J760" s="22" t="s">
        <v>31</v>
      </c>
      <c r="K760" s="22" t="s">
        <v>85</v>
      </c>
      <c r="L760" s="22" t="s">
        <v>33</v>
      </c>
      <c r="M760" s="22" t="s">
        <v>24</v>
      </c>
      <c r="N760" s="22">
        <v>6</v>
      </c>
      <c r="O760" s="26">
        <v>43500</v>
      </c>
      <c r="P760" s="22">
        <v>0.15</v>
      </c>
      <c r="Q760" s="30">
        <v>29520</v>
      </c>
      <c r="R760" s="33">
        <f>Table1_1[[#This Row],[Units Sold]]*Table1_1[[#This Row],[Unit Price]]*1-Table1_1[[#This Row],[Discount]]</f>
        <v>260999.85</v>
      </c>
      <c r="S760" s="33">
        <f>Table1_1[[#This Row],[Units Sold]]*Table1_1[[#This Row],[Unit Cost]]</f>
        <v>177120</v>
      </c>
      <c r="T760" s="33">
        <f>Table1_1[[#This Row],[Sales Amount]]-S760</f>
        <v>83879.850000000006</v>
      </c>
      <c r="U760" s="32">
        <f>IFERROR(Table1_1[[#This Row],[Profit/loss]]/Table1_1[[#This Row],[Sales Amount]],0)</f>
        <v>0.32137892033271287</v>
      </c>
    </row>
    <row r="761" spans="1:21" ht="18" x14ac:dyDescent="0.35">
      <c r="A761" s="21" t="s">
        <v>868</v>
      </c>
      <c r="B761" s="36">
        <v>45663</v>
      </c>
      <c r="C761" s="22">
        <f>YEAR(Table1_1[[#This Row],[Order Date]])</f>
        <v>2025</v>
      </c>
      <c r="D761" s="22" t="str">
        <f>TEXT(Table1_1[[#This Row],[Order Date]],"MMMM")</f>
        <v>January</v>
      </c>
      <c r="E761" s="22" t="s">
        <v>48</v>
      </c>
      <c r="F761" s="22" t="s">
        <v>136</v>
      </c>
      <c r="G761" s="22" t="s">
        <v>60</v>
      </c>
      <c r="H761" s="22" t="s">
        <v>29</v>
      </c>
      <c r="I761" s="22" t="s">
        <v>54</v>
      </c>
      <c r="J761" s="22" t="s">
        <v>129</v>
      </c>
      <c r="K761" s="22" t="s">
        <v>1630</v>
      </c>
      <c r="L761" s="22" t="s">
        <v>33</v>
      </c>
      <c r="M761" s="22" t="s">
        <v>24</v>
      </c>
      <c r="N761" s="22">
        <v>26</v>
      </c>
      <c r="O761" s="26">
        <v>29010</v>
      </c>
      <c r="P761" s="22">
        <v>0.1</v>
      </c>
      <c r="Q761" s="30">
        <v>19100</v>
      </c>
      <c r="R761" s="33">
        <f>Table1_1[[#This Row],[Units Sold]]*Table1_1[[#This Row],[Unit Price]]*1-Table1_1[[#This Row],[Discount]]</f>
        <v>754259.9</v>
      </c>
      <c r="S761" s="33">
        <f>Table1_1[[#This Row],[Units Sold]]*Table1_1[[#This Row],[Unit Cost]]</f>
        <v>496600</v>
      </c>
      <c r="T761" s="33">
        <f>Table1_1[[#This Row],[Sales Amount]]-S761</f>
        <v>257659.90000000002</v>
      </c>
      <c r="U761" s="32">
        <f>IFERROR(Table1_1[[#This Row],[Profit/loss]]/Table1_1[[#This Row],[Sales Amount]],0)</f>
        <v>0.34160625535044353</v>
      </c>
    </row>
    <row r="762" spans="1:21" ht="18" x14ac:dyDescent="0.35">
      <c r="A762" s="21" t="s">
        <v>869</v>
      </c>
      <c r="B762" s="36">
        <v>45663</v>
      </c>
      <c r="C762" s="22">
        <f>YEAR(Table1_1[[#This Row],[Order Date]])</f>
        <v>2025</v>
      </c>
      <c r="D762" s="22" t="str">
        <f>TEXT(Table1_1[[#This Row],[Order Date]],"MMMM")</f>
        <v>January</v>
      </c>
      <c r="E762" s="22" t="s">
        <v>16</v>
      </c>
      <c r="F762" s="22" t="s">
        <v>126</v>
      </c>
      <c r="G762" s="22" t="s">
        <v>50</v>
      </c>
      <c r="H762" s="22" t="s">
        <v>39</v>
      </c>
      <c r="I762" s="22" t="s">
        <v>30</v>
      </c>
      <c r="J762" s="22" t="s">
        <v>61</v>
      </c>
      <c r="K762" s="22" t="s">
        <v>62</v>
      </c>
      <c r="L762" s="22" t="s">
        <v>23</v>
      </c>
      <c r="M762" s="22" t="s">
        <v>24</v>
      </c>
      <c r="N762" s="22">
        <v>27</v>
      </c>
      <c r="O762" s="26">
        <v>12490</v>
      </c>
      <c r="P762" s="22">
        <v>0.18</v>
      </c>
      <c r="Q762" s="30">
        <v>7900</v>
      </c>
      <c r="R762" s="33">
        <f>Table1_1[[#This Row],[Units Sold]]*Table1_1[[#This Row],[Unit Price]]*1-Table1_1[[#This Row],[Discount]]</f>
        <v>337229.82</v>
      </c>
      <c r="S762" s="33">
        <f>Table1_1[[#This Row],[Units Sold]]*Table1_1[[#This Row],[Unit Cost]]</f>
        <v>213300</v>
      </c>
      <c r="T762" s="33">
        <f>Table1_1[[#This Row],[Sales Amount]]-S762</f>
        <v>123929.82</v>
      </c>
      <c r="U762" s="32">
        <f>IFERROR(Table1_1[[#This Row],[Profit/loss]]/Table1_1[[#This Row],[Sales Amount]],0)</f>
        <v>0.36749365758935554</v>
      </c>
    </row>
    <row r="763" spans="1:21" ht="18" x14ac:dyDescent="0.35">
      <c r="A763" s="21" t="s">
        <v>870</v>
      </c>
      <c r="B763" s="36">
        <v>45665</v>
      </c>
      <c r="C763" s="22">
        <f>YEAR(Table1_1[[#This Row],[Order Date]])</f>
        <v>2025</v>
      </c>
      <c r="D763" s="22" t="str">
        <f>TEXT(Table1_1[[#This Row],[Order Date]],"MMMM")</f>
        <v>January</v>
      </c>
      <c r="E763" s="22" t="s">
        <v>48</v>
      </c>
      <c r="F763" s="22" t="s">
        <v>93</v>
      </c>
      <c r="G763" s="22" t="s">
        <v>69</v>
      </c>
      <c r="H763" s="22" t="s">
        <v>29</v>
      </c>
      <c r="I763" s="22" t="s">
        <v>30</v>
      </c>
      <c r="J763" s="22" t="s">
        <v>61</v>
      </c>
      <c r="K763" s="22" t="s">
        <v>96</v>
      </c>
      <c r="L763" s="22" t="s">
        <v>33</v>
      </c>
      <c r="M763" s="22" t="s">
        <v>78</v>
      </c>
      <c r="N763" s="22">
        <v>27</v>
      </c>
      <c r="O763" s="26">
        <v>25110</v>
      </c>
      <c r="P763" s="22">
        <v>0.05</v>
      </c>
      <c r="Q763" s="30">
        <v>16730</v>
      </c>
      <c r="R763" s="33">
        <f>Table1_1[[#This Row],[Units Sold]]*Table1_1[[#This Row],[Unit Price]]*1-Table1_1[[#This Row],[Discount]]</f>
        <v>677969.95</v>
      </c>
      <c r="S763" s="33">
        <f>Table1_1[[#This Row],[Units Sold]]*Table1_1[[#This Row],[Unit Cost]]</f>
        <v>451710</v>
      </c>
      <c r="T763" s="33">
        <f>Table1_1[[#This Row],[Sales Amount]]-S763</f>
        <v>226259.94999999995</v>
      </c>
      <c r="U763" s="32">
        <f>IFERROR(Table1_1[[#This Row],[Profit/loss]]/Table1_1[[#This Row],[Sales Amount]],0)</f>
        <v>0.33373153190639199</v>
      </c>
    </row>
    <row r="764" spans="1:21" ht="18" x14ac:dyDescent="0.35">
      <c r="A764" s="21" t="s">
        <v>871</v>
      </c>
      <c r="B764" s="36">
        <v>45666</v>
      </c>
      <c r="C764" s="22">
        <f>YEAR(Table1_1[[#This Row],[Order Date]])</f>
        <v>2025</v>
      </c>
      <c r="D764" s="22" t="str">
        <f>TEXT(Table1_1[[#This Row],[Order Date]],"MMMM")</f>
        <v>January</v>
      </c>
      <c r="E764" s="22" t="s">
        <v>26</v>
      </c>
      <c r="F764" s="22" t="s">
        <v>163</v>
      </c>
      <c r="G764" s="22" t="s">
        <v>105</v>
      </c>
      <c r="H764" s="22" t="s">
        <v>29</v>
      </c>
      <c r="I764" s="22" t="s">
        <v>40</v>
      </c>
      <c r="J764" s="22" t="s">
        <v>76</v>
      </c>
      <c r="K764" s="22" t="s">
        <v>1626</v>
      </c>
      <c r="L764" s="22" t="s">
        <v>23</v>
      </c>
      <c r="M764" s="22" t="s">
        <v>24</v>
      </c>
      <c r="N764" s="22">
        <v>12</v>
      </c>
      <c r="O764" s="26">
        <v>25999</v>
      </c>
      <c r="P764" s="22">
        <v>0.1</v>
      </c>
      <c r="Q764" s="30">
        <v>17800</v>
      </c>
      <c r="R764" s="33">
        <f>Table1_1[[#This Row],[Units Sold]]*Table1_1[[#This Row],[Unit Price]]*1-Table1_1[[#This Row],[Discount]]</f>
        <v>311987.90000000002</v>
      </c>
      <c r="S764" s="33">
        <f>Table1_1[[#This Row],[Units Sold]]*Table1_1[[#This Row],[Unit Cost]]</f>
        <v>213600</v>
      </c>
      <c r="T764" s="33">
        <f>Table1_1[[#This Row],[Sales Amount]]-S764</f>
        <v>98387.900000000023</v>
      </c>
      <c r="U764" s="32">
        <f>IFERROR(Table1_1[[#This Row],[Profit/loss]]/Table1_1[[#This Row],[Sales Amount]],0)</f>
        <v>0.31535806356592683</v>
      </c>
    </row>
    <row r="765" spans="1:21" ht="18" x14ac:dyDescent="0.35">
      <c r="A765" s="21" t="s">
        <v>872</v>
      </c>
      <c r="B765" s="36">
        <v>45666</v>
      </c>
      <c r="C765" s="22">
        <f>YEAR(Table1_1[[#This Row],[Order Date]])</f>
        <v>2025</v>
      </c>
      <c r="D765" s="22" t="str">
        <f>TEXT(Table1_1[[#This Row],[Order Date]],"MMMM")</f>
        <v>January</v>
      </c>
      <c r="E765" s="22" t="s">
        <v>16</v>
      </c>
      <c r="F765" s="22" t="s">
        <v>126</v>
      </c>
      <c r="G765" s="22" t="s">
        <v>60</v>
      </c>
      <c r="H765" s="22" t="s">
        <v>39</v>
      </c>
      <c r="I765" s="22" t="s">
        <v>30</v>
      </c>
      <c r="J765" s="22" t="s">
        <v>61</v>
      </c>
      <c r="K765" s="22" t="s">
        <v>96</v>
      </c>
      <c r="L765" s="22" t="s">
        <v>57</v>
      </c>
      <c r="M765" s="22" t="s">
        <v>24</v>
      </c>
      <c r="N765" s="22">
        <v>8</v>
      </c>
      <c r="O765" s="26">
        <v>25110</v>
      </c>
      <c r="P765" s="22">
        <v>0.08</v>
      </c>
      <c r="Q765" s="30">
        <v>16730</v>
      </c>
      <c r="R765" s="33">
        <f>Table1_1[[#This Row],[Units Sold]]*Table1_1[[#This Row],[Unit Price]]*1-Table1_1[[#This Row],[Discount]]</f>
        <v>200879.92</v>
      </c>
      <c r="S765" s="33">
        <f>Table1_1[[#This Row],[Units Sold]]*Table1_1[[#This Row],[Unit Cost]]</f>
        <v>133840</v>
      </c>
      <c r="T765" s="33">
        <f>Table1_1[[#This Row],[Sales Amount]]-S765</f>
        <v>67039.920000000013</v>
      </c>
      <c r="U765" s="32">
        <f>IFERROR(Table1_1[[#This Row],[Profit/loss]]/Table1_1[[#This Row],[Sales Amount]],0)</f>
        <v>0.33373131570343123</v>
      </c>
    </row>
    <row r="766" spans="1:21" ht="18" x14ac:dyDescent="0.35">
      <c r="A766" s="21" t="s">
        <v>873</v>
      </c>
      <c r="B766" s="36">
        <v>45667</v>
      </c>
      <c r="C766" s="22">
        <f>YEAR(Table1_1[[#This Row],[Order Date]])</f>
        <v>2025</v>
      </c>
      <c r="D766" s="22" t="str">
        <f>TEXT(Table1_1[[#This Row],[Order Date]],"MMMM")</f>
        <v>January</v>
      </c>
      <c r="E766" s="22" t="s">
        <v>36</v>
      </c>
      <c r="F766" s="22" t="s">
        <v>37</v>
      </c>
      <c r="G766" s="22" t="s">
        <v>18</v>
      </c>
      <c r="H766" s="22" t="s">
        <v>39</v>
      </c>
      <c r="I766" s="22" t="s">
        <v>70</v>
      </c>
      <c r="J766" s="22" t="s">
        <v>71</v>
      </c>
      <c r="K766" s="22" t="s">
        <v>88</v>
      </c>
      <c r="L766" s="22" t="s">
        <v>23</v>
      </c>
      <c r="M766" s="22" t="s">
        <v>24</v>
      </c>
      <c r="N766" s="22">
        <v>31</v>
      </c>
      <c r="O766" s="26">
        <v>999</v>
      </c>
      <c r="P766" s="22">
        <v>0.15</v>
      </c>
      <c r="Q766" s="30">
        <v>540</v>
      </c>
      <c r="R766" s="33">
        <f>Table1_1[[#This Row],[Units Sold]]*Table1_1[[#This Row],[Unit Price]]*1-Table1_1[[#This Row],[Discount]]</f>
        <v>30968.85</v>
      </c>
      <c r="S766" s="33">
        <f>Table1_1[[#This Row],[Units Sold]]*Table1_1[[#This Row],[Unit Cost]]</f>
        <v>16740</v>
      </c>
      <c r="T766" s="33">
        <f>Table1_1[[#This Row],[Sales Amount]]-S766</f>
        <v>14228.849999999999</v>
      </c>
      <c r="U766" s="32">
        <f>IFERROR(Table1_1[[#This Row],[Profit/loss]]/Table1_1[[#This Row],[Sales Amount]],0)</f>
        <v>0.45945684130989684</v>
      </c>
    </row>
    <row r="767" spans="1:21" ht="18" x14ac:dyDescent="0.35">
      <c r="A767" s="21" t="s">
        <v>874</v>
      </c>
      <c r="B767" s="36">
        <v>45669</v>
      </c>
      <c r="C767" s="22">
        <f>YEAR(Table1_1[[#This Row],[Order Date]])</f>
        <v>2025</v>
      </c>
      <c r="D767" s="22" t="str">
        <f>TEXT(Table1_1[[#This Row],[Order Date]],"MMMM")</f>
        <v>January</v>
      </c>
      <c r="E767" s="22" t="s">
        <v>48</v>
      </c>
      <c r="F767" s="22" t="s">
        <v>93</v>
      </c>
      <c r="G767" s="22" t="s">
        <v>38</v>
      </c>
      <c r="H767" s="22" t="s">
        <v>39</v>
      </c>
      <c r="I767" s="22" t="s">
        <v>40</v>
      </c>
      <c r="J767" s="22" t="s">
        <v>76</v>
      </c>
      <c r="K767" s="22" t="s">
        <v>1620</v>
      </c>
      <c r="L767" s="22" t="s">
        <v>23</v>
      </c>
      <c r="M767" s="22" t="s">
        <v>24</v>
      </c>
      <c r="N767" s="22">
        <v>28</v>
      </c>
      <c r="O767" s="26">
        <v>52990</v>
      </c>
      <c r="P767" s="22">
        <v>0.12</v>
      </c>
      <c r="Q767" s="30">
        <v>39500</v>
      </c>
      <c r="R767" s="33">
        <f>Table1_1[[#This Row],[Units Sold]]*Table1_1[[#This Row],[Unit Price]]*1-Table1_1[[#This Row],[Discount]]</f>
        <v>1483719.88</v>
      </c>
      <c r="S767" s="33">
        <f>Table1_1[[#This Row],[Units Sold]]*Table1_1[[#This Row],[Unit Cost]]</f>
        <v>1106000</v>
      </c>
      <c r="T767" s="33">
        <f>Table1_1[[#This Row],[Sales Amount]]-S767</f>
        <v>377719.87999999989</v>
      </c>
      <c r="U767" s="32">
        <f>IFERROR(Table1_1[[#This Row],[Profit/loss]]/Table1_1[[#This Row],[Sales Amount]],0)</f>
        <v>0.25457627486935064</v>
      </c>
    </row>
    <row r="768" spans="1:21" ht="18" x14ac:dyDescent="0.35">
      <c r="A768" s="21" t="s">
        <v>875</v>
      </c>
      <c r="B768" s="36">
        <v>45670</v>
      </c>
      <c r="C768" s="22">
        <f>YEAR(Table1_1[[#This Row],[Order Date]])</f>
        <v>2025</v>
      </c>
      <c r="D768" s="22" t="str">
        <f>TEXT(Table1_1[[#This Row],[Order Date]],"MMMM")</f>
        <v>January</v>
      </c>
      <c r="E768" s="22" t="s">
        <v>36</v>
      </c>
      <c r="F768" s="22" t="s">
        <v>59</v>
      </c>
      <c r="G768" s="22" t="s">
        <v>69</v>
      </c>
      <c r="H768" s="22" t="s">
        <v>39</v>
      </c>
      <c r="I768" s="22" t="s">
        <v>40</v>
      </c>
      <c r="J768" s="22" t="s">
        <v>76</v>
      </c>
      <c r="K768" s="22" t="s">
        <v>1626</v>
      </c>
      <c r="L768" s="22" t="s">
        <v>57</v>
      </c>
      <c r="M768" s="22" t="s">
        <v>34</v>
      </c>
      <c r="N768" s="22">
        <v>12</v>
      </c>
      <c r="O768" s="26">
        <v>25999</v>
      </c>
      <c r="P768" s="22">
        <v>0.12</v>
      </c>
      <c r="Q768" s="30">
        <v>17800</v>
      </c>
      <c r="R768" s="33">
        <f>Table1_1[[#This Row],[Units Sold]]*Table1_1[[#This Row],[Unit Price]]*1-Table1_1[[#This Row],[Discount]]</f>
        <v>311987.88</v>
      </c>
      <c r="S768" s="33">
        <f>Table1_1[[#This Row],[Units Sold]]*Table1_1[[#This Row],[Unit Cost]]</f>
        <v>213600</v>
      </c>
      <c r="T768" s="33">
        <f>Table1_1[[#This Row],[Sales Amount]]-S768</f>
        <v>98387.88</v>
      </c>
      <c r="U768" s="32">
        <f>IFERROR(Table1_1[[#This Row],[Profit/loss]]/Table1_1[[#This Row],[Sales Amount]],0)</f>
        <v>0.31535801967691823</v>
      </c>
    </row>
    <row r="769" spans="1:21" ht="18" x14ac:dyDescent="0.35">
      <c r="A769" s="21" t="s">
        <v>876</v>
      </c>
      <c r="B769" s="36">
        <v>45670</v>
      </c>
      <c r="C769" s="22">
        <f>YEAR(Table1_1[[#This Row],[Order Date]])</f>
        <v>2025</v>
      </c>
      <c r="D769" s="22" t="str">
        <f>TEXT(Table1_1[[#This Row],[Order Date]],"MMMM")</f>
        <v>January</v>
      </c>
      <c r="E769" s="22" t="s">
        <v>82</v>
      </c>
      <c r="F769" s="22" t="s">
        <v>100</v>
      </c>
      <c r="G769" s="22" t="s">
        <v>105</v>
      </c>
      <c r="H769" s="22" t="s">
        <v>39</v>
      </c>
      <c r="I769" s="22" t="s">
        <v>30</v>
      </c>
      <c r="J769" s="22" t="s">
        <v>31</v>
      </c>
      <c r="K769" s="22" t="s">
        <v>85</v>
      </c>
      <c r="L769" s="22" t="s">
        <v>23</v>
      </c>
      <c r="M769" s="22" t="s">
        <v>34</v>
      </c>
      <c r="N769" s="22">
        <v>19</v>
      </c>
      <c r="O769" s="26">
        <v>43500</v>
      </c>
      <c r="P769" s="22">
        <v>0.08</v>
      </c>
      <c r="Q769" s="30">
        <v>29520</v>
      </c>
      <c r="R769" s="33">
        <f>Table1_1[[#This Row],[Units Sold]]*Table1_1[[#This Row],[Unit Price]]*1-Table1_1[[#This Row],[Discount]]</f>
        <v>826499.92</v>
      </c>
      <c r="S769" s="33">
        <f>Table1_1[[#This Row],[Units Sold]]*Table1_1[[#This Row],[Unit Cost]]</f>
        <v>560880</v>
      </c>
      <c r="T769" s="33">
        <f>Table1_1[[#This Row],[Sales Amount]]-S769</f>
        <v>265619.92000000004</v>
      </c>
      <c r="U769" s="32">
        <f>IFERROR(Table1_1[[#This Row],[Profit/loss]]/Table1_1[[#This Row],[Sales Amount]],0)</f>
        <v>0.32137924465860812</v>
      </c>
    </row>
    <row r="770" spans="1:21" ht="18" x14ac:dyDescent="0.35">
      <c r="A770" s="21" t="s">
        <v>877</v>
      </c>
      <c r="B770" s="36">
        <v>45670</v>
      </c>
      <c r="C770" s="22">
        <f>YEAR(Table1_1[[#This Row],[Order Date]])</f>
        <v>2025</v>
      </c>
      <c r="D770" s="22" t="str">
        <f>TEXT(Table1_1[[#This Row],[Order Date]],"MMMM")</f>
        <v>January</v>
      </c>
      <c r="E770" s="22" t="s">
        <v>26</v>
      </c>
      <c r="F770" s="22" t="s">
        <v>74</v>
      </c>
      <c r="G770" s="22" t="s">
        <v>28</v>
      </c>
      <c r="H770" s="22" t="s">
        <v>39</v>
      </c>
      <c r="I770" s="22" t="s">
        <v>30</v>
      </c>
      <c r="J770" s="22" t="s">
        <v>61</v>
      </c>
      <c r="K770" s="22" t="s">
        <v>62</v>
      </c>
      <c r="L770" s="22" t="s">
        <v>57</v>
      </c>
      <c r="M770" s="22" t="s">
        <v>66</v>
      </c>
      <c r="N770" s="22">
        <v>23</v>
      </c>
      <c r="O770" s="26">
        <v>12490</v>
      </c>
      <c r="P770" s="22">
        <v>0.08</v>
      </c>
      <c r="Q770" s="30">
        <v>7900</v>
      </c>
      <c r="R770" s="33">
        <f>Table1_1[[#This Row],[Units Sold]]*Table1_1[[#This Row],[Unit Price]]*1-Table1_1[[#This Row],[Discount]]</f>
        <v>287269.92</v>
      </c>
      <c r="S770" s="33">
        <f>Table1_1[[#This Row],[Units Sold]]*Table1_1[[#This Row],[Unit Cost]]</f>
        <v>181700</v>
      </c>
      <c r="T770" s="33">
        <f>Table1_1[[#This Row],[Sales Amount]]-S770</f>
        <v>105569.91999999998</v>
      </c>
      <c r="U770" s="32">
        <f>IFERROR(Table1_1[[#This Row],[Profit/loss]]/Table1_1[[#This Row],[Sales Amount]],0)</f>
        <v>0.36749381905352285</v>
      </c>
    </row>
    <row r="771" spans="1:21" ht="18" x14ac:dyDescent="0.35">
      <c r="A771" s="21" t="s">
        <v>878</v>
      </c>
      <c r="B771" s="36">
        <v>45670</v>
      </c>
      <c r="C771" s="22">
        <f>YEAR(Table1_1[[#This Row],[Order Date]])</f>
        <v>2025</v>
      </c>
      <c r="D771" s="22" t="str">
        <f>TEXT(Table1_1[[#This Row],[Order Date]],"MMMM")</f>
        <v>January</v>
      </c>
      <c r="E771" s="22" t="s">
        <v>26</v>
      </c>
      <c r="F771" s="22" t="s">
        <v>74</v>
      </c>
      <c r="G771" s="22" t="s">
        <v>84</v>
      </c>
      <c r="H771" s="22" t="s">
        <v>19</v>
      </c>
      <c r="I771" s="22" t="s">
        <v>30</v>
      </c>
      <c r="J771" s="22" t="s">
        <v>61</v>
      </c>
      <c r="K771" s="22" t="s">
        <v>62</v>
      </c>
      <c r="L771" s="22" t="s">
        <v>23</v>
      </c>
      <c r="M771" s="22" t="s">
        <v>66</v>
      </c>
      <c r="N771" s="22">
        <v>35</v>
      </c>
      <c r="O771" s="26">
        <v>12490</v>
      </c>
      <c r="P771" s="22">
        <v>0.18</v>
      </c>
      <c r="Q771" s="30">
        <v>7900</v>
      </c>
      <c r="R771" s="33">
        <f>Table1_1[[#This Row],[Units Sold]]*Table1_1[[#This Row],[Unit Price]]*1-Table1_1[[#This Row],[Discount]]</f>
        <v>437149.82</v>
      </c>
      <c r="S771" s="33">
        <f>Table1_1[[#This Row],[Units Sold]]*Table1_1[[#This Row],[Unit Cost]]</f>
        <v>276500</v>
      </c>
      <c r="T771" s="33">
        <f>Table1_1[[#This Row],[Sales Amount]]-S771</f>
        <v>160649.82</v>
      </c>
      <c r="U771" s="32">
        <f>IFERROR(Table1_1[[#This Row],[Profit/loss]]/Table1_1[[#This Row],[Sales Amount]],0)</f>
        <v>0.3674937347566562</v>
      </c>
    </row>
    <row r="772" spans="1:21" ht="18" x14ac:dyDescent="0.35">
      <c r="A772" s="21" t="s">
        <v>879</v>
      </c>
      <c r="B772" s="36">
        <v>45670</v>
      </c>
      <c r="C772" s="22">
        <f>YEAR(Table1_1[[#This Row],[Order Date]])</f>
        <v>2025</v>
      </c>
      <c r="D772" s="22" t="str">
        <f>TEXT(Table1_1[[#This Row],[Order Date]],"MMMM")</f>
        <v>January</v>
      </c>
      <c r="E772" s="22" t="s">
        <v>48</v>
      </c>
      <c r="F772" s="22" t="s">
        <v>49</v>
      </c>
      <c r="G772" s="22" t="s">
        <v>84</v>
      </c>
      <c r="H772" s="22" t="s">
        <v>19</v>
      </c>
      <c r="I772" s="22" t="s">
        <v>30</v>
      </c>
      <c r="J772" s="22" t="s">
        <v>31</v>
      </c>
      <c r="K772" s="22" t="s">
        <v>32</v>
      </c>
      <c r="L772" s="22" t="s">
        <v>23</v>
      </c>
      <c r="M772" s="22" t="s">
        <v>24</v>
      </c>
      <c r="N772" s="22">
        <v>9</v>
      </c>
      <c r="O772" s="26">
        <v>38990</v>
      </c>
      <c r="P772" s="22">
        <v>0.05</v>
      </c>
      <c r="Q772" s="30">
        <v>25400</v>
      </c>
      <c r="R772" s="33">
        <f>Table1_1[[#This Row],[Units Sold]]*Table1_1[[#This Row],[Unit Price]]*1-Table1_1[[#This Row],[Discount]]</f>
        <v>350909.95</v>
      </c>
      <c r="S772" s="33">
        <f>Table1_1[[#This Row],[Units Sold]]*Table1_1[[#This Row],[Unit Cost]]</f>
        <v>228600</v>
      </c>
      <c r="T772" s="33">
        <f>Table1_1[[#This Row],[Sales Amount]]-S772</f>
        <v>122309.95000000001</v>
      </c>
      <c r="U772" s="32">
        <f>IFERROR(Table1_1[[#This Row],[Profit/loss]]/Table1_1[[#This Row],[Sales Amount]],0)</f>
        <v>0.34855081766703966</v>
      </c>
    </row>
    <row r="773" spans="1:21" ht="18" x14ac:dyDescent="0.35">
      <c r="A773" s="21" t="s">
        <v>880</v>
      </c>
      <c r="B773" s="36">
        <v>45671</v>
      </c>
      <c r="C773" s="22">
        <f>YEAR(Table1_1[[#This Row],[Order Date]])</f>
        <v>2025</v>
      </c>
      <c r="D773" s="22" t="str">
        <f>TEXT(Table1_1[[#This Row],[Order Date]],"MMMM")</f>
        <v>January</v>
      </c>
      <c r="E773" s="22" t="s">
        <v>16</v>
      </c>
      <c r="F773" s="22" t="s">
        <v>17</v>
      </c>
      <c r="G773" s="22" t="s">
        <v>105</v>
      </c>
      <c r="H773" s="22" t="s">
        <v>39</v>
      </c>
      <c r="I773" s="22" t="s">
        <v>70</v>
      </c>
      <c r="J773" s="22" t="s">
        <v>71</v>
      </c>
      <c r="K773" s="22" t="s">
        <v>72</v>
      </c>
      <c r="L773" s="22" t="s">
        <v>33</v>
      </c>
      <c r="M773" s="22" t="s">
        <v>24</v>
      </c>
      <c r="N773" s="22">
        <v>28</v>
      </c>
      <c r="O773" s="26">
        <v>3499</v>
      </c>
      <c r="P773" s="22">
        <v>0.12</v>
      </c>
      <c r="Q773" s="30">
        <v>2190</v>
      </c>
      <c r="R773" s="33">
        <f>Table1_1[[#This Row],[Units Sold]]*Table1_1[[#This Row],[Unit Price]]*1-Table1_1[[#This Row],[Discount]]</f>
        <v>97971.88</v>
      </c>
      <c r="S773" s="33">
        <f>Table1_1[[#This Row],[Units Sold]]*Table1_1[[#This Row],[Unit Cost]]</f>
        <v>61320</v>
      </c>
      <c r="T773" s="33">
        <f>Table1_1[[#This Row],[Sales Amount]]-S773</f>
        <v>36651.880000000005</v>
      </c>
      <c r="U773" s="32">
        <f>IFERROR(Table1_1[[#This Row],[Profit/loss]]/Table1_1[[#This Row],[Sales Amount]],0)</f>
        <v>0.37410612106249264</v>
      </c>
    </row>
    <row r="774" spans="1:21" ht="18" x14ac:dyDescent="0.35">
      <c r="A774" s="21" t="s">
        <v>881</v>
      </c>
      <c r="B774" s="36">
        <v>45671</v>
      </c>
      <c r="C774" s="22">
        <f>YEAR(Table1_1[[#This Row],[Order Date]])</f>
        <v>2025</v>
      </c>
      <c r="D774" s="22" t="str">
        <f>TEXT(Table1_1[[#This Row],[Order Date]],"MMMM")</f>
        <v>January</v>
      </c>
      <c r="E774" s="22" t="s">
        <v>48</v>
      </c>
      <c r="F774" s="22" t="s">
        <v>93</v>
      </c>
      <c r="G774" s="22" t="s">
        <v>18</v>
      </c>
      <c r="H774" s="22" t="s">
        <v>19</v>
      </c>
      <c r="I774" s="22" t="s">
        <v>20</v>
      </c>
      <c r="J774" s="22" t="s">
        <v>45</v>
      </c>
      <c r="K774" s="22" t="s">
        <v>1622</v>
      </c>
      <c r="L774" s="22" t="s">
        <v>23</v>
      </c>
      <c r="M774" s="22" t="s">
        <v>24</v>
      </c>
      <c r="N774" s="22">
        <v>2</v>
      </c>
      <c r="O774" s="26">
        <v>1599</v>
      </c>
      <c r="P774" s="22">
        <v>0.2</v>
      </c>
      <c r="Q774" s="30">
        <v>920</v>
      </c>
      <c r="R774" s="33">
        <f>Table1_1[[#This Row],[Units Sold]]*Table1_1[[#This Row],[Unit Price]]*1-Table1_1[[#This Row],[Discount]]</f>
        <v>3197.8</v>
      </c>
      <c r="S774" s="33">
        <f>Table1_1[[#This Row],[Units Sold]]*Table1_1[[#This Row],[Unit Cost]]</f>
        <v>1840</v>
      </c>
      <c r="T774" s="33">
        <f>Table1_1[[#This Row],[Sales Amount]]-S774</f>
        <v>1357.8000000000002</v>
      </c>
      <c r="U774" s="32">
        <f>IFERROR(Table1_1[[#This Row],[Profit/loss]]/Table1_1[[#This Row],[Sales Amount]],0)</f>
        <v>0.42460441553568079</v>
      </c>
    </row>
    <row r="775" spans="1:21" ht="18" x14ac:dyDescent="0.35">
      <c r="A775" s="21" t="s">
        <v>882</v>
      </c>
      <c r="B775" s="36">
        <v>45671</v>
      </c>
      <c r="C775" s="22">
        <f>YEAR(Table1_1[[#This Row],[Order Date]])</f>
        <v>2025</v>
      </c>
      <c r="D775" s="22" t="str">
        <f>TEXT(Table1_1[[#This Row],[Order Date]],"MMMM")</f>
        <v>January</v>
      </c>
      <c r="E775" s="22" t="s">
        <v>48</v>
      </c>
      <c r="F775" s="22" t="s">
        <v>68</v>
      </c>
      <c r="G775" s="22" t="s">
        <v>28</v>
      </c>
      <c r="H775" s="22" t="s">
        <v>19</v>
      </c>
      <c r="I775" s="22" t="s">
        <v>70</v>
      </c>
      <c r="J775" s="22" t="s">
        <v>71</v>
      </c>
      <c r="K775" s="22" t="s">
        <v>72</v>
      </c>
      <c r="L775" s="22" t="s">
        <v>23</v>
      </c>
      <c r="M775" s="22" t="s">
        <v>66</v>
      </c>
      <c r="N775" s="22">
        <v>28</v>
      </c>
      <c r="O775" s="26">
        <v>3499</v>
      </c>
      <c r="P775" s="22">
        <v>0.18</v>
      </c>
      <c r="Q775" s="30">
        <v>2190</v>
      </c>
      <c r="R775" s="33">
        <f>Table1_1[[#This Row],[Units Sold]]*Table1_1[[#This Row],[Unit Price]]*1-Table1_1[[#This Row],[Discount]]</f>
        <v>97971.82</v>
      </c>
      <c r="S775" s="33">
        <f>Table1_1[[#This Row],[Units Sold]]*Table1_1[[#This Row],[Unit Cost]]</f>
        <v>61320</v>
      </c>
      <c r="T775" s="33">
        <f>Table1_1[[#This Row],[Sales Amount]]-S775</f>
        <v>36651.820000000007</v>
      </c>
      <c r="U775" s="32">
        <f>IFERROR(Table1_1[[#This Row],[Profit/loss]]/Table1_1[[#This Row],[Sales Amount]],0)</f>
        <v>0.37410573775193728</v>
      </c>
    </row>
    <row r="776" spans="1:21" ht="18" x14ac:dyDescent="0.35">
      <c r="A776" s="21" t="s">
        <v>883</v>
      </c>
      <c r="B776" s="36">
        <v>45672</v>
      </c>
      <c r="C776" s="22">
        <f>YEAR(Table1_1[[#This Row],[Order Date]])</f>
        <v>2025</v>
      </c>
      <c r="D776" s="22" t="str">
        <f>TEXT(Table1_1[[#This Row],[Order Date]],"MMMM")</f>
        <v>January</v>
      </c>
      <c r="E776" s="22" t="s">
        <v>16</v>
      </c>
      <c r="F776" s="22" t="s">
        <v>17</v>
      </c>
      <c r="G776" s="22" t="s">
        <v>84</v>
      </c>
      <c r="H776" s="22" t="s">
        <v>39</v>
      </c>
      <c r="I776" s="22" t="s">
        <v>70</v>
      </c>
      <c r="J776" s="22" t="s">
        <v>71</v>
      </c>
      <c r="K776" s="22" t="s">
        <v>88</v>
      </c>
      <c r="L776" s="22" t="s">
        <v>57</v>
      </c>
      <c r="M776" s="22" t="s">
        <v>66</v>
      </c>
      <c r="N776" s="22">
        <v>11</v>
      </c>
      <c r="O776" s="26">
        <v>999</v>
      </c>
      <c r="P776" s="22">
        <v>0.05</v>
      </c>
      <c r="Q776" s="30">
        <v>540</v>
      </c>
      <c r="R776" s="33">
        <f>Table1_1[[#This Row],[Units Sold]]*Table1_1[[#This Row],[Unit Price]]*1-Table1_1[[#This Row],[Discount]]</f>
        <v>10988.95</v>
      </c>
      <c r="S776" s="33">
        <f>Table1_1[[#This Row],[Units Sold]]*Table1_1[[#This Row],[Unit Cost]]</f>
        <v>5940</v>
      </c>
      <c r="T776" s="33">
        <f>Table1_1[[#This Row],[Sales Amount]]-S776</f>
        <v>5048.9500000000007</v>
      </c>
      <c r="U776" s="32">
        <f>IFERROR(Table1_1[[#This Row],[Profit/loss]]/Table1_1[[#This Row],[Sales Amount]],0)</f>
        <v>0.45945699998634998</v>
      </c>
    </row>
    <row r="777" spans="1:21" ht="18" x14ac:dyDescent="0.35">
      <c r="A777" s="21" t="s">
        <v>884</v>
      </c>
      <c r="B777" s="36">
        <v>45672</v>
      </c>
      <c r="C777" s="22">
        <f>YEAR(Table1_1[[#This Row],[Order Date]])</f>
        <v>2025</v>
      </c>
      <c r="D777" s="22" t="str">
        <f>TEXT(Table1_1[[#This Row],[Order Date]],"MMMM")</f>
        <v>January</v>
      </c>
      <c r="E777" s="22" t="s">
        <v>26</v>
      </c>
      <c r="F777" s="22" t="s">
        <v>53</v>
      </c>
      <c r="G777" s="22" t="s">
        <v>18</v>
      </c>
      <c r="H777" s="22" t="s">
        <v>29</v>
      </c>
      <c r="I777" s="22" t="s">
        <v>54</v>
      </c>
      <c r="J777" s="22" t="s">
        <v>129</v>
      </c>
      <c r="K777" s="22" t="s">
        <v>130</v>
      </c>
      <c r="L777" s="22" t="s">
        <v>33</v>
      </c>
      <c r="M777" s="22" t="s">
        <v>24</v>
      </c>
      <c r="N777" s="22">
        <v>28</v>
      </c>
      <c r="O777" s="26">
        <v>27890</v>
      </c>
      <c r="P777" s="22">
        <v>0.18</v>
      </c>
      <c r="Q777" s="30">
        <v>18800</v>
      </c>
      <c r="R777" s="33">
        <f>Table1_1[[#This Row],[Units Sold]]*Table1_1[[#This Row],[Unit Price]]*1-Table1_1[[#This Row],[Discount]]</f>
        <v>780919.82</v>
      </c>
      <c r="S777" s="33">
        <f>Table1_1[[#This Row],[Units Sold]]*Table1_1[[#This Row],[Unit Cost]]</f>
        <v>526400</v>
      </c>
      <c r="T777" s="33">
        <f>Table1_1[[#This Row],[Sales Amount]]-S777</f>
        <v>254519.81999999995</v>
      </c>
      <c r="U777" s="32">
        <f>IFERROR(Table1_1[[#This Row],[Profit/loss]]/Table1_1[[#This Row],[Sales Amount]],0)</f>
        <v>0.32592311461629947</v>
      </c>
    </row>
    <row r="778" spans="1:21" ht="18" x14ac:dyDescent="0.35">
      <c r="A778" s="21" t="s">
        <v>885</v>
      </c>
      <c r="B778" s="36">
        <v>45673</v>
      </c>
      <c r="C778" s="22">
        <f>YEAR(Table1_1[[#This Row],[Order Date]])</f>
        <v>2025</v>
      </c>
      <c r="D778" s="22" t="str">
        <f>TEXT(Table1_1[[#This Row],[Order Date]],"MMMM")</f>
        <v>January</v>
      </c>
      <c r="E778" s="22" t="s">
        <v>82</v>
      </c>
      <c r="F778" s="22" t="s">
        <v>83</v>
      </c>
      <c r="G778" s="22" t="s">
        <v>60</v>
      </c>
      <c r="H778" s="22" t="s">
        <v>39</v>
      </c>
      <c r="I778" s="22" t="s">
        <v>30</v>
      </c>
      <c r="J778" s="22" t="s">
        <v>31</v>
      </c>
      <c r="K778" s="22" t="s">
        <v>106</v>
      </c>
      <c r="L778" s="22" t="s">
        <v>23</v>
      </c>
      <c r="M778" s="22" t="s">
        <v>34</v>
      </c>
      <c r="N778" s="22">
        <v>5</v>
      </c>
      <c r="O778" s="26">
        <v>52990</v>
      </c>
      <c r="P778" s="22">
        <v>0.05</v>
      </c>
      <c r="Q778" s="30">
        <v>35100</v>
      </c>
      <c r="R778" s="33">
        <f>Table1_1[[#This Row],[Units Sold]]*Table1_1[[#This Row],[Unit Price]]*1-Table1_1[[#This Row],[Discount]]</f>
        <v>264949.95</v>
      </c>
      <c r="S778" s="33">
        <f>Table1_1[[#This Row],[Units Sold]]*Table1_1[[#This Row],[Unit Cost]]</f>
        <v>175500</v>
      </c>
      <c r="T778" s="33">
        <f>Table1_1[[#This Row],[Sales Amount]]-S778</f>
        <v>89449.950000000012</v>
      </c>
      <c r="U778" s="32">
        <f>IFERROR(Table1_1[[#This Row],[Profit/loss]]/Table1_1[[#This Row],[Sales Amount]],0)</f>
        <v>0.33761074497277699</v>
      </c>
    </row>
    <row r="779" spans="1:21" ht="18" x14ac:dyDescent="0.35">
      <c r="A779" s="21" t="s">
        <v>886</v>
      </c>
      <c r="B779" s="36">
        <v>45673</v>
      </c>
      <c r="C779" s="22">
        <f>YEAR(Table1_1[[#This Row],[Order Date]])</f>
        <v>2025</v>
      </c>
      <c r="D779" s="22" t="str">
        <f>TEXT(Table1_1[[#This Row],[Order Date]],"MMMM")</f>
        <v>January</v>
      </c>
      <c r="E779" s="22" t="s">
        <v>16</v>
      </c>
      <c r="F779" s="22" t="s">
        <v>17</v>
      </c>
      <c r="G779" s="22" t="s">
        <v>69</v>
      </c>
      <c r="H779" s="22" t="s">
        <v>19</v>
      </c>
      <c r="I779" s="22" t="s">
        <v>54</v>
      </c>
      <c r="J779" s="22" t="s">
        <v>129</v>
      </c>
      <c r="K779" s="22" t="s">
        <v>130</v>
      </c>
      <c r="L779" s="22" t="s">
        <v>33</v>
      </c>
      <c r="M779" s="22" t="s">
        <v>24</v>
      </c>
      <c r="N779" s="22">
        <v>2</v>
      </c>
      <c r="O779" s="26">
        <v>27890</v>
      </c>
      <c r="P779" s="22">
        <v>0.05</v>
      </c>
      <c r="Q779" s="30">
        <v>18800</v>
      </c>
      <c r="R779" s="33">
        <f>Table1_1[[#This Row],[Units Sold]]*Table1_1[[#This Row],[Unit Price]]*1-Table1_1[[#This Row],[Discount]]</f>
        <v>55779.95</v>
      </c>
      <c r="S779" s="33">
        <f>Table1_1[[#This Row],[Units Sold]]*Table1_1[[#This Row],[Unit Cost]]</f>
        <v>37600</v>
      </c>
      <c r="T779" s="33">
        <f>Table1_1[[#This Row],[Sales Amount]]-S779</f>
        <v>18179.949999999997</v>
      </c>
      <c r="U779" s="32">
        <f>IFERROR(Table1_1[[#This Row],[Profit/loss]]/Table1_1[[#This Row],[Sales Amount]],0)</f>
        <v>0.32592266576072582</v>
      </c>
    </row>
    <row r="780" spans="1:21" ht="18" x14ac:dyDescent="0.35">
      <c r="A780" s="21" t="s">
        <v>887</v>
      </c>
      <c r="B780" s="36">
        <v>45674</v>
      </c>
      <c r="C780" s="22">
        <f>YEAR(Table1_1[[#This Row],[Order Date]])</f>
        <v>2025</v>
      </c>
      <c r="D780" s="22" t="str">
        <f>TEXT(Table1_1[[#This Row],[Order Date]],"MMMM")</f>
        <v>January</v>
      </c>
      <c r="E780" s="22" t="s">
        <v>26</v>
      </c>
      <c r="F780" s="22" t="s">
        <v>53</v>
      </c>
      <c r="G780" s="22" t="s">
        <v>60</v>
      </c>
      <c r="H780" s="22" t="s">
        <v>19</v>
      </c>
      <c r="I780" s="22" t="s">
        <v>40</v>
      </c>
      <c r="J780" s="22" t="s">
        <v>41</v>
      </c>
      <c r="K780" s="22" t="s">
        <v>1624</v>
      </c>
      <c r="L780" s="22" t="s">
        <v>23</v>
      </c>
      <c r="M780" s="22" t="s">
        <v>66</v>
      </c>
      <c r="N780" s="22">
        <v>39</v>
      </c>
      <c r="O780" s="26">
        <v>48990</v>
      </c>
      <c r="P780" s="22">
        <v>0.2</v>
      </c>
      <c r="Q780" s="30">
        <v>30100</v>
      </c>
      <c r="R780" s="33">
        <f>Table1_1[[#This Row],[Units Sold]]*Table1_1[[#This Row],[Unit Price]]*1-Table1_1[[#This Row],[Discount]]</f>
        <v>1910609.8</v>
      </c>
      <c r="S780" s="33">
        <f>Table1_1[[#This Row],[Units Sold]]*Table1_1[[#This Row],[Unit Cost]]</f>
        <v>1173900</v>
      </c>
      <c r="T780" s="33">
        <f>Table1_1[[#This Row],[Sales Amount]]-S780</f>
        <v>736709.8</v>
      </c>
      <c r="U780" s="32">
        <f>IFERROR(Table1_1[[#This Row],[Profit/loss]]/Table1_1[[#This Row],[Sales Amount]],0)</f>
        <v>0.38558883137729116</v>
      </c>
    </row>
    <row r="781" spans="1:21" ht="18" x14ac:dyDescent="0.35">
      <c r="A781" s="21" t="s">
        <v>888</v>
      </c>
      <c r="B781" s="36">
        <v>45677</v>
      </c>
      <c r="C781" s="22">
        <f>YEAR(Table1_1[[#This Row],[Order Date]])</f>
        <v>2025</v>
      </c>
      <c r="D781" s="22" t="str">
        <f>TEXT(Table1_1[[#This Row],[Order Date]],"MMMM")</f>
        <v>January</v>
      </c>
      <c r="E781" s="22" t="s">
        <v>48</v>
      </c>
      <c r="F781" s="22" t="s">
        <v>93</v>
      </c>
      <c r="G781" s="22" t="s">
        <v>38</v>
      </c>
      <c r="H781" s="22" t="s">
        <v>39</v>
      </c>
      <c r="I781" s="22" t="s">
        <v>40</v>
      </c>
      <c r="J781" s="22" t="s">
        <v>64</v>
      </c>
      <c r="K781" s="22" t="s">
        <v>1627</v>
      </c>
      <c r="L781" s="22" t="s">
        <v>33</v>
      </c>
      <c r="M781" s="22" t="s">
        <v>66</v>
      </c>
      <c r="N781" s="22">
        <v>21</v>
      </c>
      <c r="O781" s="26">
        <v>4490</v>
      </c>
      <c r="P781" s="22">
        <v>0.1</v>
      </c>
      <c r="Q781" s="30">
        <v>2950</v>
      </c>
      <c r="R781" s="33">
        <f>Table1_1[[#This Row],[Units Sold]]*Table1_1[[#This Row],[Unit Price]]*1-Table1_1[[#This Row],[Discount]]</f>
        <v>94289.9</v>
      </c>
      <c r="S781" s="33">
        <f>Table1_1[[#This Row],[Units Sold]]*Table1_1[[#This Row],[Unit Cost]]</f>
        <v>61950</v>
      </c>
      <c r="T781" s="33">
        <f>Table1_1[[#This Row],[Sales Amount]]-S781</f>
        <v>32339.899999999994</v>
      </c>
      <c r="U781" s="32">
        <f>IFERROR(Table1_1[[#This Row],[Profit/loss]]/Table1_1[[#This Row],[Sales Amount]],0)</f>
        <v>0.34298371299577152</v>
      </c>
    </row>
    <row r="782" spans="1:21" ht="18" x14ac:dyDescent="0.35">
      <c r="A782" s="21" t="s">
        <v>889</v>
      </c>
      <c r="B782" s="36">
        <v>45678</v>
      </c>
      <c r="C782" s="22">
        <f>YEAR(Table1_1[[#This Row],[Order Date]])</f>
        <v>2025</v>
      </c>
      <c r="D782" s="22" t="str">
        <f>TEXT(Table1_1[[#This Row],[Order Date]],"MMMM")</f>
        <v>January</v>
      </c>
      <c r="E782" s="22" t="s">
        <v>48</v>
      </c>
      <c r="F782" s="22" t="s">
        <v>136</v>
      </c>
      <c r="G782" s="22" t="s">
        <v>84</v>
      </c>
      <c r="H782" s="22" t="s">
        <v>29</v>
      </c>
      <c r="I782" s="22" t="s">
        <v>70</v>
      </c>
      <c r="J782" s="22" t="s">
        <v>71</v>
      </c>
      <c r="K782" s="22" t="s">
        <v>80</v>
      </c>
      <c r="L782" s="22" t="s">
        <v>23</v>
      </c>
      <c r="M782" s="22" t="s">
        <v>34</v>
      </c>
      <c r="N782" s="22">
        <v>21</v>
      </c>
      <c r="O782" s="26">
        <v>1299</v>
      </c>
      <c r="P782" s="22">
        <v>0.05</v>
      </c>
      <c r="Q782" s="30">
        <v>720</v>
      </c>
      <c r="R782" s="33">
        <f>Table1_1[[#This Row],[Units Sold]]*Table1_1[[#This Row],[Unit Price]]*1-Table1_1[[#This Row],[Discount]]</f>
        <v>27278.95</v>
      </c>
      <c r="S782" s="33">
        <f>Table1_1[[#This Row],[Units Sold]]*Table1_1[[#This Row],[Unit Cost]]</f>
        <v>15120</v>
      </c>
      <c r="T782" s="33">
        <f>Table1_1[[#This Row],[Sales Amount]]-S782</f>
        <v>12158.95</v>
      </c>
      <c r="U782" s="32">
        <f>IFERROR(Table1_1[[#This Row],[Profit/loss]]/Table1_1[[#This Row],[Sales Amount]],0)</f>
        <v>0.4457264667445045</v>
      </c>
    </row>
    <row r="783" spans="1:21" ht="18" x14ac:dyDescent="0.35">
      <c r="A783" s="21" t="s">
        <v>890</v>
      </c>
      <c r="B783" s="36">
        <v>45679</v>
      </c>
      <c r="C783" s="22">
        <f>YEAR(Table1_1[[#This Row],[Order Date]])</f>
        <v>2025</v>
      </c>
      <c r="D783" s="22" t="str">
        <f>TEXT(Table1_1[[#This Row],[Order Date]],"MMMM")</f>
        <v>January</v>
      </c>
      <c r="E783" s="22" t="s">
        <v>16</v>
      </c>
      <c r="F783" s="22" t="s">
        <v>17</v>
      </c>
      <c r="G783" s="22" t="s">
        <v>101</v>
      </c>
      <c r="H783" s="22" t="s">
        <v>29</v>
      </c>
      <c r="I783" s="22" t="s">
        <v>70</v>
      </c>
      <c r="J783" s="22" t="s">
        <v>71</v>
      </c>
      <c r="K783" s="22" t="s">
        <v>80</v>
      </c>
      <c r="L783" s="22" t="s">
        <v>33</v>
      </c>
      <c r="M783" s="22" t="s">
        <v>24</v>
      </c>
      <c r="N783" s="22">
        <v>39</v>
      </c>
      <c r="O783" s="26">
        <v>1299</v>
      </c>
      <c r="P783" s="22">
        <v>0.05</v>
      </c>
      <c r="Q783" s="30">
        <v>720</v>
      </c>
      <c r="R783" s="33">
        <f>Table1_1[[#This Row],[Units Sold]]*Table1_1[[#This Row],[Unit Price]]*1-Table1_1[[#This Row],[Discount]]</f>
        <v>50660.95</v>
      </c>
      <c r="S783" s="33">
        <f>Table1_1[[#This Row],[Units Sold]]*Table1_1[[#This Row],[Unit Cost]]</f>
        <v>28080</v>
      </c>
      <c r="T783" s="33">
        <f>Table1_1[[#This Row],[Sales Amount]]-S783</f>
        <v>22580.949999999997</v>
      </c>
      <c r="U783" s="32">
        <f>IFERROR(Table1_1[[#This Row],[Profit/loss]]/Table1_1[[#This Row],[Sales Amount]],0)</f>
        <v>0.44572693563780386</v>
      </c>
    </row>
    <row r="784" spans="1:21" ht="18" x14ac:dyDescent="0.35">
      <c r="A784" s="21" t="s">
        <v>891</v>
      </c>
      <c r="B784" s="36">
        <v>45679</v>
      </c>
      <c r="C784" s="22">
        <f>YEAR(Table1_1[[#This Row],[Order Date]])</f>
        <v>2025</v>
      </c>
      <c r="D784" s="22" t="str">
        <f>TEXT(Table1_1[[#This Row],[Order Date]],"MMMM")</f>
        <v>January</v>
      </c>
      <c r="E784" s="22" t="s">
        <v>48</v>
      </c>
      <c r="F784" s="22" t="s">
        <v>93</v>
      </c>
      <c r="G784" s="22" t="s">
        <v>75</v>
      </c>
      <c r="H784" s="22" t="s">
        <v>39</v>
      </c>
      <c r="I784" s="22" t="s">
        <v>30</v>
      </c>
      <c r="J784" s="22" t="s">
        <v>61</v>
      </c>
      <c r="K784" s="22" t="s">
        <v>62</v>
      </c>
      <c r="L784" s="22" t="s">
        <v>23</v>
      </c>
      <c r="M784" s="22" t="s">
        <v>66</v>
      </c>
      <c r="N784" s="22">
        <v>40</v>
      </c>
      <c r="O784" s="26">
        <v>12490</v>
      </c>
      <c r="P784" s="22">
        <v>0.12</v>
      </c>
      <c r="Q784" s="30">
        <v>7900</v>
      </c>
      <c r="R784" s="33">
        <f>Table1_1[[#This Row],[Units Sold]]*Table1_1[[#This Row],[Unit Price]]*1-Table1_1[[#This Row],[Discount]]</f>
        <v>499599.88</v>
      </c>
      <c r="S784" s="33">
        <f>Table1_1[[#This Row],[Units Sold]]*Table1_1[[#This Row],[Unit Cost]]</f>
        <v>316000</v>
      </c>
      <c r="T784" s="33">
        <f>Table1_1[[#This Row],[Sales Amount]]-S784</f>
        <v>183599.88</v>
      </c>
      <c r="U784" s="32">
        <f>IFERROR(Table1_1[[#This Row],[Profit/loss]]/Table1_1[[#This Row],[Sales Amount]],0)</f>
        <v>0.36749384327314089</v>
      </c>
    </row>
    <row r="785" spans="1:21" ht="18" x14ac:dyDescent="0.35">
      <c r="A785" s="21" t="s">
        <v>892</v>
      </c>
      <c r="B785" s="36">
        <v>45679</v>
      </c>
      <c r="C785" s="22">
        <f>YEAR(Table1_1[[#This Row],[Order Date]])</f>
        <v>2025</v>
      </c>
      <c r="D785" s="22" t="str">
        <f>TEXT(Table1_1[[#This Row],[Order Date]],"MMMM")</f>
        <v>January</v>
      </c>
      <c r="E785" s="22" t="s">
        <v>48</v>
      </c>
      <c r="F785" s="22" t="s">
        <v>68</v>
      </c>
      <c r="G785" s="22" t="s">
        <v>84</v>
      </c>
      <c r="H785" s="22" t="s">
        <v>19</v>
      </c>
      <c r="I785" s="22" t="s">
        <v>70</v>
      </c>
      <c r="J785" s="22" t="s">
        <v>71</v>
      </c>
      <c r="K785" s="22" t="s">
        <v>88</v>
      </c>
      <c r="L785" s="22" t="s">
        <v>57</v>
      </c>
      <c r="M785" s="22" t="s">
        <v>24</v>
      </c>
      <c r="N785" s="22">
        <v>18</v>
      </c>
      <c r="O785" s="26">
        <v>999</v>
      </c>
      <c r="P785" s="22">
        <v>0.18</v>
      </c>
      <c r="Q785" s="30">
        <v>540</v>
      </c>
      <c r="R785" s="33">
        <f>Table1_1[[#This Row],[Units Sold]]*Table1_1[[#This Row],[Unit Price]]*1-Table1_1[[#This Row],[Discount]]</f>
        <v>17981.82</v>
      </c>
      <c r="S785" s="33">
        <f>Table1_1[[#This Row],[Units Sold]]*Table1_1[[#This Row],[Unit Cost]]</f>
        <v>9720</v>
      </c>
      <c r="T785" s="33">
        <f>Table1_1[[#This Row],[Sales Amount]]-S785</f>
        <v>8261.82</v>
      </c>
      <c r="U785" s="32">
        <f>IFERROR(Table1_1[[#This Row],[Profit/loss]]/Table1_1[[#This Row],[Sales Amount]],0)</f>
        <v>0.45945404858907496</v>
      </c>
    </row>
    <row r="786" spans="1:21" ht="18" x14ac:dyDescent="0.35">
      <c r="A786" s="21" t="s">
        <v>893</v>
      </c>
      <c r="B786" s="36">
        <v>45679</v>
      </c>
      <c r="C786" s="22">
        <f>YEAR(Table1_1[[#This Row],[Order Date]])</f>
        <v>2025</v>
      </c>
      <c r="D786" s="22" t="str">
        <f>TEXT(Table1_1[[#This Row],[Order Date]],"MMMM")</f>
        <v>January</v>
      </c>
      <c r="E786" s="22" t="s">
        <v>16</v>
      </c>
      <c r="F786" s="22" t="s">
        <v>17</v>
      </c>
      <c r="G786" s="22" t="s">
        <v>69</v>
      </c>
      <c r="H786" s="22" t="s">
        <v>19</v>
      </c>
      <c r="I786" s="22" t="s">
        <v>54</v>
      </c>
      <c r="J786" s="22" t="s">
        <v>90</v>
      </c>
      <c r="K786" s="22" t="s">
        <v>1621</v>
      </c>
      <c r="L786" s="22" t="s">
        <v>33</v>
      </c>
      <c r="M786" s="22" t="s">
        <v>34</v>
      </c>
      <c r="N786" s="22">
        <v>20</v>
      </c>
      <c r="O786" s="26">
        <v>31990</v>
      </c>
      <c r="P786" s="22">
        <v>0.08</v>
      </c>
      <c r="Q786" s="30">
        <v>21800</v>
      </c>
      <c r="R786" s="33">
        <f>Table1_1[[#This Row],[Units Sold]]*Table1_1[[#This Row],[Unit Price]]*1-Table1_1[[#This Row],[Discount]]</f>
        <v>639799.92000000004</v>
      </c>
      <c r="S786" s="33">
        <f>Table1_1[[#This Row],[Units Sold]]*Table1_1[[#This Row],[Unit Cost]]</f>
        <v>436000</v>
      </c>
      <c r="T786" s="33">
        <f>Table1_1[[#This Row],[Sales Amount]]-S786</f>
        <v>203799.92000000004</v>
      </c>
      <c r="U786" s="32">
        <f>IFERROR(Table1_1[[#This Row],[Profit/loss]]/Table1_1[[#This Row],[Sales Amount]],0)</f>
        <v>0.31853695761637485</v>
      </c>
    </row>
    <row r="787" spans="1:21" ht="18" x14ac:dyDescent="0.35">
      <c r="A787" s="21" t="s">
        <v>894</v>
      </c>
      <c r="B787" s="36">
        <v>45679</v>
      </c>
      <c r="C787" s="22">
        <f>YEAR(Table1_1[[#This Row],[Order Date]])</f>
        <v>2025</v>
      </c>
      <c r="D787" s="22" t="str">
        <f>TEXT(Table1_1[[#This Row],[Order Date]],"MMMM")</f>
        <v>January</v>
      </c>
      <c r="E787" s="22" t="s">
        <v>82</v>
      </c>
      <c r="F787" s="22" t="s">
        <v>100</v>
      </c>
      <c r="G787" s="22" t="s">
        <v>75</v>
      </c>
      <c r="H787" s="22" t="s">
        <v>39</v>
      </c>
      <c r="I787" s="22" t="s">
        <v>70</v>
      </c>
      <c r="J787" s="22" t="s">
        <v>71</v>
      </c>
      <c r="K787" s="22" t="s">
        <v>80</v>
      </c>
      <c r="L787" s="22" t="s">
        <v>23</v>
      </c>
      <c r="M787" s="22" t="s">
        <v>66</v>
      </c>
      <c r="N787" s="22">
        <v>15</v>
      </c>
      <c r="O787" s="26">
        <v>1299</v>
      </c>
      <c r="P787" s="22">
        <v>0.12</v>
      </c>
      <c r="Q787" s="30">
        <v>720</v>
      </c>
      <c r="R787" s="33">
        <f>Table1_1[[#This Row],[Units Sold]]*Table1_1[[#This Row],[Unit Price]]*1-Table1_1[[#This Row],[Discount]]</f>
        <v>19484.88</v>
      </c>
      <c r="S787" s="33">
        <f>Table1_1[[#This Row],[Units Sold]]*Table1_1[[#This Row],[Unit Cost]]</f>
        <v>10800</v>
      </c>
      <c r="T787" s="33">
        <f>Table1_1[[#This Row],[Sales Amount]]-S787</f>
        <v>8684.880000000001</v>
      </c>
      <c r="U787" s="32">
        <f>IFERROR(Table1_1[[#This Row],[Profit/loss]]/Table1_1[[#This Row],[Sales Amount]],0)</f>
        <v>0.44572406912436724</v>
      </c>
    </row>
    <row r="788" spans="1:21" ht="18" x14ac:dyDescent="0.35">
      <c r="A788" s="21" t="s">
        <v>895</v>
      </c>
      <c r="B788" s="36">
        <v>45680</v>
      </c>
      <c r="C788" s="22">
        <f>YEAR(Table1_1[[#This Row],[Order Date]])</f>
        <v>2025</v>
      </c>
      <c r="D788" s="22" t="str">
        <f>TEXT(Table1_1[[#This Row],[Order Date]],"MMMM")</f>
        <v>January</v>
      </c>
      <c r="E788" s="22" t="s">
        <v>16</v>
      </c>
      <c r="F788" s="22" t="s">
        <v>111</v>
      </c>
      <c r="G788" s="22" t="s">
        <v>105</v>
      </c>
      <c r="H788" s="22" t="s">
        <v>19</v>
      </c>
      <c r="I788" s="22" t="s">
        <v>30</v>
      </c>
      <c r="J788" s="22" t="s">
        <v>31</v>
      </c>
      <c r="K788" s="22" t="s">
        <v>32</v>
      </c>
      <c r="L788" s="22" t="s">
        <v>23</v>
      </c>
      <c r="M788" s="22" t="s">
        <v>24</v>
      </c>
      <c r="N788" s="22">
        <v>11</v>
      </c>
      <c r="O788" s="26">
        <v>38990</v>
      </c>
      <c r="P788" s="22">
        <v>0.1</v>
      </c>
      <c r="Q788" s="30">
        <v>25400</v>
      </c>
      <c r="R788" s="33">
        <f>Table1_1[[#This Row],[Units Sold]]*Table1_1[[#This Row],[Unit Price]]*1-Table1_1[[#This Row],[Discount]]</f>
        <v>428889.9</v>
      </c>
      <c r="S788" s="33">
        <f>Table1_1[[#This Row],[Units Sold]]*Table1_1[[#This Row],[Unit Cost]]</f>
        <v>279400</v>
      </c>
      <c r="T788" s="33">
        <f>Table1_1[[#This Row],[Sales Amount]]-S788</f>
        <v>149489.90000000002</v>
      </c>
      <c r="U788" s="32">
        <f>IFERROR(Table1_1[[#This Row],[Profit/loss]]/Table1_1[[#This Row],[Sales Amount]],0)</f>
        <v>0.34855075859795254</v>
      </c>
    </row>
    <row r="789" spans="1:21" ht="18" x14ac:dyDescent="0.35">
      <c r="A789" s="21" t="s">
        <v>896</v>
      </c>
      <c r="B789" s="36">
        <v>45680</v>
      </c>
      <c r="C789" s="22">
        <f>YEAR(Table1_1[[#This Row],[Order Date]])</f>
        <v>2025</v>
      </c>
      <c r="D789" s="22" t="str">
        <f>TEXT(Table1_1[[#This Row],[Order Date]],"MMMM")</f>
        <v>January</v>
      </c>
      <c r="E789" s="22" t="s">
        <v>26</v>
      </c>
      <c r="F789" s="22" t="s">
        <v>74</v>
      </c>
      <c r="G789" s="22" t="s">
        <v>75</v>
      </c>
      <c r="H789" s="22" t="s">
        <v>29</v>
      </c>
      <c r="I789" s="22" t="s">
        <v>20</v>
      </c>
      <c r="J789" s="22" t="s">
        <v>45</v>
      </c>
      <c r="K789" s="22" t="s">
        <v>1622</v>
      </c>
      <c r="L789" s="22" t="s">
        <v>57</v>
      </c>
      <c r="M789" s="22" t="s">
        <v>24</v>
      </c>
      <c r="N789" s="22">
        <v>1</v>
      </c>
      <c r="O789" s="26">
        <v>1599</v>
      </c>
      <c r="P789" s="22">
        <v>0.15</v>
      </c>
      <c r="Q789" s="30">
        <v>920</v>
      </c>
      <c r="R789" s="33">
        <f>Table1_1[[#This Row],[Units Sold]]*Table1_1[[#This Row],[Unit Price]]*1-Table1_1[[#This Row],[Discount]]</f>
        <v>1598.85</v>
      </c>
      <c r="S789" s="33">
        <f>Table1_1[[#This Row],[Units Sold]]*Table1_1[[#This Row],[Unit Cost]]</f>
        <v>920</v>
      </c>
      <c r="T789" s="33">
        <f>Table1_1[[#This Row],[Sales Amount]]-S789</f>
        <v>678.84999999999991</v>
      </c>
      <c r="U789" s="32">
        <f>IFERROR(Table1_1[[#This Row],[Profit/loss]]/Table1_1[[#This Row],[Sales Amount]],0)</f>
        <v>0.42458642149044623</v>
      </c>
    </row>
    <row r="790" spans="1:21" ht="18" x14ac:dyDescent="0.35">
      <c r="A790" s="21" t="s">
        <v>897</v>
      </c>
      <c r="B790" s="36">
        <v>45681</v>
      </c>
      <c r="C790" s="22">
        <f>YEAR(Table1_1[[#This Row],[Order Date]])</f>
        <v>2025</v>
      </c>
      <c r="D790" s="22" t="str">
        <f>TEXT(Table1_1[[#This Row],[Order Date]],"MMMM")</f>
        <v>January</v>
      </c>
      <c r="E790" s="22" t="s">
        <v>26</v>
      </c>
      <c r="F790" s="22" t="s">
        <v>53</v>
      </c>
      <c r="G790" s="22" t="s">
        <v>105</v>
      </c>
      <c r="H790" s="22" t="s">
        <v>29</v>
      </c>
      <c r="I790" s="22" t="s">
        <v>70</v>
      </c>
      <c r="J790" s="22" t="s">
        <v>71</v>
      </c>
      <c r="K790" s="22" t="s">
        <v>72</v>
      </c>
      <c r="L790" s="22" t="s">
        <v>33</v>
      </c>
      <c r="M790" s="22" t="s">
        <v>34</v>
      </c>
      <c r="N790" s="22">
        <v>22</v>
      </c>
      <c r="O790" s="26">
        <v>3499</v>
      </c>
      <c r="P790" s="22">
        <v>0.15</v>
      </c>
      <c r="Q790" s="30">
        <v>2190</v>
      </c>
      <c r="R790" s="33">
        <f>Table1_1[[#This Row],[Units Sold]]*Table1_1[[#This Row],[Unit Price]]*1-Table1_1[[#This Row],[Discount]]</f>
        <v>76977.850000000006</v>
      </c>
      <c r="S790" s="33">
        <f>Table1_1[[#This Row],[Units Sold]]*Table1_1[[#This Row],[Unit Cost]]</f>
        <v>48180</v>
      </c>
      <c r="T790" s="33">
        <f>Table1_1[[#This Row],[Sales Amount]]-S790</f>
        <v>28797.850000000006</v>
      </c>
      <c r="U790" s="32">
        <f>IFERROR(Table1_1[[#This Row],[Profit/loss]]/Table1_1[[#This Row],[Sales Amount]],0)</f>
        <v>0.37410566805905859</v>
      </c>
    </row>
    <row r="791" spans="1:21" ht="18" x14ac:dyDescent="0.35">
      <c r="A791" s="21" t="s">
        <v>898</v>
      </c>
      <c r="B791" s="36">
        <v>45682</v>
      </c>
      <c r="C791" s="22">
        <f>YEAR(Table1_1[[#This Row],[Order Date]])</f>
        <v>2025</v>
      </c>
      <c r="D791" s="22" t="str">
        <f>TEXT(Table1_1[[#This Row],[Order Date]],"MMMM")</f>
        <v>January</v>
      </c>
      <c r="E791" s="22" t="s">
        <v>26</v>
      </c>
      <c r="F791" s="22" t="s">
        <v>163</v>
      </c>
      <c r="G791" s="22" t="s">
        <v>101</v>
      </c>
      <c r="H791" s="22" t="s">
        <v>19</v>
      </c>
      <c r="I791" s="22" t="s">
        <v>30</v>
      </c>
      <c r="J791" s="22" t="s">
        <v>31</v>
      </c>
      <c r="K791" s="22" t="s">
        <v>85</v>
      </c>
      <c r="L791" s="22" t="s">
        <v>23</v>
      </c>
      <c r="M791" s="22" t="s">
        <v>24</v>
      </c>
      <c r="N791" s="22">
        <v>32</v>
      </c>
      <c r="O791" s="26">
        <v>43500</v>
      </c>
      <c r="P791" s="22">
        <v>0.15</v>
      </c>
      <c r="Q791" s="30">
        <v>29520</v>
      </c>
      <c r="R791" s="33">
        <f>Table1_1[[#This Row],[Units Sold]]*Table1_1[[#This Row],[Unit Price]]*1-Table1_1[[#This Row],[Discount]]</f>
        <v>1391999.85</v>
      </c>
      <c r="S791" s="33">
        <f>Table1_1[[#This Row],[Units Sold]]*Table1_1[[#This Row],[Unit Cost]]</f>
        <v>944640</v>
      </c>
      <c r="T791" s="33">
        <f>Table1_1[[#This Row],[Sales Amount]]-S791</f>
        <v>447359.85000000009</v>
      </c>
      <c r="U791" s="32">
        <f>IFERROR(Table1_1[[#This Row],[Profit/loss]]/Table1_1[[#This Row],[Sales Amount]],0)</f>
        <v>0.32137923721759026</v>
      </c>
    </row>
    <row r="792" spans="1:21" ht="18" x14ac:dyDescent="0.35">
      <c r="A792" s="21" t="s">
        <v>899</v>
      </c>
      <c r="B792" s="36">
        <v>45682</v>
      </c>
      <c r="C792" s="22">
        <f>YEAR(Table1_1[[#This Row],[Order Date]])</f>
        <v>2025</v>
      </c>
      <c r="D792" s="22" t="str">
        <f>TEXT(Table1_1[[#This Row],[Order Date]],"MMMM")</f>
        <v>January</v>
      </c>
      <c r="E792" s="22" t="s">
        <v>48</v>
      </c>
      <c r="F792" s="22" t="s">
        <v>136</v>
      </c>
      <c r="G792" s="22" t="s">
        <v>75</v>
      </c>
      <c r="H792" s="22" t="s">
        <v>19</v>
      </c>
      <c r="I792" s="22" t="s">
        <v>70</v>
      </c>
      <c r="J792" s="22" t="s">
        <v>71</v>
      </c>
      <c r="K792" s="22" t="s">
        <v>80</v>
      </c>
      <c r="L792" s="22" t="s">
        <v>23</v>
      </c>
      <c r="M792" s="22" t="s">
        <v>78</v>
      </c>
      <c r="N792" s="22">
        <v>30</v>
      </c>
      <c r="O792" s="26">
        <v>1299</v>
      </c>
      <c r="P792" s="22">
        <v>0.12</v>
      </c>
      <c r="Q792" s="30">
        <v>720</v>
      </c>
      <c r="R792" s="33">
        <f>Table1_1[[#This Row],[Units Sold]]*Table1_1[[#This Row],[Unit Price]]*1-Table1_1[[#This Row],[Discount]]</f>
        <v>38969.879999999997</v>
      </c>
      <c r="S792" s="33">
        <f>Table1_1[[#This Row],[Units Sold]]*Table1_1[[#This Row],[Unit Cost]]</f>
        <v>21600</v>
      </c>
      <c r="T792" s="33">
        <f>Table1_1[[#This Row],[Sales Amount]]-S792</f>
        <v>17369.879999999997</v>
      </c>
      <c r="U792" s="32">
        <f>IFERROR(Table1_1[[#This Row],[Profit/loss]]/Table1_1[[#This Row],[Sales Amount]],0)</f>
        <v>0.44572577590693119</v>
      </c>
    </row>
    <row r="793" spans="1:21" ht="18" x14ac:dyDescent="0.35">
      <c r="A793" s="21" t="s">
        <v>900</v>
      </c>
      <c r="B793" s="36">
        <v>45683</v>
      </c>
      <c r="C793" s="22">
        <f>YEAR(Table1_1[[#This Row],[Order Date]])</f>
        <v>2025</v>
      </c>
      <c r="D793" s="22" t="str">
        <f>TEXT(Table1_1[[#This Row],[Order Date]],"MMMM")</f>
        <v>January</v>
      </c>
      <c r="E793" s="22" t="s">
        <v>36</v>
      </c>
      <c r="F793" s="22" t="s">
        <v>37</v>
      </c>
      <c r="G793" s="22" t="s">
        <v>75</v>
      </c>
      <c r="H793" s="22" t="s">
        <v>19</v>
      </c>
      <c r="I793" s="22" t="s">
        <v>40</v>
      </c>
      <c r="J793" s="22" t="s">
        <v>64</v>
      </c>
      <c r="K793" s="22" t="s">
        <v>1629</v>
      </c>
      <c r="L793" s="22" t="s">
        <v>57</v>
      </c>
      <c r="M793" s="22" t="s">
        <v>78</v>
      </c>
      <c r="N793" s="22">
        <v>5</v>
      </c>
      <c r="O793" s="26">
        <v>3299</v>
      </c>
      <c r="P793" s="22">
        <v>0.18</v>
      </c>
      <c r="Q793" s="30">
        <v>2050</v>
      </c>
      <c r="R793" s="33">
        <f>Table1_1[[#This Row],[Units Sold]]*Table1_1[[#This Row],[Unit Price]]*1-Table1_1[[#This Row],[Discount]]</f>
        <v>16494.82</v>
      </c>
      <c r="S793" s="33">
        <f>Table1_1[[#This Row],[Units Sold]]*Table1_1[[#This Row],[Unit Cost]]</f>
        <v>10250</v>
      </c>
      <c r="T793" s="33">
        <f>Table1_1[[#This Row],[Sales Amount]]-S793</f>
        <v>6244.82</v>
      </c>
      <c r="U793" s="32">
        <f>IFERROR(Table1_1[[#This Row],[Profit/loss]]/Table1_1[[#This Row],[Sales Amount]],0)</f>
        <v>0.37859279458642164</v>
      </c>
    </row>
    <row r="794" spans="1:21" ht="18" x14ac:dyDescent="0.35">
      <c r="A794" s="21" t="s">
        <v>901</v>
      </c>
      <c r="B794" s="36">
        <v>45684</v>
      </c>
      <c r="C794" s="22">
        <f>YEAR(Table1_1[[#This Row],[Order Date]])</f>
        <v>2025</v>
      </c>
      <c r="D794" s="22" t="str">
        <f>TEXT(Table1_1[[#This Row],[Order Date]],"MMMM")</f>
        <v>January</v>
      </c>
      <c r="E794" s="22" t="s">
        <v>16</v>
      </c>
      <c r="F794" s="22" t="s">
        <v>98</v>
      </c>
      <c r="G794" s="22" t="s">
        <v>18</v>
      </c>
      <c r="H794" s="22" t="s">
        <v>29</v>
      </c>
      <c r="I794" s="22" t="s">
        <v>54</v>
      </c>
      <c r="J794" s="22" t="s">
        <v>129</v>
      </c>
      <c r="K794" s="22" t="s">
        <v>130</v>
      </c>
      <c r="L794" s="22" t="s">
        <v>57</v>
      </c>
      <c r="M794" s="22" t="s">
        <v>34</v>
      </c>
      <c r="N794" s="22">
        <v>7</v>
      </c>
      <c r="O794" s="26">
        <v>27890</v>
      </c>
      <c r="P794" s="22">
        <v>0.15</v>
      </c>
      <c r="Q794" s="30">
        <v>18800</v>
      </c>
      <c r="R794" s="33">
        <f>Table1_1[[#This Row],[Units Sold]]*Table1_1[[#This Row],[Unit Price]]*1-Table1_1[[#This Row],[Discount]]</f>
        <v>195229.85</v>
      </c>
      <c r="S794" s="33">
        <f>Table1_1[[#This Row],[Units Sold]]*Table1_1[[#This Row],[Unit Cost]]</f>
        <v>131600</v>
      </c>
      <c r="T794" s="33">
        <f>Table1_1[[#This Row],[Sales Amount]]-S794</f>
        <v>63629.850000000006</v>
      </c>
      <c r="U794" s="32">
        <f>IFERROR(Table1_1[[#This Row],[Profit/loss]]/Table1_1[[#This Row],[Sales Amount]],0)</f>
        <v>0.32592275207915183</v>
      </c>
    </row>
    <row r="795" spans="1:21" ht="18" x14ac:dyDescent="0.35">
      <c r="A795" s="21" t="s">
        <v>902</v>
      </c>
      <c r="B795" s="36">
        <v>45684</v>
      </c>
      <c r="C795" s="22">
        <f>YEAR(Table1_1[[#This Row],[Order Date]])</f>
        <v>2025</v>
      </c>
      <c r="D795" s="22" t="str">
        <f>TEXT(Table1_1[[#This Row],[Order Date]],"MMMM")</f>
        <v>January</v>
      </c>
      <c r="E795" s="22" t="s">
        <v>16</v>
      </c>
      <c r="F795" s="22" t="s">
        <v>17</v>
      </c>
      <c r="G795" s="22" t="s">
        <v>50</v>
      </c>
      <c r="H795" s="22" t="s">
        <v>19</v>
      </c>
      <c r="I795" s="22" t="s">
        <v>30</v>
      </c>
      <c r="J795" s="22" t="s">
        <v>61</v>
      </c>
      <c r="K795" s="22" t="s">
        <v>62</v>
      </c>
      <c r="L795" s="22" t="s">
        <v>33</v>
      </c>
      <c r="M795" s="22" t="s">
        <v>24</v>
      </c>
      <c r="N795" s="22">
        <v>2</v>
      </c>
      <c r="O795" s="26">
        <v>12490</v>
      </c>
      <c r="P795" s="22">
        <v>0.05</v>
      </c>
      <c r="Q795" s="30">
        <v>7900</v>
      </c>
      <c r="R795" s="33">
        <f>Table1_1[[#This Row],[Units Sold]]*Table1_1[[#This Row],[Unit Price]]*1-Table1_1[[#This Row],[Discount]]</f>
        <v>24979.95</v>
      </c>
      <c r="S795" s="33">
        <f>Table1_1[[#This Row],[Units Sold]]*Table1_1[[#This Row],[Unit Cost]]</f>
        <v>15800</v>
      </c>
      <c r="T795" s="33">
        <f>Table1_1[[#This Row],[Sales Amount]]-S795</f>
        <v>9179.9500000000007</v>
      </c>
      <c r="U795" s="32">
        <f>IFERROR(Table1_1[[#This Row],[Profit/loss]]/Table1_1[[#This Row],[Sales Amount]],0)</f>
        <v>0.36749272916879339</v>
      </c>
    </row>
    <row r="796" spans="1:21" ht="18" x14ac:dyDescent="0.35">
      <c r="A796" s="21" t="s">
        <v>903</v>
      </c>
      <c r="B796" s="36">
        <v>45685</v>
      </c>
      <c r="C796" s="22">
        <f>YEAR(Table1_1[[#This Row],[Order Date]])</f>
        <v>2025</v>
      </c>
      <c r="D796" s="22" t="str">
        <f>TEXT(Table1_1[[#This Row],[Order Date]],"MMMM")</f>
        <v>January</v>
      </c>
      <c r="E796" s="22" t="s">
        <v>26</v>
      </c>
      <c r="F796" s="22" t="s">
        <v>53</v>
      </c>
      <c r="G796" s="22" t="s">
        <v>75</v>
      </c>
      <c r="H796" s="22" t="s">
        <v>39</v>
      </c>
      <c r="I796" s="22" t="s">
        <v>70</v>
      </c>
      <c r="J796" s="22" t="s">
        <v>71</v>
      </c>
      <c r="K796" s="22" t="s">
        <v>88</v>
      </c>
      <c r="L796" s="22" t="s">
        <v>57</v>
      </c>
      <c r="M796" s="22" t="s">
        <v>24</v>
      </c>
      <c r="N796" s="22">
        <v>21</v>
      </c>
      <c r="O796" s="26">
        <v>999</v>
      </c>
      <c r="P796" s="22">
        <v>0.08</v>
      </c>
      <c r="Q796" s="30">
        <v>540</v>
      </c>
      <c r="R796" s="33">
        <f>Table1_1[[#This Row],[Units Sold]]*Table1_1[[#This Row],[Unit Price]]*1-Table1_1[[#This Row],[Discount]]</f>
        <v>20978.92</v>
      </c>
      <c r="S796" s="33">
        <f>Table1_1[[#This Row],[Units Sold]]*Table1_1[[#This Row],[Unit Cost]]</f>
        <v>11340</v>
      </c>
      <c r="T796" s="33">
        <f>Table1_1[[#This Row],[Sales Amount]]-S796</f>
        <v>9638.9199999999983</v>
      </c>
      <c r="U796" s="32">
        <f>IFERROR(Table1_1[[#This Row],[Profit/loss]]/Table1_1[[#This Row],[Sales Amount]],0)</f>
        <v>0.45945739818827658</v>
      </c>
    </row>
    <row r="797" spans="1:21" ht="18" x14ac:dyDescent="0.35">
      <c r="A797" s="21" t="s">
        <v>904</v>
      </c>
      <c r="B797" s="36">
        <v>45685</v>
      </c>
      <c r="C797" s="22">
        <f>YEAR(Table1_1[[#This Row],[Order Date]])</f>
        <v>2025</v>
      </c>
      <c r="D797" s="22" t="str">
        <f>TEXT(Table1_1[[#This Row],[Order Date]],"MMMM")</f>
        <v>January</v>
      </c>
      <c r="E797" s="22" t="s">
        <v>48</v>
      </c>
      <c r="F797" s="22" t="s">
        <v>136</v>
      </c>
      <c r="G797" s="22" t="s">
        <v>84</v>
      </c>
      <c r="H797" s="22" t="s">
        <v>39</v>
      </c>
      <c r="I797" s="22" t="s">
        <v>54</v>
      </c>
      <c r="J797" s="22" t="s">
        <v>90</v>
      </c>
      <c r="K797" s="22" t="s">
        <v>1621</v>
      </c>
      <c r="L797" s="22" t="s">
        <v>33</v>
      </c>
      <c r="M797" s="22" t="s">
        <v>66</v>
      </c>
      <c r="N797" s="22">
        <v>28</v>
      </c>
      <c r="O797" s="26">
        <v>31990</v>
      </c>
      <c r="P797" s="22">
        <v>0.1</v>
      </c>
      <c r="Q797" s="30">
        <v>21800</v>
      </c>
      <c r="R797" s="33">
        <f>Table1_1[[#This Row],[Units Sold]]*Table1_1[[#This Row],[Unit Price]]*1-Table1_1[[#This Row],[Discount]]</f>
        <v>895719.9</v>
      </c>
      <c r="S797" s="33">
        <f>Table1_1[[#This Row],[Units Sold]]*Table1_1[[#This Row],[Unit Cost]]</f>
        <v>610400</v>
      </c>
      <c r="T797" s="33">
        <f>Table1_1[[#This Row],[Sales Amount]]-S797</f>
        <v>285319.90000000002</v>
      </c>
      <c r="U797" s="32">
        <f>IFERROR(Table1_1[[#This Row],[Profit/loss]]/Table1_1[[#This Row],[Sales Amount]],0)</f>
        <v>0.31853696674596604</v>
      </c>
    </row>
    <row r="798" spans="1:21" ht="18" x14ac:dyDescent="0.35">
      <c r="A798" s="21" t="s">
        <v>905</v>
      </c>
      <c r="B798" s="36">
        <v>45685</v>
      </c>
      <c r="C798" s="22">
        <f>YEAR(Table1_1[[#This Row],[Order Date]])</f>
        <v>2025</v>
      </c>
      <c r="D798" s="22" t="str">
        <f>TEXT(Table1_1[[#This Row],[Order Date]],"MMMM")</f>
        <v>January</v>
      </c>
      <c r="E798" s="22" t="s">
        <v>48</v>
      </c>
      <c r="F798" s="22" t="s">
        <v>136</v>
      </c>
      <c r="G798" s="22" t="s">
        <v>38</v>
      </c>
      <c r="H798" s="22" t="s">
        <v>29</v>
      </c>
      <c r="I798" s="22" t="s">
        <v>30</v>
      </c>
      <c r="J798" s="22" t="s">
        <v>61</v>
      </c>
      <c r="K798" s="22" t="s">
        <v>62</v>
      </c>
      <c r="L798" s="22" t="s">
        <v>33</v>
      </c>
      <c r="M798" s="22" t="s">
        <v>24</v>
      </c>
      <c r="N798" s="22">
        <v>22</v>
      </c>
      <c r="O798" s="26">
        <v>12490</v>
      </c>
      <c r="P798" s="22">
        <v>0.2</v>
      </c>
      <c r="Q798" s="30">
        <v>7900</v>
      </c>
      <c r="R798" s="33">
        <f>Table1_1[[#This Row],[Units Sold]]*Table1_1[[#This Row],[Unit Price]]*1-Table1_1[[#This Row],[Discount]]</f>
        <v>274779.8</v>
      </c>
      <c r="S798" s="33">
        <f>Table1_1[[#This Row],[Units Sold]]*Table1_1[[#This Row],[Unit Cost]]</f>
        <v>173800</v>
      </c>
      <c r="T798" s="33">
        <f>Table1_1[[#This Row],[Sales Amount]]-S798</f>
        <v>100979.79999999999</v>
      </c>
      <c r="U798" s="32">
        <f>IFERROR(Table1_1[[#This Row],[Profit/loss]]/Table1_1[[#This Row],[Sales Amount]],0)</f>
        <v>0.36749353482315655</v>
      </c>
    </row>
    <row r="799" spans="1:21" ht="18" x14ac:dyDescent="0.35">
      <c r="A799" s="21" t="s">
        <v>906</v>
      </c>
      <c r="B799" s="36">
        <v>45686</v>
      </c>
      <c r="C799" s="22">
        <f>YEAR(Table1_1[[#This Row],[Order Date]])</f>
        <v>2025</v>
      </c>
      <c r="D799" s="22" t="str">
        <f>TEXT(Table1_1[[#This Row],[Order Date]],"MMMM")</f>
        <v>January</v>
      </c>
      <c r="E799" s="22" t="s">
        <v>16</v>
      </c>
      <c r="F799" s="22" t="s">
        <v>98</v>
      </c>
      <c r="G799" s="22" t="s">
        <v>69</v>
      </c>
      <c r="H799" s="22" t="s">
        <v>29</v>
      </c>
      <c r="I799" s="22" t="s">
        <v>20</v>
      </c>
      <c r="J799" s="22" t="s">
        <v>21</v>
      </c>
      <c r="K799" s="22" t="s">
        <v>51</v>
      </c>
      <c r="L799" s="22" t="s">
        <v>23</v>
      </c>
      <c r="M799" s="22" t="s">
        <v>34</v>
      </c>
      <c r="N799" s="22">
        <v>4</v>
      </c>
      <c r="O799" s="26">
        <v>5999</v>
      </c>
      <c r="P799" s="22">
        <v>0.05</v>
      </c>
      <c r="Q799" s="30">
        <v>3890</v>
      </c>
      <c r="R799" s="33">
        <f>Table1_1[[#This Row],[Units Sold]]*Table1_1[[#This Row],[Unit Price]]*1-Table1_1[[#This Row],[Discount]]</f>
        <v>23995.95</v>
      </c>
      <c r="S799" s="33">
        <f>Table1_1[[#This Row],[Units Sold]]*Table1_1[[#This Row],[Unit Cost]]</f>
        <v>15560</v>
      </c>
      <c r="T799" s="33">
        <f>Table1_1[[#This Row],[Sales Amount]]-S799</f>
        <v>8435.9500000000007</v>
      </c>
      <c r="U799" s="32">
        <f>IFERROR(Table1_1[[#This Row],[Profit/loss]]/Table1_1[[#This Row],[Sales Amount]],0)</f>
        <v>0.35155724195124594</v>
      </c>
    </row>
    <row r="800" spans="1:21" ht="18" x14ac:dyDescent="0.35">
      <c r="A800" s="21" t="s">
        <v>907</v>
      </c>
      <c r="B800" s="36">
        <v>45687</v>
      </c>
      <c r="C800" s="22">
        <f>YEAR(Table1_1[[#This Row],[Order Date]])</f>
        <v>2025</v>
      </c>
      <c r="D800" s="22" t="str">
        <f>TEXT(Table1_1[[#This Row],[Order Date]],"MMMM")</f>
        <v>January</v>
      </c>
      <c r="E800" s="22" t="s">
        <v>16</v>
      </c>
      <c r="F800" s="22" t="s">
        <v>98</v>
      </c>
      <c r="G800" s="22" t="s">
        <v>60</v>
      </c>
      <c r="H800" s="22" t="s">
        <v>19</v>
      </c>
      <c r="I800" s="22" t="s">
        <v>20</v>
      </c>
      <c r="J800" s="22" t="s">
        <v>21</v>
      </c>
      <c r="K800" s="22" t="s">
        <v>115</v>
      </c>
      <c r="L800" s="22" t="s">
        <v>23</v>
      </c>
      <c r="M800" s="22" t="s">
        <v>24</v>
      </c>
      <c r="N800" s="22">
        <v>12</v>
      </c>
      <c r="O800" s="26">
        <v>6499</v>
      </c>
      <c r="P800" s="22">
        <v>0.05</v>
      </c>
      <c r="Q800" s="30">
        <v>4210</v>
      </c>
      <c r="R800" s="33">
        <f>Table1_1[[#This Row],[Units Sold]]*Table1_1[[#This Row],[Unit Price]]*1-Table1_1[[#This Row],[Discount]]</f>
        <v>77987.95</v>
      </c>
      <c r="S800" s="33">
        <f>Table1_1[[#This Row],[Units Sold]]*Table1_1[[#This Row],[Unit Cost]]</f>
        <v>50520</v>
      </c>
      <c r="T800" s="33">
        <f>Table1_1[[#This Row],[Sales Amount]]-S800</f>
        <v>27467.949999999997</v>
      </c>
      <c r="U800" s="32">
        <f>IFERROR(Table1_1[[#This Row],[Profit/loss]]/Table1_1[[#This Row],[Sales Amount]],0)</f>
        <v>0.35220761668950135</v>
      </c>
    </row>
    <row r="801" spans="1:21" ht="18" x14ac:dyDescent="0.35">
      <c r="A801" s="21" t="s">
        <v>908</v>
      </c>
      <c r="B801" s="36">
        <v>45687</v>
      </c>
      <c r="C801" s="22">
        <f>YEAR(Table1_1[[#This Row],[Order Date]])</f>
        <v>2025</v>
      </c>
      <c r="D801" s="22" t="str">
        <f>TEXT(Table1_1[[#This Row],[Order Date]],"MMMM")</f>
        <v>January</v>
      </c>
      <c r="E801" s="22" t="s">
        <v>36</v>
      </c>
      <c r="F801" s="22" t="s">
        <v>59</v>
      </c>
      <c r="G801" s="22" t="s">
        <v>105</v>
      </c>
      <c r="H801" s="22" t="s">
        <v>29</v>
      </c>
      <c r="I801" s="22" t="s">
        <v>20</v>
      </c>
      <c r="J801" s="22" t="s">
        <v>45</v>
      </c>
      <c r="K801" s="22" t="s">
        <v>1622</v>
      </c>
      <c r="L801" s="22" t="s">
        <v>23</v>
      </c>
      <c r="M801" s="22" t="s">
        <v>24</v>
      </c>
      <c r="N801" s="22">
        <v>40</v>
      </c>
      <c r="O801" s="26">
        <v>1599</v>
      </c>
      <c r="P801" s="22">
        <v>0.18</v>
      </c>
      <c r="Q801" s="30">
        <v>920</v>
      </c>
      <c r="R801" s="33">
        <f>Table1_1[[#This Row],[Units Sold]]*Table1_1[[#This Row],[Unit Price]]*1-Table1_1[[#This Row],[Discount]]</f>
        <v>63959.82</v>
      </c>
      <c r="S801" s="33">
        <f>Table1_1[[#This Row],[Units Sold]]*Table1_1[[#This Row],[Unit Cost]]</f>
        <v>36800</v>
      </c>
      <c r="T801" s="33">
        <f>Table1_1[[#This Row],[Sales Amount]]-S801</f>
        <v>27159.82</v>
      </c>
      <c r="U801" s="32">
        <f>IFERROR(Table1_1[[#This Row],[Profit/loss]]/Table1_1[[#This Row],[Sales Amount]],0)</f>
        <v>0.42463878103471836</v>
      </c>
    </row>
    <row r="802" spans="1:21" ht="18" x14ac:dyDescent="0.35">
      <c r="A802" s="21" t="s">
        <v>909</v>
      </c>
      <c r="B802" s="36">
        <v>45687</v>
      </c>
      <c r="C802" s="22">
        <f>YEAR(Table1_1[[#This Row],[Order Date]])</f>
        <v>2025</v>
      </c>
      <c r="D802" s="22" t="str">
        <f>TEXT(Table1_1[[#This Row],[Order Date]],"MMMM")</f>
        <v>January</v>
      </c>
      <c r="E802" s="22" t="s">
        <v>16</v>
      </c>
      <c r="F802" s="22" t="s">
        <v>111</v>
      </c>
      <c r="G802" s="22" t="s">
        <v>50</v>
      </c>
      <c r="H802" s="22" t="s">
        <v>29</v>
      </c>
      <c r="I802" s="22" t="s">
        <v>40</v>
      </c>
      <c r="J802" s="22" t="s">
        <v>76</v>
      </c>
      <c r="K802" s="22" t="s">
        <v>1620</v>
      </c>
      <c r="L802" s="22" t="s">
        <v>23</v>
      </c>
      <c r="M802" s="22" t="s">
        <v>34</v>
      </c>
      <c r="N802" s="22">
        <v>28</v>
      </c>
      <c r="O802" s="26">
        <v>52990</v>
      </c>
      <c r="P802" s="22">
        <v>0.2</v>
      </c>
      <c r="Q802" s="30">
        <v>39500</v>
      </c>
      <c r="R802" s="33">
        <f>Table1_1[[#This Row],[Units Sold]]*Table1_1[[#This Row],[Unit Price]]*1-Table1_1[[#This Row],[Discount]]</f>
        <v>1483719.8</v>
      </c>
      <c r="S802" s="33">
        <f>Table1_1[[#This Row],[Units Sold]]*Table1_1[[#This Row],[Unit Cost]]</f>
        <v>1106000</v>
      </c>
      <c r="T802" s="33">
        <f>Table1_1[[#This Row],[Sales Amount]]-S802</f>
        <v>377719.80000000005</v>
      </c>
      <c r="U802" s="32">
        <f>IFERROR(Table1_1[[#This Row],[Profit/loss]]/Table1_1[[#This Row],[Sales Amount]],0)</f>
        <v>0.25457623467719448</v>
      </c>
    </row>
    <row r="803" spans="1:21" ht="18" x14ac:dyDescent="0.35">
      <c r="A803" s="21" t="s">
        <v>910</v>
      </c>
      <c r="B803" s="36">
        <v>45688</v>
      </c>
      <c r="C803" s="22">
        <f>YEAR(Table1_1[[#This Row],[Order Date]])</f>
        <v>2025</v>
      </c>
      <c r="D803" s="22" t="str">
        <f>TEXT(Table1_1[[#This Row],[Order Date]],"MMMM")</f>
        <v>January</v>
      </c>
      <c r="E803" s="22" t="s">
        <v>36</v>
      </c>
      <c r="F803" s="22" t="s">
        <v>44</v>
      </c>
      <c r="G803" s="22" t="s">
        <v>101</v>
      </c>
      <c r="H803" s="22" t="s">
        <v>39</v>
      </c>
      <c r="I803" s="22" t="s">
        <v>40</v>
      </c>
      <c r="J803" s="22" t="s">
        <v>41</v>
      </c>
      <c r="K803" s="22" t="s">
        <v>42</v>
      </c>
      <c r="L803" s="22" t="s">
        <v>57</v>
      </c>
      <c r="M803" s="22" t="s">
        <v>24</v>
      </c>
      <c r="N803" s="22">
        <v>13</v>
      </c>
      <c r="O803" s="26">
        <v>55230</v>
      </c>
      <c r="P803" s="22">
        <v>0.1</v>
      </c>
      <c r="Q803" s="30">
        <v>33800</v>
      </c>
      <c r="R803" s="33">
        <f>Table1_1[[#This Row],[Units Sold]]*Table1_1[[#This Row],[Unit Price]]*1-Table1_1[[#This Row],[Discount]]</f>
        <v>717989.9</v>
      </c>
      <c r="S803" s="33">
        <f>Table1_1[[#This Row],[Units Sold]]*Table1_1[[#This Row],[Unit Cost]]</f>
        <v>439400</v>
      </c>
      <c r="T803" s="33">
        <f>Table1_1[[#This Row],[Sales Amount]]-S803</f>
        <v>278589.90000000002</v>
      </c>
      <c r="U803" s="32">
        <f>IFERROR(Table1_1[[#This Row],[Profit/loss]]/Table1_1[[#This Row],[Sales Amount]],0)</f>
        <v>0.38801367540128351</v>
      </c>
    </row>
    <row r="804" spans="1:21" ht="18" x14ac:dyDescent="0.35">
      <c r="A804" s="21" t="s">
        <v>911</v>
      </c>
      <c r="B804" s="36">
        <v>45688</v>
      </c>
      <c r="C804" s="22">
        <f>YEAR(Table1_1[[#This Row],[Order Date]])</f>
        <v>2025</v>
      </c>
      <c r="D804" s="22" t="str">
        <f>TEXT(Table1_1[[#This Row],[Order Date]],"MMMM")</f>
        <v>January</v>
      </c>
      <c r="E804" s="22" t="s">
        <v>82</v>
      </c>
      <c r="F804" s="22" t="s">
        <v>83</v>
      </c>
      <c r="G804" s="22" t="s">
        <v>75</v>
      </c>
      <c r="H804" s="22" t="s">
        <v>29</v>
      </c>
      <c r="I804" s="22" t="s">
        <v>30</v>
      </c>
      <c r="J804" s="22" t="s">
        <v>31</v>
      </c>
      <c r="K804" s="22" t="s">
        <v>85</v>
      </c>
      <c r="L804" s="22" t="s">
        <v>23</v>
      </c>
      <c r="M804" s="22" t="s">
        <v>78</v>
      </c>
      <c r="N804" s="22">
        <v>39</v>
      </c>
      <c r="O804" s="26">
        <v>43500</v>
      </c>
      <c r="P804" s="22">
        <v>0.05</v>
      </c>
      <c r="Q804" s="30">
        <v>29520</v>
      </c>
      <c r="R804" s="33">
        <f>Table1_1[[#This Row],[Units Sold]]*Table1_1[[#This Row],[Unit Price]]*1-Table1_1[[#This Row],[Discount]]</f>
        <v>1696499.95</v>
      </c>
      <c r="S804" s="33">
        <f>Table1_1[[#This Row],[Units Sold]]*Table1_1[[#This Row],[Unit Cost]]</f>
        <v>1151280</v>
      </c>
      <c r="T804" s="33">
        <f>Table1_1[[#This Row],[Sales Amount]]-S804</f>
        <v>545219.94999999995</v>
      </c>
      <c r="U804" s="32">
        <f>IFERROR(Table1_1[[#This Row],[Profit/loss]]/Table1_1[[#This Row],[Sales Amount]],0)</f>
        <v>0.32137929034421719</v>
      </c>
    </row>
    <row r="805" spans="1:21" ht="18" x14ac:dyDescent="0.35">
      <c r="A805" s="21" t="s">
        <v>912</v>
      </c>
      <c r="B805" s="36">
        <v>45688</v>
      </c>
      <c r="C805" s="22">
        <f>YEAR(Table1_1[[#This Row],[Order Date]])</f>
        <v>2025</v>
      </c>
      <c r="D805" s="22" t="str">
        <f>TEXT(Table1_1[[#This Row],[Order Date]],"MMMM")</f>
        <v>January</v>
      </c>
      <c r="E805" s="22" t="s">
        <v>16</v>
      </c>
      <c r="F805" s="22" t="s">
        <v>111</v>
      </c>
      <c r="G805" s="22" t="s">
        <v>18</v>
      </c>
      <c r="H805" s="22" t="s">
        <v>29</v>
      </c>
      <c r="I805" s="22" t="s">
        <v>20</v>
      </c>
      <c r="J805" s="22" t="s">
        <v>45</v>
      </c>
      <c r="K805" s="22" t="s">
        <v>1622</v>
      </c>
      <c r="L805" s="22" t="s">
        <v>57</v>
      </c>
      <c r="M805" s="22" t="s">
        <v>24</v>
      </c>
      <c r="N805" s="22">
        <v>32</v>
      </c>
      <c r="O805" s="26">
        <v>1599</v>
      </c>
      <c r="P805" s="22">
        <v>0.18</v>
      </c>
      <c r="Q805" s="30">
        <v>920</v>
      </c>
      <c r="R805" s="33">
        <f>Table1_1[[#This Row],[Units Sold]]*Table1_1[[#This Row],[Unit Price]]*1-Table1_1[[#This Row],[Discount]]</f>
        <v>51167.82</v>
      </c>
      <c r="S805" s="33">
        <f>Table1_1[[#This Row],[Units Sold]]*Table1_1[[#This Row],[Unit Cost]]</f>
        <v>29440</v>
      </c>
      <c r="T805" s="33">
        <f>Table1_1[[#This Row],[Sales Amount]]-S805</f>
        <v>21727.82</v>
      </c>
      <c r="U805" s="32">
        <f>IFERROR(Table1_1[[#This Row],[Profit/loss]]/Table1_1[[#This Row],[Sales Amount]],0)</f>
        <v>0.42463837622943484</v>
      </c>
    </row>
    <row r="806" spans="1:21" ht="18" x14ac:dyDescent="0.35">
      <c r="A806" s="21" t="s">
        <v>913</v>
      </c>
      <c r="B806" s="36">
        <v>45689</v>
      </c>
      <c r="C806" s="22">
        <f>YEAR(Table1_1[[#This Row],[Order Date]])</f>
        <v>2025</v>
      </c>
      <c r="D806" s="22" t="str">
        <f>TEXT(Table1_1[[#This Row],[Order Date]],"MMMM")</f>
        <v>February</v>
      </c>
      <c r="E806" s="22" t="s">
        <v>36</v>
      </c>
      <c r="F806" s="22" t="s">
        <v>121</v>
      </c>
      <c r="G806" s="22" t="s">
        <v>105</v>
      </c>
      <c r="H806" s="22" t="s">
        <v>19</v>
      </c>
      <c r="I806" s="22" t="s">
        <v>40</v>
      </c>
      <c r="J806" s="22" t="s">
        <v>41</v>
      </c>
      <c r="K806" s="22" t="s">
        <v>1624</v>
      </c>
      <c r="L806" s="22" t="s">
        <v>57</v>
      </c>
      <c r="M806" s="22" t="s">
        <v>34</v>
      </c>
      <c r="N806" s="22">
        <v>6</v>
      </c>
      <c r="O806" s="26">
        <v>48990</v>
      </c>
      <c r="P806" s="22">
        <v>0.05</v>
      </c>
      <c r="Q806" s="30">
        <v>30100</v>
      </c>
      <c r="R806" s="33">
        <f>Table1_1[[#This Row],[Units Sold]]*Table1_1[[#This Row],[Unit Price]]*1-Table1_1[[#This Row],[Discount]]</f>
        <v>293939.95</v>
      </c>
      <c r="S806" s="33">
        <f>Table1_1[[#This Row],[Units Sold]]*Table1_1[[#This Row],[Unit Cost]]</f>
        <v>180600</v>
      </c>
      <c r="T806" s="33">
        <f>Table1_1[[#This Row],[Sales Amount]]-S806</f>
        <v>113339.95000000001</v>
      </c>
      <c r="U806" s="32">
        <f>IFERROR(Table1_1[[#This Row],[Profit/loss]]/Table1_1[[#This Row],[Sales Amount]],0)</f>
        <v>0.38558879117996725</v>
      </c>
    </row>
    <row r="807" spans="1:21" ht="18" x14ac:dyDescent="0.35">
      <c r="A807" s="21" t="s">
        <v>914</v>
      </c>
      <c r="B807" s="36">
        <v>45689</v>
      </c>
      <c r="C807" s="22">
        <f>YEAR(Table1_1[[#This Row],[Order Date]])</f>
        <v>2025</v>
      </c>
      <c r="D807" s="22" t="str">
        <f>TEXT(Table1_1[[#This Row],[Order Date]],"MMMM")</f>
        <v>February</v>
      </c>
      <c r="E807" s="22" t="s">
        <v>82</v>
      </c>
      <c r="F807" s="22" t="s">
        <v>183</v>
      </c>
      <c r="G807" s="22" t="s">
        <v>50</v>
      </c>
      <c r="H807" s="22" t="s">
        <v>19</v>
      </c>
      <c r="I807" s="22" t="s">
        <v>54</v>
      </c>
      <c r="J807" s="22" t="s">
        <v>90</v>
      </c>
      <c r="K807" s="22" t="s">
        <v>1631</v>
      </c>
      <c r="L807" s="22" t="s">
        <v>23</v>
      </c>
      <c r="M807" s="22" t="s">
        <v>66</v>
      </c>
      <c r="N807" s="22">
        <v>1</v>
      </c>
      <c r="O807" s="26">
        <v>29010</v>
      </c>
      <c r="P807" s="22">
        <v>0.1</v>
      </c>
      <c r="Q807" s="30">
        <v>19150</v>
      </c>
      <c r="R807" s="33">
        <f>Table1_1[[#This Row],[Units Sold]]*Table1_1[[#This Row],[Unit Price]]*1-Table1_1[[#This Row],[Discount]]</f>
        <v>29009.9</v>
      </c>
      <c r="S807" s="33">
        <f>Table1_1[[#This Row],[Units Sold]]*Table1_1[[#This Row],[Unit Cost]]</f>
        <v>19150</v>
      </c>
      <c r="T807" s="33">
        <f>Table1_1[[#This Row],[Sales Amount]]-S807</f>
        <v>9859.9000000000015</v>
      </c>
      <c r="U807" s="32">
        <f>IFERROR(Table1_1[[#This Row],[Profit/loss]]/Table1_1[[#This Row],[Sales Amount]],0)</f>
        <v>0.33988052354541037</v>
      </c>
    </row>
    <row r="808" spans="1:21" ht="18" x14ac:dyDescent="0.35">
      <c r="A808" s="21" t="s">
        <v>915</v>
      </c>
      <c r="B808" s="36">
        <v>45689</v>
      </c>
      <c r="C808" s="22">
        <f>YEAR(Table1_1[[#This Row],[Order Date]])</f>
        <v>2025</v>
      </c>
      <c r="D808" s="22" t="str">
        <f>TEXT(Table1_1[[#This Row],[Order Date]],"MMMM")</f>
        <v>February</v>
      </c>
      <c r="E808" s="22" t="s">
        <v>16</v>
      </c>
      <c r="F808" s="22" t="s">
        <v>98</v>
      </c>
      <c r="G808" s="22" t="s">
        <v>105</v>
      </c>
      <c r="H808" s="22" t="s">
        <v>39</v>
      </c>
      <c r="I808" s="22" t="s">
        <v>40</v>
      </c>
      <c r="J808" s="22" t="s">
        <v>76</v>
      </c>
      <c r="K808" s="22" t="s">
        <v>1620</v>
      </c>
      <c r="L808" s="22" t="s">
        <v>57</v>
      </c>
      <c r="M808" s="22" t="s">
        <v>66</v>
      </c>
      <c r="N808" s="22">
        <v>22</v>
      </c>
      <c r="O808" s="26">
        <v>52990</v>
      </c>
      <c r="P808" s="22">
        <v>0.2</v>
      </c>
      <c r="Q808" s="30">
        <v>39500</v>
      </c>
      <c r="R808" s="33">
        <f>Table1_1[[#This Row],[Units Sold]]*Table1_1[[#This Row],[Unit Price]]*1-Table1_1[[#This Row],[Discount]]</f>
        <v>1165779.8</v>
      </c>
      <c r="S808" s="33">
        <f>Table1_1[[#This Row],[Units Sold]]*Table1_1[[#This Row],[Unit Cost]]</f>
        <v>869000</v>
      </c>
      <c r="T808" s="33">
        <f>Table1_1[[#This Row],[Sales Amount]]-S808</f>
        <v>296779.80000000005</v>
      </c>
      <c r="U808" s="32">
        <f>IFERROR(Table1_1[[#This Row],[Profit/loss]]/Table1_1[[#This Row],[Sales Amount]],0)</f>
        <v>0.2545762072734491</v>
      </c>
    </row>
    <row r="809" spans="1:21" ht="18" x14ac:dyDescent="0.35">
      <c r="A809" s="21" t="s">
        <v>916</v>
      </c>
      <c r="B809" s="36">
        <v>45689</v>
      </c>
      <c r="C809" s="22">
        <f>YEAR(Table1_1[[#This Row],[Order Date]])</f>
        <v>2025</v>
      </c>
      <c r="D809" s="22" t="str">
        <f>TEXT(Table1_1[[#This Row],[Order Date]],"MMMM")</f>
        <v>February</v>
      </c>
      <c r="E809" s="22" t="s">
        <v>82</v>
      </c>
      <c r="F809" s="22" t="s">
        <v>87</v>
      </c>
      <c r="G809" s="22" t="s">
        <v>50</v>
      </c>
      <c r="H809" s="22" t="s">
        <v>39</v>
      </c>
      <c r="I809" s="22" t="s">
        <v>54</v>
      </c>
      <c r="J809" s="22" t="s">
        <v>90</v>
      </c>
      <c r="K809" s="22" t="s">
        <v>1631</v>
      </c>
      <c r="L809" s="22" t="s">
        <v>23</v>
      </c>
      <c r="M809" s="22" t="s">
        <v>66</v>
      </c>
      <c r="N809" s="22">
        <v>38</v>
      </c>
      <c r="O809" s="26">
        <v>29010</v>
      </c>
      <c r="P809" s="22">
        <v>0.2</v>
      </c>
      <c r="Q809" s="30">
        <v>19150</v>
      </c>
      <c r="R809" s="33">
        <f>Table1_1[[#This Row],[Units Sold]]*Table1_1[[#This Row],[Unit Price]]*1-Table1_1[[#This Row],[Discount]]</f>
        <v>1102379.8</v>
      </c>
      <c r="S809" s="33">
        <f>Table1_1[[#This Row],[Units Sold]]*Table1_1[[#This Row],[Unit Cost]]</f>
        <v>727700</v>
      </c>
      <c r="T809" s="33">
        <f>Table1_1[[#This Row],[Sales Amount]]-S809</f>
        <v>374679.80000000005</v>
      </c>
      <c r="U809" s="32">
        <f>IFERROR(Table1_1[[#This Row],[Profit/loss]]/Table1_1[[#This Row],[Sales Amount]],0)</f>
        <v>0.33988267927260646</v>
      </c>
    </row>
    <row r="810" spans="1:21" ht="18" x14ac:dyDescent="0.35">
      <c r="A810" s="21" t="s">
        <v>917</v>
      </c>
      <c r="B810" s="36">
        <v>45689</v>
      </c>
      <c r="C810" s="22">
        <f>YEAR(Table1_1[[#This Row],[Order Date]])</f>
        <v>2025</v>
      </c>
      <c r="D810" s="22" t="str">
        <f>TEXT(Table1_1[[#This Row],[Order Date]],"MMMM")</f>
        <v>February</v>
      </c>
      <c r="E810" s="22" t="s">
        <v>48</v>
      </c>
      <c r="F810" s="22" t="s">
        <v>68</v>
      </c>
      <c r="G810" s="22" t="s">
        <v>105</v>
      </c>
      <c r="H810" s="22" t="s">
        <v>19</v>
      </c>
      <c r="I810" s="22" t="s">
        <v>40</v>
      </c>
      <c r="J810" s="22" t="s">
        <v>76</v>
      </c>
      <c r="K810" s="22" t="s">
        <v>113</v>
      </c>
      <c r="L810" s="22" t="s">
        <v>33</v>
      </c>
      <c r="M810" s="22" t="s">
        <v>34</v>
      </c>
      <c r="N810" s="22">
        <v>26</v>
      </c>
      <c r="O810" s="26">
        <v>22999</v>
      </c>
      <c r="P810" s="22">
        <v>0.15</v>
      </c>
      <c r="Q810" s="30">
        <v>15100</v>
      </c>
      <c r="R810" s="33">
        <f>Table1_1[[#This Row],[Units Sold]]*Table1_1[[#This Row],[Unit Price]]*1-Table1_1[[#This Row],[Discount]]</f>
        <v>597973.85</v>
      </c>
      <c r="S810" s="33">
        <f>Table1_1[[#This Row],[Units Sold]]*Table1_1[[#This Row],[Unit Cost]]</f>
        <v>392600</v>
      </c>
      <c r="T810" s="33">
        <f>Table1_1[[#This Row],[Sales Amount]]-S810</f>
        <v>205373.84999999998</v>
      </c>
      <c r="U810" s="32">
        <f>IFERROR(Table1_1[[#This Row],[Profit/loss]]/Table1_1[[#This Row],[Sales Amount]],0)</f>
        <v>0.34344955051128068</v>
      </c>
    </row>
    <row r="811" spans="1:21" ht="18" x14ac:dyDescent="0.35">
      <c r="A811" s="21" t="s">
        <v>918</v>
      </c>
      <c r="B811" s="36">
        <v>45690</v>
      </c>
      <c r="C811" s="22">
        <f>YEAR(Table1_1[[#This Row],[Order Date]])</f>
        <v>2025</v>
      </c>
      <c r="D811" s="22" t="str">
        <f>TEXT(Table1_1[[#This Row],[Order Date]],"MMMM")</f>
        <v>February</v>
      </c>
      <c r="E811" s="22" t="s">
        <v>36</v>
      </c>
      <c r="F811" s="22" t="s">
        <v>37</v>
      </c>
      <c r="G811" s="22" t="s">
        <v>75</v>
      </c>
      <c r="H811" s="22" t="s">
        <v>19</v>
      </c>
      <c r="I811" s="22" t="s">
        <v>30</v>
      </c>
      <c r="J811" s="22" t="s">
        <v>31</v>
      </c>
      <c r="K811" s="22" t="s">
        <v>106</v>
      </c>
      <c r="L811" s="22" t="s">
        <v>33</v>
      </c>
      <c r="M811" s="22" t="s">
        <v>24</v>
      </c>
      <c r="N811" s="22">
        <v>33</v>
      </c>
      <c r="O811" s="26">
        <v>52990</v>
      </c>
      <c r="P811" s="22">
        <v>0.05</v>
      </c>
      <c r="Q811" s="30">
        <v>35100</v>
      </c>
      <c r="R811" s="33">
        <f>Table1_1[[#This Row],[Units Sold]]*Table1_1[[#This Row],[Unit Price]]*1-Table1_1[[#This Row],[Discount]]</f>
        <v>1748669.95</v>
      </c>
      <c r="S811" s="33">
        <f>Table1_1[[#This Row],[Units Sold]]*Table1_1[[#This Row],[Unit Cost]]</f>
        <v>1158300</v>
      </c>
      <c r="T811" s="33">
        <f>Table1_1[[#This Row],[Sales Amount]]-S811</f>
        <v>590369.94999999995</v>
      </c>
      <c r="U811" s="32">
        <f>IFERROR(Table1_1[[#This Row],[Profit/loss]]/Table1_1[[#This Row],[Sales Amount]],0)</f>
        <v>0.33761085103566857</v>
      </c>
    </row>
    <row r="812" spans="1:21" ht="18" x14ac:dyDescent="0.35">
      <c r="A812" s="21" t="s">
        <v>919</v>
      </c>
      <c r="B812" s="36">
        <v>45690</v>
      </c>
      <c r="C812" s="22">
        <f>YEAR(Table1_1[[#This Row],[Order Date]])</f>
        <v>2025</v>
      </c>
      <c r="D812" s="22" t="str">
        <f>TEXT(Table1_1[[#This Row],[Order Date]],"MMMM")</f>
        <v>February</v>
      </c>
      <c r="E812" s="22" t="s">
        <v>36</v>
      </c>
      <c r="F812" s="22" t="s">
        <v>59</v>
      </c>
      <c r="G812" s="22" t="s">
        <v>75</v>
      </c>
      <c r="H812" s="22" t="s">
        <v>39</v>
      </c>
      <c r="I812" s="22" t="s">
        <v>40</v>
      </c>
      <c r="J812" s="22" t="s">
        <v>64</v>
      </c>
      <c r="K812" s="22" t="s">
        <v>1629</v>
      </c>
      <c r="L812" s="22" t="s">
        <v>23</v>
      </c>
      <c r="M812" s="22" t="s">
        <v>24</v>
      </c>
      <c r="N812" s="22">
        <v>5</v>
      </c>
      <c r="O812" s="26">
        <v>3299</v>
      </c>
      <c r="P812" s="22">
        <v>0.15</v>
      </c>
      <c r="Q812" s="30">
        <v>2050</v>
      </c>
      <c r="R812" s="33">
        <f>Table1_1[[#This Row],[Units Sold]]*Table1_1[[#This Row],[Unit Price]]*1-Table1_1[[#This Row],[Discount]]</f>
        <v>16494.849999999999</v>
      </c>
      <c r="S812" s="33">
        <f>Table1_1[[#This Row],[Units Sold]]*Table1_1[[#This Row],[Unit Cost]]</f>
        <v>10250</v>
      </c>
      <c r="T812" s="33">
        <f>Table1_1[[#This Row],[Sales Amount]]-S812</f>
        <v>6244.8499999999985</v>
      </c>
      <c r="U812" s="32">
        <f>IFERROR(Table1_1[[#This Row],[Profit/loss]]/Table1_1[[#This Row],[Sales Amount]],0)</f>
        <v>0.37859392477045861</v>
      </c>
    </row>
    <row r="813" spans="1:21" ht="18" x14ac:dyDescent="0.35">
      <c r="A813" s="21" t="s">
        <v>920</v>
      </c>
      <c r="B813" s="36">
        <v>45690</v>
      </c>
      <c r="C813" s="22">
        <f>YEAR(Table1_1[[#This Row],[Order Date]])</f>
        <v>2025</v>
      </c>
      <c r="D813" s="22" t="str">
        <f>TEXT(Table1_1[[#This Row],[Order Date]],"MMMM")</f>
        <v>February</v>
      </c>
      <c r="E813" s="22" t="s">
        <v>48</v>
      </c>
      <c r="F813" s="22" t="s">
        <v>136</v>
      </c>
      <c r="G813" s="22" t="s">
        <v>38</v>
      </c>
      <c r="H813" s="22" t="s">
        <v>19</v>
      </c>
      <c r="I813" s="22" t="s">
        <v>30</v>
      </c>
      <c r="J813" s="22" t="s">
        <v>31</v>
      </c>
      <c r="K813" s="22" t="s">
        <v>106</v>
      </c>
      <c r="L813" s="22" t="s">
        <v>33</v>
      </c>
      <c r="M813" s="22" t="s">
        <v>24</v>
      </c>
      <c r="N813" s="22">
        <v>37</v>
      </c>
      <c r="O813" s="26">
        <v>52990</v>
      </c>
      <c r="P813" s="22">
        <v>0.12</v>
      </c>
      <c r="Q813" s="30">
        <v>35100</v>
      </c>
      <c r="R813" s="33">
        <f>Table1_1[[#This Row],[Units Sold]]*Table1_1[[#This Row],[Unit Price]]*1-Table1_1[[#This Row],[Discount]]</f>
        <v>1960629.88</v>
      </c>
      <c r="S813" s="33">
        <f>Table1_1[[#This Row],[Units Sold]]*Table1_1[[#This Row],[Unit Cost]]</f>
        <v>1298700</v>
      </c>
      <c r="T813" s="33">
        <f>Table1_1[[#This Row],[Sales Amount]]-S813</f>
        <v>661929.87999999989</v>
      </c>
      <c r="U813" s="32">
        <f>IFERROR(Table1_1[[#This Row],[Profit/loss]]/Table1_1[[#This Row],[Sales Amount]],0)</f>
        <v>0.33761082943405918</v>
      </c>
    </row>
    <row r="814" spans="1:21" ht="18" x14ac:dyDescent="0.35">
      <c r="A814" s="21" t="s">
        <v>921</v>
      </c>
      <c r="B814" s="36">
        <v>45691</v>
      </c>
      <c r="C814" s="22">
        <f>YEAR(Table1_1[[#This Row],[Order Date]])</f>
        <v>2025</v>
      </c>
      <c r="D814" s="22" t="str">
        <f>TEXT(Table1_1[[#This Row],[Order Date]],"MMMM")</f>
        <v>February</v>
      </c>
      <c r="E814" s="22" t="s">
        <v>26</v>
      </c>
      <c r="F814" s="22" t="s">
        <v>27</v>
      </c>
      <c r="G814" s="22" t="s">
        <v>60</v>
      </c>
      <c r="H814" s="22" t="s">
        <v>19</v>
      </c>
      <c r="I814" s="22" t="s">
        <v>40</v>
      </c>
      <c r="J814" s="22" t="s">
        <v>76</v>
      </c>
      <c r="K814" s="22" t="s">
        <v>1620</v>
      </c>
      <c r="L814" s="22" t="s">
        <v>57</v>
      </c>
      <c r="M814" s="22" t="s">
        <v>34</v>
      </c>
      <c r="N814" s="22">
        <v>11</v>
      </c>
      <c r="O814" s="26">
        <v>52990</v>
      </c>
      <c r="P814" s="22">
        <v>0.08</v>
      </c>
      <c r="Q814" s="30">
        <v>39500</v>
      </c>
      <c r="R814" s="33">
        <f>Table1_1[[#This Row],[Units Sold]]*Table1_1[[#This Row],[Unit Price]]*1-Table1_1[[#This Row],[Discount]]</f>
        <v>582889.92000000004</v>
      </c>
      <c r="S814" s="33">
        <f>Table1_1[[#This Row],[Units Sold]]*Table1_1[[#This Row],[Unit Cost]]</f>
        <v>434500</v>
      </c>
      <c r="T814" s="33">
        <f>Table1_1[[#This Row],[Sales Amount]]-S814</f>
        <v>148389.92000000004</v>
      </c>
      <c r="U814" s="32">
        <f>IFERROR(Table1_1[[#This Row],[Profit/loss]]/Table1_1[[#This Row],[Sales Amount]],0)</f>
        <v>0.25457623285027819</v>
      </c>
    </row>
    <row r="815" spans="1:21" ht="18" x14ac:dyDescent="0.35">
      <c r="A815" s="21" t="s">
        <v>922</v>
      </c>
      <c r="B815" s="36">
        <v>45691</v>
      </c>
      <c r="C815" s="22">
        <f>YEAR(Table1_1[[#This Row],[Order Date]])</f>
        <v>2025</v>
      </c>
      <c r="D815" s="22" t="str">
        <f>TEXT(Table1_1[[#This Row],[Order Date]],"MMMM")</f>
        <v>February</v>
      </c>
      <c r="E815" s="22" t="s">
        <v>26</v>
      </c>
      <c r="F815" s="22" t="s">
        <v>27</v>
      </c>
      <c r="G815" s="22" t="s">
        <v>75</v>
      </c>
      <c r="H815" s="22" t="s">
        <v>19</v>
      </c>
      <c r="I815" s="22" t="s">
        <v>20</v>
      </c>
      <c r="J815" s="22" t="s">
        <v>45</v>
      </c>
      <c r="K815" s="22" t="s">
        <v>1618</v>
      </c>
      <c r="L815" s="22" t="s">
        <v>57</v>
      </c>
      <c r="M815" s="22" t="s">
        <v>24</v>
      </c>
      <c r="N815" s="22">
        <v>20</v>
      </c>
      <c r="O815" s="26">
        <v>1899</v>
      </c>
      <c r="P815" s="22">
        <v>0.2</v>
      </c>
      <c r="Q815" s="30">
        <v>1080</v>
      </c>
      <c r="R815" s="33">
        <f>Table1_1[[#This Row],[Units Sold]]*Table1_1[[#This Row],[Unit Price]]*1-Table1_1[[#This Row],[Discount]]</f>
        <v>37979.800000000003</v>
      </c>
      <c r="S815" s="33">
        <f>Table1_1[[#This Row],[Units Sold]]*Table1_1[[#This Row],[Unit Cost]]</f>
        <v>21600</v>
      </c>
      <c r="T815" s="33">
        <f>Table1_1[[#This Row],[Sales Amount]]-S815</f>
        <v>16379.800000000003</v>
      </c>
      <c r="U815" s="32">
        <f>IFERROR(Table1_1[[#This Row],[Profit/loss]]/Table1_1[[#This Row],[Sales Amount]],0)</f>
        <v>0.4312766259959242</v>
      </c>
    </row>
    <row r="816" spans="1:21" ht="18" x14ac:dyDescent="0.35">
      <c r="A816" s="21" t="s">
        <v>923</v>
      </c>
      <c r="B816" s="36">
        <v>45691</v>
      </c>
      <c r="C816" s="22">
        <f>YEAR(Table1_1[[#This Row],[Order Date]])</f>
        <v>2025</v>
      </c>
      <c r="D816" s="22" t="str">
        <f>TEXT(Table1_1[[#This Row],[Order Date]],"MMMM")</f>
        <v>February</v>
      </c>
      <c r="E816" s="22" t="s">
        <v>48</v>
      </c>
      <c r="F816" s="22" t="s">
        <v>68</v>
      </c>
      <c r="G816" s="22" t="s">
        <v>84</v>
      </c>
      <c r="H816" s="22" t="s">
        <v>19</v>
      </c>
      <c r="I816" s="22" t="s">
        <v>30</v>
      </c>
      <c r="J816" s="22" t="s">
        <v>61</v>
      </c>
      <c r="K816" s="22" t="s">
        <v>62</v>
      </c>
      <c r="L816" s="22" t="s">
        <v>33</v>
      </c>
      <c r="M816" s="22" t="s">
        <v>24</v>
      </c>
      <c r="N816" s="22">
        <v>20</v>
      </c>
      <c r="O816" s="26">
        <v>12490</v>
      </c>
      <c r="P816" s="22">
        <v>0.2</v>
      </c>
      <c r="Q816" s="30">
        <v>7900</v>
      </c>
      <c r="R816" s="33">
        <f>Table1_1[[#This Row],[Units Sold]]*Table1_1[[#This Row],[Unit Price]]*1-Table1_1[[#This Row],[Discount]]</f>
        <v>249799.8</v>
      </c>
      <c r="S816" s="33">
        <f>Table1_1[[#This Row],[Units Sold]]*Table1_1[[#This Row],[Unit Cost]]</f>
        <v>158000</v>
      </c>
      <c r="T816" s="33">
        <f>Table1_1[[#This Row],[Sales Amount]]-S816</f>
        <v>91799.799999999988</v>
      </c>
      <c r="U816" s="32">
        <f>IFERROR(Table1_1[[#This Row],[Profit/loss]]/Table1_1[[#This Row],[Sales Amount]],0)</f>
        <v>0.36749348878581967</v>
      </c>
    </row>
    <row r="817" spans="1:21" ht="18" x14ac:dyDescent="0.35">
      <c r="A817" s="21" t="s">
        <v>924</v>
      </c>
      <c r="B817" s="36">
        <v>45691</v>
      </c>
      <c r="C817" s="22">
        <f>YEAR(Table1_1[[#This Row],[Order Date]])</f>
        <v>2025</v>
      </c>
      <c r="D817" s="22" t="str">
        <f>TEXT(Table1_1[[#This Row],[Order Date]],"MMMM")</f>
        <v>February</v>
      </c>
      <c r="E817" s="22" t="s">
        <v>48</v>
      </c>
      <c r="F817" s="22" t="s">
        <v>93</v>
      </c>
      <c r="G817" s="22" t="s">
        <v>75</v>
      </c>
      <c r="H817" s="22" t="s">
        <v>39</v>
      </c>
      <c r="I817" s="22" t="s">
        <v>40</v>
      </c>
      <c r="J817" s="22" t="s">
        <v>76</v>
      </c>
      <c r="K817" s="22" t="s">
        <v>1620</v>
      </c>
      <c r="L817" s="22" t="s">
        <v>57</v>
      </c>
      <c r="M817" s="22" t="s">
        <v>66</v>
      </c>
      <c r="N817" s="22">
        <v>39</v>
      </c>
      <c r="O817" s="26">
        <v>52990</v>
      </c>
      <c r="P817" s="22">
        <v>0.18</v>
      </c>
      <c r="Q817" s="30">
        <v>39500</v>
      </c>
      <c r="R817" s="33">
        <f>Table1_1[[#This Row],[Units Sold]]*Table1_1[[#This Row],[Unit Price]]*1-Table1_1[[#This Row],[Discount]]</f>
        <v>2066609.82</v>
      </c>
      <c r="S817" s="33">
        <f>Table1_1[[#This Row],[Units Sold]]*Table1_1[[#This Row],[Unit Cost]]</f>
        <v>1540500</v>
      </c>
      <c r="T817" s="33">
        <f>Table1_1[[#This Row],[Sales Amount]]-S817</f>
        <v>526109.82000000007</v>
      </c>
      <c r="U817" s="32">
        <f>IFERROR(Table1_1[[#This Row],[Profit/loss]]/Table1_1[[#This Row],[Sales Amount]],0)</f>
        <v>0.25457627023179441</v>
      </c>
    </row>
    <row r="818" spans="1:21" ht="18" x14ac:dyDescent="0.35">
      <c r="A818" s="21" t="s">
        <v>925</v>
      </c>
      <c r="B818" s="36">
        <v>45691</v>
      </c>
      <c r="C818" s="22">
        <f>YEAR(Table1_1[[#This Row],[Order Date]])</f>
        <v>2025</v>
      </c>
      <c r="D818" s="22" t="str">
        <f>TEXT(Table1_1[[#This Row],[Order Date]],"MMMM")</f>
        <v>February</v>
      </c>
      <c r="E818" s="22" t="s">
        <v>16</v>
      </c>
      <c r="F818" s="22" t="s">
        <v>111</v>
      </c>
      <c r="G818" s="22" t="s">
        <v>75</v>
      </c>
      <c r="H818" s="22" t="s">
        <v>39</v>
      </c>
      <c r="I818" s="22" t="s">
        <v>70</v>
      </c>
      <c r="J818" s="22" t="s">
        <v>71</v>
      </c>
      <c r="K818" s="22" t="s">
        <v>80</v>
      </c>
      <c r="L818" s="22" t="s">
        <v>23</v>
      </c>
      <c r="M818" s="22" t="s">
        <v>66</v>
      </c>
      <c r="N818" s="22">
        <v>10</v>
      </c>
      <c r="O818" s="26">
        <v>1299</v>
      </c>
      <c r="P818" s="22">
        <v>0.08</v>
      </c>
      <c r="Q818" s="30">
        <v>720</v>
      </c>
      <c r="R818" s="33">
        <f>Table1_1[[#This Row],[Units Sold]]*Table1_1[[#This Row],[Unit Price]]*1-Table1_1[[#This Row],[Discount]]</f>
        <v>12989.92</v>
      </c>
      <c r="S818" s="33">
        <f>Table1_1[[#This Row],[Units Sold]]*Table1_1[[#This Row],[Unit Cost]]</f>
        <v>7200</v>
      </c>
      <c r="T818" s="33">
        <f>Table1_1[[#This Row],[Sales Amount]]-S818</f>
        <v>5789.92</v>
      </c>
      <c r="U818" s="32">
        <f>IFERROR(Table1_1[[#This Row],[Profit/loss]]/Table1_1[[#This Row],[Sales Amount]],0)</f>
        <v>0.44572406912436718</v>
      </c>
    </row>
    <row r="819" spans="1:21" ht="18" x14ac:dyDescent="0.35">
      <c r="A819" s="21" t="s">
        <v>926</v>
      </c>
      <c r="B819" s="36">
        <v>45692</v>
      </c>
      <c r="C819" s="22">
        <f>YEAR(Table1_1[[#This Row],[Order Date]])</f>
        <v>2025</v>
      </c>
      <c r="D819" s="22" t="str">
        <f>TEXT(Table1_1[[#This Row],[Order Date]],"MMMM")</f>
        <v>February</v>
      </c>
      <c r="E819" s="22" t="s">
        <v>48</v>
      </c>
      <c r="F819" s="22" t="s">
        <v>49</v>
      </c>
      <c r="G819" s="22" t="s">
        <v>60</v>
      </c>
      <c r="H819" s="22" t="s">
        <v>39</v>
      </c>
      <c r="I819" s="22" t="s">
        <v>54</v>
      </c>
      <c r="J819" s="22" t="s">
        <v>90</v>
      </c>
      <c r="K819" s="22" t="s">
        <v>1625</v>
      </c>
      <c r="L819" s="22" t="s">
        <v>57</v>
      </c>
      <c r="M819" s="22" t="s">
        <v>34</v>
      </c>
      <c r="N819" s="22">
        <v>31</v>
      </c>
      <c r="O819" s="26">
        <v>32800</v>
      </c>
      <c r="P819" s="22">
        <v>0.2</v>
      </c>
      <c r="Q819" s="30">
        <v>23100</v>
      </c>
      <c r="R819" s="33">
        <f>Table1_1[[#This Row],[Units Sold]]*Table1_1[[#This Row],[Unit Price]]*1-Table1_1[[#This Row],[Discount]]</f>
        <v>1016799.8</v>
      </c>
      <c r="S819" s="33">
        <f>Table1_1[[#This Row],[Units Sold]]*Table1_1[[#This Row],[Unit Cost]]</f>
        <v>716100</v>
      </c>
      <c r="T819" s="33">
        <f>Table1_1[[#This Row],[Sales Amount]]-S819</f>
        <v>300699.80000000005</v>
      </c>
      <c r="U819" s="32">
        <f>IFERROR(Table1_1[[#This Row],[Profit/loss]]/Table1_1[[#This Row],[Sales Amount]],0)</f>
        <v>0.29573156879063117</v>
      </c>
    </row>
    <row r="820" spans="1:21" ht="18" x14ac:dyDescent="0.35">
      <c r="A820" s="21" t="s">
        <v>927</v>
      </c>
      <c r="B820" s="36">
        <v>45692</v>
      </c>
      <c r="C820" s="22">
        <f>YEAR(Table1_1[[#This Row],[Order Date]])</f>
        <v>2025</v>
      </c>
      <c r="D820" s="22" t="str">
        <f>TEXT(Table1_1[[#This Row],[Order Date]],"MMMM")</f>
        <v>February</v>
      </c>
      <c r="E820" s="22" t="s">
        <v>82</v>
      </c>
      <c r="F820" s="22" t="s">
        <v>183</v>
      </c>
      <c r="G820" s="22" t="s">
        <v>60</v>
      </c>
      <c r="H820" s="22" t="s">
        <v>19</v>
      </c>
      <c r="I820" s="22" t="s">
        <v>70</v>
      </c>
      <c r="J820" s="22" t="s">
        <v>71</v>
      </c>
      <c r="K820" s="22" t="s">
        <v>80</v>
      </c>
      <c r="L820" s="22" t="s">
        <v>23</v>
      </c>
      <c r="M820" s="22" t="s">
        <v>24</v>
      </c>
      <c r="N820" s="22">
        <v>33</v>
      </c>
      <c r="O820" s="26">
        <v>1299</v>
      </c>
      <c r="P820" s="22">
        <v>0.08</v>
      </c>
      <c r="Q820" s="30">
        <v>720</v>
      </c>
      <c r="R820" s="33">
        <f>Table1_1[[#This Row],[Units Sold]]*Table1_1[[#This Row],[Unit Price]]*1-Table1_1[[#This Row],[Discount]]</f>
        <v>42866.92</v>
      </c>
      <c r="S820" s="33">
        <f>Table1_1[[#This Row],[Units Sold]]*Table1_1[[#This Row],[Unit Cost]]</f>
        <v>23760</v>
      </c>
      <c r="T820" s="33">
        <f>Table1_1[[#This Row],[Sales Amount]]-S820</f>
        <v>19106.919999999998</v>
      </c>
      <c r="U820" s="32">
        <f>IFERROR(Table1_1[[#This Row],[Profit/loss]]/Table1_1[[#This Row],[Sales Amount]],0)</f>
        <v>0.44572644827293401</v>
      </c>
    </row>
    <row r="821" spans="1:21" ht="18" x14ac:dyDescent="0.35">
      <c r="A821" s="21" t="s">
        <v>928</v>
      </c>
      <c r="B821" s="36">
        <v>45693</v>
      </c>
      <c r="C821" s="22">
        <f>YEAR(Table1_1[[#This Row],[Order Date]])</f>
        <v>2025</v>
      </c>
      <c r="D821" s="22" t="str">
        <f>TEXT(Table1_1[[#This Row],[Order Date]],"MMMM")</f>
        <v>February</v>
      </c>
      <c r="E821" s="22" t="s">
        <v>48</v>
      </c>
      <c r="F821" s="22" t="s">
        <v>136</v>
      </c>
      <c r="G821" s="22" t="s">
        <v>18</v>
      </c>
      <c r="H821" s="22" t="s">
        <v>19</v>
      </c>
      <c r="I821" s="22" t="s">
        <v>20</v>
      </c>
      <c r="J821" s="22" t="s">
        <v>45</v>
      </c>
      <c r="K821" s="22" t="s">
        <v>196</v>
      </c>
      <c r="L821" s="22" t="s">
        <v>23</v>
      </c>
      <c r="M821" s="22" t="s">
        <v>24</v>
      </c>
      <c r="N821" s="22">
        <v>26</v>
      </c>
      <c r="O821" s="26">
        <v>2499</v>
      </c>
      <c r="P821" s="22">
        <v>0.08</v>
      </c>
      <c r="Q821" s="30">
        <v>1510</v>
      </c>
      <c r="R821" s="33">
        <f>Table1_1[[#This Row],[Units Sold]]*Table1_1[[#This Row],[Unit Price]]*1-Table1_1[[#This Row],[Discount]]</f>
        <v>64973.919999999998</v>
      </c>
      <c r="S821" s="33">
        <f>Table1_1[[#This Row],[Units Sold]]*Table1_1[[#This Row],[Unit Cost]]</f>
        <v>39260</v>
      </c>
      <c r="T821" s="33">
        <f>Table1_1[[#This Row],[Sales Amount]]-S821</f>
        <v>25713.919999999998</v>
      </c>
      <c r="U821" s="32">
        <f>IFERROR(Table1_1[[#This Row],[Profit/loss]]/Table1_1[[#This Row],[Sales Amount]],0)</f>
        <v>0.39575755934073237</v>
      </c>
    </row>
    <row r="822" spans="1:21" ht="18" x14ac:dyDescent="0.35">
      <c r="A822" s="21" t="s">
        <v>929</v>
      </c>
      <c r="B822" s="36">
        <v>45694</v>
      </c>
      <c r="C822" s="22">
        <f>YEAR(Table1_1[[#This Row],[Order Date]])</f>
        <v>2025</v>
      </c>
      <c r="D822" s="22" t="str">
        <f>TEXT(Table1_1[[#This Row],[Order Date]],"MMMM")</f>
        <v>February</v>
      </c>
      <c r="E822" s="22" t="s">
        <v>82</v>
      </c>
      <c r="F822" s="22" t="s">
        <v>87</v>
      </c>
      <c r="G822" s="22" t="s">
        <v>38</v>
      </c>
      <c r="H822" s="22" t="s">
        <v>19</v>
      </c>
      <c r="I822" s="22" t="s">
        <v>30</v>
      </c>
      <c r="J822" s="22" t="s">
        <v>61</v>
      </c>
      <c r="K822" s="22" t="s">
        <v>96</v>
      </c>
      <c r="L822" s="22" t="s">
        <v>57</v>
      </c>
      <c r="M822" s="22" t="s">
        <v>34</v>
      </c>
      <c r="N822" s="22">
        <v>25</v>
      </c>
      <c r="O822" s="26">
        <v>25110</v>
      </c>
      <c r="P822" s="22">
        <v>0.2</v>
      </c>
      <c r="Q822" s="30">
        <v>16730</v>
      </c>
      <c r="R822" s="33">
        <f>Table1_1[[#This Row],[Units Sold]]*Table1_1[[#This Row],[Unit Price]]*1-Table1_1[[#This Row],[Discount]]</f>
        <v>627749.80000000005</v>
      </c>
      <c r="S822" s="33">
        <f>Table1_1[[#This Row],[Units Sold]]*Table1_1[[#This Row],[Unit Cost]]</f>
        <v>418250</v>
      </c>
      <c r="T822" s="33">
        <f>Table1_1[[#This Row],[Sales Amount]]-S822</f>
        <v>209499.80000000005</v>
      </c>
      <c r="U822" s="32">
        <f>IFERROR(Table1_1[[#This Row],[Profit/loss]]/Table1_1[[#This Row],[Sales Amount]],0)</f>
        <v>0.33373136877144371</v>
      </c>
    </row>
    <row r="823" spans="1:21" ht="18" x14ac:dyDescent="0.35">
      <c r="A823" s="21" t="s">
        <v>930</v>
      </c>
      <c r="B823" s="36">
        <v>45694</v>
      </c>
      <c r="C823" s="22">
        <f>YEAR(Table1_1[[#This Row],[Order Date]])</f>
        <v>2025</v>
      </c>
      <c r="D823" s="22" t="str">
        <f>TEXT(Table1_1[[#This Row],[Order Date]],"MMMM")</f>
        <v>February</v>
      </c>
      <c r="E823" s="22" t="s">
        <v>82</v>
      </c>
      <c r="F823" s="22" t="s">
        <v>87</v>
      </c>
      <c r="G823" s="22" t="s">
        <v>60</v>
      </c>
      <c r="H823" s="22" t="s">
        <v>39</v>
      </c>
      <c r="I823" s="22" t="s">
        <v>54</v>
      </c>
      <c r="J823" s="22" t="s">
        <v>129</v>
      </c>
      <c r="K823" s="22" t="s">
        <v>1630</v>
      </c>
      <c r="L823" s="22" t="s">
        <v>23</v>
      </c>
      <c r="M823" s="22" t="s">
        <v>24</v>
      </c>
      <c r="N823" s="22">
        <v>32</v>
      </c>
      <c r="O823" s="26">
        <v>29010</v>
      </c>
      <c r="P823" s="22">
        <v>0.08</v>
      </c>
      <c r="Q823" s="30">
        <v>19100</v>
      </c>
      <c r="R823" s="33">
        <f>Table1_1[[#This Row],[Units Sold]]*Table1_1[[#This Row],[Unit Price]]*1-Table1_1[[#This Row],[Discount]]</f>
        <v>928319.92</v>
      </c>
      <c r="S823" s="33">
        <f>Table1_1[[#This Row],[Units Sold]]*Table1_1[[#This Row],[Unit Cost]]</f>
        <v>611200</v>
      </c>
      <c r="T823" s="33">
        <f>Table1_1[[#This Row],[Sales Amount]]-S823</f>
        <v>317119.92000000004</v>
      </c>
      <c r="U823" s="32">
        <f>IFERROR(Table1_1[[#This Row],[Profit/loss]]/Table1_1[[#This Row],[Sales Amount]],0)</f>
        <v>0.34160628590195502</v>
      </c>
    </row>
    <row r="824" spans="1:21" ht="18" x14ac:dyDescent="0.35">
      <c r="A824" s="21" t="s">
        <v>931</v>
      </c>
      <c r="B824" s="36">
        <v>45695</v>
      </c>
      <c r="C824" s="22">
        <f>YEAR(Table1_1[[#This Row],[Order Date]])</f>
        <v>2025</v>
      </c>
      <c r="D824" s="22" t="str">
        <f>TEXT(Table1_1[[#This Row],[Order Date]],"MMMM")</f>
        <v>February</v>
      </c>
      <c r="E824" s="22" t="s">
        <v>82</v>
      </c>
      <c r="F824" s="22" t="s">
        <v>87</v>
      </c>
      <c r="G824" s="22" t="s">
        <v>105</v>
      </c>
      <c r="H824" s="22" t="s">
        <v>39</v>
      </c>
      <c r="I824" s="22" t="s">
        <v>20</v>
      </c>
      <c r="J824" s="22" t="s">
        <v>21</v>
      </c>
      <c r="K824" s="22" t="s">
        <v>51</v>
      </c>
      <c r="L824" s="22" t="s">
        <v>33</v>
      </c>
      <c r="M824" s="22" t="s">
        <v>24</v>
      </c>
      <c r="N824" s="22">
        <v>24</v>
      </c>
      <c r="O824" s="26">
        <v>5999</v>
      </c>
      <c r="P824" s="22">
        <v>0.05</v>
      </c>
      <c r="Q824" s="30">
        <v>3890</v>
      </c>
      <c r="R824" s="33">
        <f>Table1_1[[#This Row],[Units Sold]]*Table1_1[[#This Row],[Unit Price]]*1-Table1_1[[#This Row],[Discount]]</f>
        <v>143975.95000000001</v>
      </c>
      <c r="S824" s="33">
        <f>Table1_1[[#This Row],[Units Sold]]*Table1_1[[#This Row],[Unit Cost]]</f>
        <v>93360</v>
      </c>
      <c r="T824" s="33">
        <f>Table1_1[[#This Row],[Sales Amount]]-S824</f>
        <v>50615.950000000012</v>
      </c>
      <c r="U824" s="32">
        <f>IFERROR(Table1_1[[#This Row],[Profit/loss]]/Table1_1[[#This Row],[Sales Amount]],0)</f>
        <v>0.35155836790797357</v>
      </c>
    </row>
    <row r="825" spans="1:21" ht="18" x14ac:dyDescent="0.35">
      <c r="A825" s="21" t="s">
        <v>932</v>
      </c>
      <c r="B825" s="36">
        <v>45695</v>
      </c>
      <c r="C825" s="22">
        <f>YEAR(Table1_1[[#This Row],[Order Date]])</f>
        <v>2025</v>
      </c>
      <c r="D825" s="22" t="str">
        <f>TEXT(Table1_1[[#This Row],[Order Date]],"MMMM")</f>
        <v>February</v>
      </c>
      <c r="E825" s="22" t="s">
        <v>36</v>
      </c>
      <c r="F825" s="22" t="s">
        <v>59</v>
      </c>
      <c r="G825" s="22" t="s">
        <v>69</v>
      </c>
      <c r="H825" s="22" t="s">
        <v>29</v>
      </c>
      <c r="I825" s="22" t="s">
        <v>40</v>
      </c>
      <c r="J825" s="22" t="s">
        <v>41</v>
      </c>
      <c r="K825" s="22" t="s">
        <v>42</v>
      </c>
      <c r="L825" s="22" t="s">
        <v>57</v>
      </c>
      <c r="M825" s="22" t="s">
        <v>24</v>
      </c>
      <c r="N825" s="22">
        <v>23</v>
      </c>
      <c r="O825" s="26">
        <v>55230</v>
      </c>
      <c r="P825" s="22">
        <v>0.08</v>
      </c>
      <c r="Q825" s="30">
        <v>33800</v>
      </c>
      <c r="R825" s="33">
        <f>Table1_1[[#This Row],[Units Sold]]*Table1_1[[#This Row],[Unit Price]]*1-Table1_1[[#This Row],[Discount]]</f>
        <v>1270289.9199999999</v>
      </c>
      <c r="S825" s="33">
        <f>Table1_1[[#This Row],[Units Sold]]*Table1_1[[#This Row],[Unit Cost]]</f>
        <v>777400</v>
      </c>
      <c r="T825" s="33">
        <f>Table1_1[[#This Row],[Sales Amount]]-S825</f>
        <v>492889.91999999993</v>
      </c>
      <c r="U825" s="32">
        <f>IFERROR(Table1_1[[#This Row],[Profit/loss]]/Table1_1[[#This Row],[Sales Amount]],0)</f>
        <v>0.38801372209581886</v>
      </c>
    </row>
    <row r="826" spans="1:21" ht="18" x14ac:dyDescent="0.35">
      <c r="A826" s="21" t="s">
        <v>933</v>
      </c>
      <c r="B826" s="36">
        <v>45695</v>
      </c>
      <c r="C826" s="22">
        <f>YEAR(Table1_1[[#This Row],[Order Date]])</f>
        <v>2025</v>
      </c>
      <c r="D826" s="22" t="str">
        <f>TEXT(Table1_1[[#This Row],[Order Date]],"MMMM")</f>
        <v>February</v>
      </c>
      <c r="E826" s="22" t="s">
        <v>48</v>
      </c>
      <c r="F826" s="22" t="s">
        <v>136</v>
      </c>
      <c r="G826" s="22" t="s">
        <v>69</v>
      </c>
      <c r="H826" s="22" t="s">
        <v>19</v>
      </c>
      <c r="I826" s="22" t="s">
        <v>40</v>
      </c>
      <c r="J826" s="22" t="s">
        <v>41</v>
      </c>
      <c r="K826" s="22" t="s">
        <v>1624</v>
      </c>
      <c r="L826" s="22" t="s">
        <v>57</v>
      </c>
      <c r="M826" s="22" t="s">
        <v>24</v>
      </c>
      <c r="N826" s="22">
        <v>3</v>
      </c>
      <c r="O826" s="26">
        <v>48990</v>
      </c>
      <c r="P826" s="22">
        <v>0.2</v>
      </c>
      <c r="Q826" s="30">
        <v>30100</v>
      </c>
      <c r="R826" s="33">
        <f>Table1_1[[#This Row],[Units Sold]]*Table1_1[[#This Row],[Unit Price]]*1-Table1_1[[#This Row],[Discount]]</f>
        <v>146969.79999999999</v>
      </c>
      <c r="S826" s="33">
        <f>Table1_1[[#This Row],[Units Sold]]*Table1_1[[#This Row],[Unit Cost]]</f>
        <v>90300</v>
      </c>
      <c r="T826" s="33">
        <f>Table1_1[[#This Row],[Sales Amount]]-S826</f>
        <v>56669.799999999988</v>
      </c>
      <c r="U826" s="32">
        <f>IFERROR(Table1_1[[#This Row],[Profit/loss]]/Table1_1[[#This Row],[Sales Amount]],0)</f>
        <v>0.385588059587752</v>
      </c>
    </row>
    <row r="827" spans="1:21" ht="18" x14ac:dyDescent="0.35">
      <c r="A827" s="21" t="s">
        <v>934</v>
      </c>
      <c r="B827" s="36">
        <v>45696</v>
      </c>
      <c r="C827" s="22">
        <f>YEAR(Table1_1[[#This Row],[Order Date]])</f>
        <v>2025</v>
      </c>
      <c r="D827" s="22" t="str">
        <f>TEXT(Table1_1[[#This Row],[Order Date]],"MMMM")</f>
        <v>February</v>
      </c>
      <c r="E827" s="22" t="s">
        <v>16</v>
      </c>
      <c r="F827" s="22" t="s">
        <v>98</v>
      </c>
      <c r="G827" s="22" t="s">
        <v>18</v>
      </c>
      <c r="H827" s="22" t="s">
        <v>19</v>
      </c>
      <c r="I827" s="22" t="s">
        <v>30</v>
      </c>
      <c r="J827" s="22" t="s">
        <v>31</v>
      </c>
      <c r="K827" s="22" t="s">
        <v>106</v>
      </c>
      <c r="L827" s="22" t="s">
        <v>57</v>
      </c>
      <c r="M827" s="22" t="s">
        <v>24</v>
      </c>
      <c r="N827" s="22">
        <v>11</v>
      </c>
      <c r="O827" s="26">
        <v>52990</v>
      </c>
      <c r="P827" s="22">
        <v>0.1</v>
      </c>
      <c r="Q827" s="30">
        <v>35100</v>
      </c>
      <c r="R827" s="33">
        <f>Table1_1[[#This Row],[Units Sold]]*Table1_1[[#This Row],[Unit Price]]*1-Table1_1[[#This Row],[Discount]]</f>
        <v>582889.9</v>
      </c>
      <c r="S827" s="33">
        <f>Table1_1[[#This Row],[Units Sold]]*Table1_1[[#This Row],[Unit Cost]]</f>
        <v>386100</v>
      </c>
      <c r="T827" s="33">
        <f>Table1_1[[#This Row],[Sales Amount]]-S827</f>
        <v>196789.90000000002</v>
      </c>
      <c r="U827" s="32">
        <f>IFERROR(Table1_1[[#This Row],[Profit/loss]]/Table1_1[[#This Row],[Sales Amount]],0)</f>
        <v>0.33761075633665982</v>
      </c>
    </row>
    <row r="828" spans="1:21" ht="18" x14ac:dyDescent="0.35">
      <c r="A828" s="21" t="s">
        <v>935</v>
      </c>
      <c r="B828" s="36">
        <v>45696</v>
      </c>
      <c r="C828" s="22">
        <f>YEAR(Table1_1[[#This Row],[Order Date]])</f>
        <v>2025</v>
      </c>
      <c r="D828" s="22" t="str">
        <f>TEXT(Table1_1[[#This Row],[Order Date]],"MMMM")</f>
        <v>February</v>
      </c>
      <c r="E828" s="22" t="s">
        <v>48</v>
      </c>
      <c r="F828" s="22" t="s">
        <v>136</v>
      </c>
      <c r="G828" s="22" t="s">
        <v>84</v>
      </c>
      <c r="H828" s="22" t="s">
        <v>29</v>
      </c>
      <c r="I828" s="22" t="s">
        <v>30</v>
      </c>
      <c r="J828" s="22" t="s">
        <v>61</v>
      </c>
      <c r="K828" s="22" t="s">
        <v>96</v>
      </c>
      <c r="L828" s="22" t="s">
        <v>23</v>
      </c>
      <c r="M828" s="22" t="s">
        <v>24</v>
      </c>
      <c r="N828" s="22">
        <v>6</v>
      </c>
      <c r="O828" s="26">
        <v>25110</v>
      </c>
      <c r="P828" s="22">
        <v>0.2</v>
      </c>
      <c r="Q828" s="30">
        <v>16730</v>
      </c>
      <c r="R828" s="33">
        <f>Table1_1[[#This Row],[Units Sold]]*Table1_1[[#This Row],[Unit Price]]*1-Table1_1[[#This Row],[Discount]]</f>
        <v>150659.79999999999</v>
      </c>
      <c r="S828" s="33">
        <f>Table1_1[[#This Row],[Units Sold]]*Table1_1[[#This Row],[Unit Cost]]</f>
        <v>100380</v>
      </c>
      <c r="T828" s="33">
        <f>Table1_1[[#This Row],[Sales Amount]]-S828</f>
        <v>50279.799999999988</v>
      </c>
      <c r="U828" s="32">
        <f>IFERROR(Table1_1[[#This Row],[Profit/loss]]/Table1_1[[#This Row],[Sales Amount]],0)</f>
        <v>0.33373069657599436</v>
      </c>
    </row>
    <row r="829" spans="1:21" ht="18" x14ac:dyDescent="0.35">
      <c r="A829" s="21" t="s">
        <v>936</v>
      </c>
      <c r="B829" s="36">
        <v>45697</v>
      </c>
      <c r="C829" s="22">
        <f>YEAR(Table1_1[[#This Row],[Order Date]])</f>
        <v>2025</v>
      </c>
      <c r="D829" s="22" t="str">
        <f>TEXT(Table1_1[[#This Row],[Order Date]],"MMMM")</f>
        <v>February</v>
      </c>
      <c r="E829" s="22" t="s">
        <v>82</v>
      </c>
      <c r="F829" s="22" t="s">
        <v>100</v>
      </c>
      <c r="G829" s="22" t="s">
        <v>75</v>
      </c>
      <c r="H829" s="22" t="s">
        <v>39</v>
      </c>
      <c r="I829" s="22" t="s">
        <v>40</v>
      </c>
      <c r="J829" s="22" t="s">
        <v>41</v>
      </c>
      <c r="K829" s="22" t="s">
        <v>42</v>
      </c>
      <c r="L829" s="22" t="s">
        <v>33</v>
      </c>
      <c r="M829" s="22" t="s">
        <v>78</v>
      </c>
      <c r="N829" s="22">
        <v>26</v>
      </c>
      <c r="O829" s="26">
        <v>55230</v>
      </c>
      <c r="P829" s="22">
        <v>0.08</v>
      </c>
      <c r="Q829" s="30">
        <v>33800</v>
      </c>
      <c r="R829" s="33">
        <f>Table1_1[[#This Row],[Units Sold]]*Table1_1[[#This Row],[Unit Price]]*1-Table1_1[[#This Row],[Discount]]</f>
        <v>1435979.92</v>
      </c>
      <c r="S829" s="33">
        <f>Table1_1[[#This Row],[Units Sold]]*Table1_1[[#This Row],[Unit Cost]]</f>
        <v>878800</v>
      </c>
      <c r="T829" s="33">
        <f>Table1_1[[#This Row],[Sales Amount]]-S829</f>
        <v>557179.91999999993</v>
      </c>
      <c r="U829" s="32">
        <f>IFERROR(Table1_1[[#This Row],[Profit/loss]]/Table1_1[[#This Row],[Sales Amount]],0)</f>
        <v>0.3880137265429171</v>
      </c>
    </row>
    <row r="830" spans="1:21" ht="18" x14ac:dyDescent="0.35">
      <c r="A830" s="21" t="s">
        <v>937</v>
      </c>
      <c r="B830" s="36">
        <v>45697</v>
      </c>
      <c r="C830" s="22">
        <f>YEAR(Table1_1[[#This Row],[Order Date]])</f>
        <v>2025</v>
      </c>
      <c r="D830" s="22" t="str">
        <f>TEXT(Table1_1[[#This Row],[Order Date]],"MMMM")</f>
        <v>February</v>
      </c>
      <c r="E830" s="22" t="s">
        <v>48</v>
      </c>
      <c r="F830" s="22" t="s">
        <v>49</v>
      </c>
      <c r="G830" s="22" t="s">
        <v>28</v>
      </c>
      <c r="H830" s="22" t="s">
        <v>39</v>
      </c>
      <c r="I830" s="22" t="s">
        <v>54</v>
      </c>
      <c r="J830" s="22" t="s">
        <v>55</v>
      </c>
      <c r="K830" s="22" t="s">
        <v>148</v>
      </c>
      <c r="L830" s="22" t="s">
        <v>57</v>
      </c>
      <c r="M830" s="22" t="s">
        <v>24</v>
      </c>
      <c r="N830" s="22">
        <v>6</v>
      </c>
      <c r="O830" s="26">
        <v>4680</v>
      </c>
      <c r="P830" s="22">
        <v>0.08</v>
      </c>
      <c r="Q830" s="30">
        <v>3250</v>
      </c>
      <c r="R830" s="33">
        <f>Table1_1[[#This Row],[Units Sold]]*Table1_1[[#This Row],[Unit Price]]*1-Table1_1[[#This Row],[Discount]]</f>
        <v>28079.919999999998</v>
      </c>
      <c r="S830" s="33">
        <f>Table1_1[[#This Row],[Units Sold]]*Table1_1[[#This Row],[Unit Cost]]</f>
        <v>19500</v>
      </c>
      <c r="T830" s="33">
        <f>Table1_1[[#This Row],[Sales Amount]]-S830</f>
        <v>8579.9199999999983</v>
      </c>
      <c r="U830" s="32">
        <f>IFERROR(Table1_1[[#This Row],[Profit/loss]]/Table1_1[[#This Row],[Sales Amount]],0)</f>
        <v>0.30555357707571812</v>
      </c>
    </row>
    <row r="831" spans="1:21" ht="18" x14ac:dyDescent="0.35">
      <c r="A831" s="21" t="s">
        <v>938</v>
      </c>
      <c r="B831" s="36">
        <v>45697</v>
      </c>
      <c r="C831" s="22">
        <f>YEAR(Table1_1[[#This Row],[Order Date]])</f>
        <v>2025</v>
      </c>
      <c r="D831" s="22" t="str">
        <f>TEXT(Table1_1[[#This Row],[Order Date]],"MMMM")</f>
        <v>February</v>
      </c>
      <c r="E831" s="22" t="s">
        <v>26</v>
      </c>
      <c r="F831" s="22" t="s">
        <v>53</v>
      </c>
      <c r="G831" s="22" t="s">
        <v>84</v>
      </c>
      <c r="H831" s="22" t="s">
        <v>19</v>
      </c>
      <c r="I831" s="22" t="s">
        <v>30</v>
      </c>
      <c r="J831" s="22" t="s">
        <v>61</v>
      </c>
      <c r="K831" s="22" t="s">
        <v>186</v>
      </c>
      <c r="L831" s="22" t="s">
        <v>23</v>
      </c>
      <c r="M831" s="22" t="s">
        <v>24</v>
      </c>
      <c r="N831" s="22">
        <v>14</v>
      </c>
      <c r="O831" s="26">
        <v>6999</v>
      </c>
      <c r="P831" s="22">
        <v>0.18</v>
      </c>
      <c r="Q831" s="30">
        <v>4320</v>
      </c>
      <c r="R831" s="33">
        <f>Table1_1[[#This Row],[Units Sold]]*Table1_1[[#This Row],[Unit Price]]*1-Table1_1[[#This Row],[Discount]]</f>
        <v>97985.82</v>
      </c>
      <c r="S831" s="33">
        <f>Table1_1[[#This Row],[Units Sold]]*Table1_1[[#This Row],[Unit Cost]]</f>
        <v>60480</v>
      </c>
      <c r="T831" s="33">
        <f>Table1_1[[#This Row],[Sales Amount]]-S831</f>
        <v>37505.820000000007</v>
      </c>
      <c r="U831" s="32">
        <f>IFERROR(Table1_1[[#This Row],[Profit/loss]]/Table1_1[[#This Row],[Sales Amount]],0)</f>
        <v>0.38276783314157092</v>
      </c>
    </row>
    <row r="832" spans="1:21" ht="18" x14ac:dyDescent="0.35">
      <c r="A832" s="21" t="s">
        <v>939</v>
      </c>
      <c r="B832" s="36">
        <v>45697</v>
      </c>
      <c r="C832" s="22">
        <f>YEAR(Table1_1[[#This Row],[Order Date]])</f>
        <v>2025</v>
      </c>
      <c r="D832" s="22" t="str">
        <f>TEXT(Table1_1[[#This Row],[Order Date]],"MMMM")</f>
        <v>February</v>
      </c>
      <c r="E832" s="22" t="s">
        <v>36</v>
      </c>
      <c r="F832" s="22" t="s">
        <v>37</v>
      </c>
      <c r="G832" s="22" t="s">
        <v>50</v>
      </c>
      <c r="H832" s="22" t="s">
        <v>29</v>
      </c>
      <c r="I832" s="22" t="s">
        <v>30</v>
      </c>
      <c r="J832" s="22" t="s">
        <v>61</v>
      </c>
      <c r="K832" s="22" t="s">
        <v>96</v>
      </c>
      <c r="L832" s="22" t="s">
        <v>23</v>
      </c>
      <c r="M832" s="22" t="s">
        <v>34</v>
      </c>
      <c r="N832" s="22">
        <v>8</v>
      </c>
      <c r="O832" s="26">
        <v>25110</v>
      </c>
      <c r="P832" s="22">
        <v>0.15</v>
      </c>
      <c r="Q832" s="30">
        <v>16730</v>
      </c>
      <c r="R832" s="33">
        <f>Table1_1[[#This Row],[Units Sold]]*Table1_1[[#This Row],[Unit Price]]*1-Table1_1[[#This Row],[Discount]]</f>
        <v>200879.85</v>
      </c>
      <c r="S832" s="33">
        <f>Table1_1[[#This Row],[Units Sold]]*Table1_1[[#This Row],[Unit Cost]]</f>
        <v>133840</v>
      </c>
      <c r="T832" s="33">
        <f>Table1_1[[#This Row],[Sales Amount]]-S832</f>
        <v>67039.850000000006</v>
      </c>
      <c r="U832" s="32">
        <f>IFERROR(Table1_1[[#This Row],[Profit/loss]]/Table1_1[[#This Row],[Sales Amount]],0)</f>
        <v>0.33373108353077724</v>
      </c>
    </row>
    <row r="833" spans="1:21" ht="18" x14ac:dyDescent="0.35">
      <c r="A833" s="21" t="s">
        <v>940</v>
      </c>
      <c r="B833" s="36">
        <v>45698</v>
      </c>
      <c r="C833" s="22">
        <f>YEAR(Table1_1[[#This Row],[Order Date]])</f>
        <v>2025</v>
      </c>
      <c r="D833" s="22" t="str">
        <f>TEXT(Table1_1[[#This Row],[Order Date]],"MMMM")</f>
        <v>February</v>
      </c>
      <c r="E833" s="22" t="s">
        <v>48</v>
      </c>
      <c r="F833" s="22" t="s">
        <v>136</v>
      </c>
      <c r="G833" s="22" t="s">
        <v>18</v>
      </c>
      <c r="H833" s="22" t="s">
        <v>29</v>
      </c>
      <c r="I833" s="22" t="s">
        <v>40</v>
      </c>
      <c r="J833" s="22" t="s">
        <v>41</v>
      </c>
      <c r="K833" s="22" t="s">
        <v>1624</v>
      </c>
      <c r="L833" s="22" t="s">
        <v>23</v>
      </c>
      <c r="M833" s="22" t="s">
        <v>24</v>
      </c>
      <c r="N833" s="22">
        <v>16</v>
      </c>
      <c r="O833" s="26">
        <v>48990</v>
      </c>
      <c r="P833" s="22">
        <v>0.15</v>
      </c>
      <c r="Q833" s="30">
        <v>30100</v>
      </c>
      <c r="R833" s="33">
        <f>Table1_1[[#This Row],[Units Sold]]*Table1_1[[#This Row],[Unit Price]]*1-Table1_1[[#This Row],[Discount]]</f>
        <v>783839.85</v>
      </c>
      <c r="S833" s="33">
        <f>Table1_1[[#This Row],[Units Sold]]*Table1_1[[#This Row],[Unit Cost]]</f>
        <v>481600</v>
      </c>
      <c r="T833" s="33">
        <f>Table1_1[[#This Row],[Sales Amount]]-S833</f>
        <v>302239.84999999998</v>
      </c>
      <c r="U833" s="32">
        <f>IFERROR(Table1_1[[#This Row],[Profit/loss]]/Table1_1[[#This Row],[Sales Amount]],0)</f>
        <v>0.38558877811583575</v>
      </c>
    </row>
    <row r="834" spans="1:21" ht="18" x14ac:dyDescent="0.35">
      <c r="A834" s="21" t="s">
        <v>941</v>
      </c>
      <c r="B834" s="36">
        <v>45698</v>
      </c>
      <c r="C834" s="22">
        <f>YEAR(Table1_1[[#This Row],[Order Date]])</f>
        <v>2025</v>
      </c>
      <c r="D834" s="22" t="str">
        <f>TEXT(Table1_1[[#This Row],[Order Date]],"MMMM")</f>
        <v>February</v>
      </c>
      <c r="E834" s="22" t="s">
        <v>48</v>
      </c>
      <c r="F834" s="22" t="s">
        <v>93</v>
      </c>
      <c r="G834" s="22" t="s">
        <v>84</v>
      </c>
      <c r="H834" s="22" t="s">
        <v>19</v>
      </c>
      <c r="I834" s="22" t="s">
        <v>70</v>
      </c>
      <c r="J834" s="22" t="s">
        <v>71</v>
      </c>
      <c r="K834" s="22" t="s">
        <v>72</v>
      </c>
      <c r="L834" s="22" t="s">
        <v>23</v>
      </c>
      <c r="M834" s="22" t="s">
        <v>78</v>
      </c>
      <c r="N834" s="22">
        <v>35</v>
      </c>
      <c r="O834" s="26">
        <v>3499</v>
      </c>
      <c r="P834" s="22">
        <v>0.2</v>
      </c>
      <c r="Q834" s="30">
        <v>2190</v>
      </c>
      <c r="R834" s="33">
        <f>Table1_1[[#This Row],[Units Sold]]*Table1_1[[#This Row],[Unit Price]]*1-Table1_1[[#This Row],[Discount]]</f>
        <v>122464.8</v>
      </c>
      <c r="S834" s="33">
        <f>Table1_1[[#This Row],[Units Sold]]*Table1_1[[#This Row],[Unit Cost]]</f>
        <v>76650</v>
      </c>
      <c r="T834" s="33">
        <f>Table1_1[[#This Row],[Sales Amount]]-S834</f>
        <v>45814.8</v>
      </c>
      <c r="U834" s="32">
        <f>IFERROR(Table1_1[[#This Row],[Profit/loss]]/Table1_1[[#This Row],[Sales Amount]],0)</f>
        <v>0.37410586552217456</v>
      </c>
    </row>
    <row r="835" spans="1:21" ht="18" x14ac:dyDescent="0.35">
      <c r="A835" s="21" t="s">
        <v>942</v>
      </c>
      <c r="B835" s="36">
        <v>45699</v>
      </c>
      <c r="C835" s="22">
        <f>YEAR(Table1_1[[#This Row],[Order Date]])</f>
        <v>2025</v>
      </c>
      <c r="D835" s="22" t="str">
        <f>TEXT(Table1_1[[#This Row],[Order Date]],"MMMM")</f>
        <v>February</v>
      </c>
      <c r="E835" s="22" t="s">
        <v>16</v>
      </c>
      <c r="F835" s="22" t="s">
        <v>98</v>
      </c>
      <c r="G835" s="22" t="s">
        <v>105</v>
      </c>
      <c r="H835" s="22" t="s">
        <v>39</v>
      </c>
      <c r="I835" s="22" t="s">
        <v>20</v>
      </c>
      <c r="J835" s="22" t="s">
        <v>21</v>
      </c>
      <c r="K835" s="22" t="s">
        <v>22</v>
      </c>
      <c r="L835" s="22" t="s">
        <v>57</v>
      </c>
      <c r="M835" s="22" t="s">
        <v>34</v>
      </c>
      <c r="N835" s="22">
        <v>40</v>
      </c>
      <c r="O835" s="26">
        <v>4499</v>
      </c>
      <c r="P835" s="22">
        <v>0.2</v>
      </c>
      <c r="Q835" s="30">
        <v>2910</v>
      </c>
      <c r="R835" s="33">
        <f>Table1_1[[#This Row],[Units Sold]]*Table1_1[[#This Row],[Unit Price]]*1-Table1_1[[#This Row],[Discount]]</f>
        <v>179959.8</v>
      </c>
      <c r="S835" s="33">
        <f>Table1_1[[#This Row],[Units Sold]]*Table1_1[[#This Row],[Unit Cost]]</f>
        <v>116400</v>
      </c>
      <c r="T835" s="33">
        <f>Table1_1[[#This Row],[Sales Amount]]-S835</f>
        <v>63559.799999999988</v>
      </c>
      <c r="U835" s="32">
        <f>IFERROR(Table1_1[[#This Row],[Profit/loss]]/Table1_1[[#This Row],[Sales Amount]],0)</f>
        <v>0.3531888788496097</v>
      </c>
    </row>
    <row r="836" spans="1:21" ht="18" x14ac:dyDescent="0.35">
      <c r="A836" s="21" t="s">
        <v>943</v>
      </c>
      <c r="B836" s="36">
        <v>45699</v>
      </c>
      <c r="C836" s="22">
        <f>YEAR(Table1_1[[#This Row],[Order Date]])</f>
        <v>2025</v>
      </c>
      <c r="D836" s="22" t="str">
        <f>TEXT(Table1_1[[#This Row],[Order Date]],"MMMM")</f>
        <v>February</v>
      </c>
      <c r="E836" s="22" t="s">
        <v>48</v>
      </c>
      <c r="F836" s="22" t="s">
        <v>136</v>
      </c>
      <c r="G836" s="22" t="s">
        <v>105</v>
      </c>
      <c r="H836" s="22" t="s">
        <v>39</v>
      </c>
      <c r="I836" s="22" t="s">
        <v>40</v>
      </c>
      <c r="J836" s="22" t="s">
        <v>41</v>
      </c>
      <c r="K836" s="22" t="s">
        <v>1628</v>
      </c>
      <c r="L836" s="22" t="s">
        <v>33</v>
      </c>
      <c r="M836" s="22" t="s">
        <v>66</v>
      </c>
      <c r="N836" s="22">
        <v>24</v>
      </c>
      <c r="O836" s="26">
        <v>48500</v>
      </c>
      <c r="P836" s="22">
        <v>0.12</v>
      </c>
      <c r="Q836" s="30">
        <v>30200</v>
      </c>
      <c r="R836" s="33">
        <f>Table1_1[[#This Row],[Units Sold]]*Table1_1[[#This Row],[Unit Price]]*1-Table1_1[[#This Row],[Discount]]</f>
        <v>1163999.8799999999</v>
      </c>
      <c r="S836" s="33">
        <f>Table1_1[[#This Row],[Units Sold]]*Table1_1[[#This Row],[Unit Cost]]</f>
        <v>724800</v>
      </c>
      <c r="T836" s="33">
        <f>Table1_1[[#This Row],[Sales Amount]]-S836</f>
        <v>439199.87999999989</v>
      </c>
      <c r="U836" s="32">
        <f>IFERROR(Table1_1[[#This Row],[Profit/loss]]/Table1_1[[#This Row],[Sales Amount]],0)</f>
        <v>0.37731952343500236</v>
      </c>
    </row>
    <row r="837" spans="1:21" ht="18" x14ac:dyDescent="0.35">
      <c r="A837" s="21" t="s">
        <v>944</v>
      </c>
      <c r="B837" s="36">
        <v>45700</v>
      </c>
      <c r="C837" s="22">
        <f>YEAR(Table1_1[[#This Row],[Order Date]])</f>
        <v>2025</v>
      </c>
      <c r="D837" s="22" t="str">
        <f>TEXT(Table1_1[[#This Row],[Order Date]],"MMMM")</f>
        <v>February</v>
      </c>
      <c r="E837" s="22" t="s">
        <v>82</v>
      </c>
      <c r="F837" s="22" t="s">
        <v>183</v>
      </c>
      <c r="G837" s="22" t="s">
        <v>105</v>
      </c>
      <c r="H837" s="22" t="s">
        <v>19</v>
      </c>
      <c r="I837" s="22" t="s">
        <v>70</v>
      </c>
      <c r="J837" s="22" t="s">
        <v>71</v>
      </c>
      <c r="K837" s="22" t="s">
        <v>72</v>
      </c>
      <c r="L837" s="22" t="s">
        <v>57</v>
      </c>
      <c r="M837" s="22" t="s">
        <v>24</v>
      </c>
      <c r="N837" s="22">
        <v>19</v>
      </c>
      <c r="O837" s="26">
        <v>3499</v>
      </c>
      <c r="P837" s="22">
        <v>0.12</v>
      </c>
      <c r="Q837" s="30">
        <v>2190</v>
      </c>
      <c r="R837" s="33">
        <f>Table1_1[[#This Row],[Units Sold]]*Table1_1[[#This Row],[Unit Price]]*1-Table1_1[[#This Row],[Discount]]</f>
        <v>66480.88</v>
      </c>
      <c r="S837" s="33">
        <f>Table1_1[[#This Row],[Units Sold]]*Table1_1[[#This Row],[Unit Cost]]</f>
        <v>41610</v>
      </c>
      <c r="T837" s="33">
        <f>Table1_1[[#This Row],[Sales Amount]]-S837</f>
        <v>24870.880000000005</v>
      </c>
      <c r="U837" s="32">
        <f>IFERROR(Table1_1[[#This Row],[Profit/loss]]/Table1_1[[#This Row],[Sales Amount]],0)</f>
        <v>0.37410575792618872</v>
      </c>
    </row>
    <row r="838" spans="1:21" ht="18" x14ac:dyDescent="0.35">
      <c r="A838" s="21" t="s">
        <v>945</v>
      </c>
      <c r="B838" s="36">
        <v>45701</v>
      </c>
      <c r="C838" s="22">
        <f>YEAR(Table1_1[[#This Row],[Order Date]])</f>
        <v>2025</v>
      </c>
      <c r="D838" s="22" t="str">
        <f>TEXT(Table1_1[[#This Row],[Order Date]],"MMMM")</f>
        <v>February</v>
      </c>
      <c r="E838" s="22" t="s">
        <v>82</v>
      </c>
      <c r="F838" s="22" t="s">
        <v>100</v>
      </c>
      <c r="G838" s="22" t="s">
        <v>18</v>
      </c>
      <c r="H838" s="22" t="s">
        <v>19</v>
      </c>
      <c r="I838" s="22" t="s">
        <v>54</v>
      </c>
      <c r="J838" s="22" t="s">
        <v>129</v>
      </c>
      <c r="K838" s="22" t="s">
        <v>130</v>
      </c>
      <c r="L838" s="22" t="s">
        <v>23</v>
      </c>
      <c r="M838" s="22" t="s">
        <v>34</v>
      </c>
      <c r="N838" s="22">
        <v>30</v>
      </c>
      <c r="O838" s="26">
        <v>27890</v>
      </c>
      <c r="P838" s="22">
        <v>0.1</v>
      </c>
      <c r="Q838" s="30">
        <v>18800</v>
      </c>
      <c r="R838" s="33">
        <f>Table1_1[[#This Row],[Units Sold]]*Table1_1[[#This Row],[Unit Price]]*1-Table1_1[[#This Row],[Discount]]</f>
        <v>836699.9</v>
      </c>
      <c r="S838" s="33">
        <f>Table1_1[[#This Row],[Units Sold]]*Table1_1[[#This Row],[Unit Cost]]</f>
        <v>564000</v>
      </c>
      <c r="T838" s="33">
        <f>Table1_1[[#This Row],[Sales Amount]]-S838</f>
        <v>272699.90000000002</v>
      </c>
      <c r="U838" s="32">
        <f>IFERROR(Table1_1[[#This Row],[Profit/loss]]/Table1_1[[#This Row],[Sales Amount]],0)</f>
        <v>0.32592318942550369</v>
      </c>
    </row>
    <row r="839" spans="1:21" ht="18" x14ac:dyDescent="0.35">
      <c r="A839" s="21" t="s">
        <v>946</v>
      </c>
      <c r="B839" s="36">
        <v>45701</v>
      </c>
      <c r="C839" s="22">
        <f>YEAR(Table1_1[[#This Row],[Order Date]])</f>
        <v>2025</v>
      </c>
      <c r="D839" s="22" t="str">
        <f>TEXT(Table1_1[[#This Row],[Order Date]],"MMMM")</f>
        <v>February</v>
      </c>
      <c r="E839" s="22" t="s">
        <v>26</v>
      </c>
      <c r="F839" s="22" t="s">
        <v>27</v>
      </c>
      <c r="G839" s="22" t="s">
        <v>75</v>
      </c>
      <c r="H839" s="22" t="s">
        <v>19</v>
      </c>
      <c r="I839" s="22" t="s">
        <v>40</v>
      </c>
      <c r="J839" s="22" t="s">
        <v>76</v>
      </c>
      <c r="K839" s="22" t="s">
        <v>113</v>
      </c>
      <c r="L839" s="22" t="s">
        <v>23</v>
      </c>
      <c r="M839" s="22" t="s">
        <v>34</v>
      </c>
      <c r="N839" s="22">
        <v>20</v>
      </c>
      <c r="O839" s="26">
        <v>22999</v>
      </c>
      <c r="P839" s="22">
        <v>0.2</v>
      </c>
      <c r="Q839" s="30">
        <v>15100</v>
      </c>
      <c r="R839" s="33">
        <f>Table1_1[[#This Row],[Units Sold]]*Table1_1[[#This Row],[Unit Price]]*1-Table1_1[[#This Row],[Discount]]</f>
        <v>459979.8</v>
      </c>
      <c r="S839" s="33">
        <f>Table1_1[[#This Row],[Units Sold]]*Table1_1[[#This Row],[Unit Cost]]</f>
        <v>302000</v>
      </c>
      <c r="T839" s="33">
        <f>Table1_1[[#This Row],[Sales Amount]]-S839</f>
        <v>157979.79999999999</v>
      </c>
      <c r="U839" s="32">
        <f>IFERROR(Table1_1[[#This Row],[Profit/loss]]/Table1_1[[#This Row],[Sales Amount]],0)</f>
        <v>0.34344942973582754</v>
      </c>
    </row>
    <row r="840" spans="1:21" ht="18" x14ac:dyDescent="0.35">
      <c r="A840" s="21" t="s">
        <v>947</v>
      </c>
      <c r="B840" s="36">
        <v>45701</v>
      </c>
      <c r="C840" s="22">
        <f>YEAR(Table1_1[[#This Row],[Order Date]])</f>
        <v>2025</v>
      </c>
      <c r="D840" s="22" t="str">
        <f>TEXT(Table1_1[[#This Row],[Order Date]],"MMMM")</f>
        <v>February</v>
      </c>
      <c r="E840" s="22" t="s">
        <v>16</v>
      </c>
      <c r="F840" s="22" t="s">
        <v>98</v>
      </c>
      <c r="G840" s="22" t="s">
        <v>50</v>
      </c>
      <c r="H840" s="22" t="s">
        <v>29</v>
      </c>
      <c r="I840" s="22" t="s">
        <v>30</v>
      </c>
      <c r="J840" s="22" t="s">
        <v>61</v>
      </c>
      <c r="K840" s="22" t="s">
        <v>62</v>
      </c>
      <c r="L840" s="22" t="s">
        <v>23</v>
      </c>
      <c r="M840" s="22" t="s">
        <v>34</v>
      </c>
      <c r="N840" s="22">
        <v>16</v>
      </c>
      <c r="O840" s="26">
        <v>12490</v>
      </c>
      <c r="P840" s="22">
        <v>0.08</v>
      </c>
      <c r="Q840" s="30">
        <v>7900</v>
      </c>
      <c r="R840" s="33">
        <f>Table1_1[[#This Row],[Units Sold]]*Table1_1[[#This Row],[Unit Price]]*1-Table1_1[[#This Row],[Discount]]</f>
        <v>199839.92</v>
      </c>
      <c r="S840" s="33">
        <f>Table1_1[[#This Row],[Units Sold]]*Table1_1[[#This Row],[Unit Cost]]</f>
        <v>126400</v>
      </c>
      <c r="T840" s="33">
        <f>Table1_1[[#This Row],[Sales Amount]]-S840</f>
        <v>73439.920000000013</v>
      </c>
      <c r="U840" s="32">
        <f>IFERROR(Table1_1[[#This Row],[Profit/loss]]/Table1_1[[#This Row],[Sales Amount]],0)</f>
        <v>0.3674937419910897</v>
      </c>
    </row>
    <row r="841" spans="1:21" ht="18" x14ac:dyDescent="0.35">
      <c r="A841" s="21" t="s">
        <v>948</v>
      </c>
      <c r="B841" s="36">
        <v>45702</v>
      </c>
      <c r="C841" s="22">
        <f>YEAR(Table1_1[[#This Row],[Order Date]])</f>
        <v>2025</v>
      </c>
      <c r="D841" s="22" t="str">
        <f>TEXT(Table1_1[[#This Row],[Order Date]],"MMMM")</f>
        <v>February</v>
      </c>
      <c r="E841" s="22" t="s">
        <v>36</v>
      </c>
      <c r="F841" s="22" t="s">
        <v>37</v>
      </c>
      <c r="G841" s="22" t="s">
        <v>60</v>
      </c>
      <c r="H841" s="22" t="s">
        <v>39</v>
      </c>
      <c r="I841" s="22" t="s">
        <v>20</v>
      </c>
      <c r="J841" s="22" t="s">
        <v>21</v>
      </c>
      <c r="K841" s="22" t="s">
        <v>115</v>
      </c>
      <c r="L841" s="22" t="s">
        <v>33</v>
      </c>
      <c r="M841" s="22" t="s">
        <v>24</v>
      </c>
      <c r="N841" s="22">
        <v>36</v>
      </c>
      <c r="O841" s="26">
        <v>6499</v>
      </c>
      <c r="P841" s="22">
        <v>0.2</v>
      </c>
      <c r="Q841" s="30">
        <v>4210</v>
      </c>
      <c r="R841" s="33">
        <f>Table1_1[[#This Row],[Units Sold]]*Table1_1[[#This Row],[Unit Price]]*1-Table1_1[[#This Row],[Discount]]</f>
        <v>233963.8</v>
      </c>
      <c r="S841" s="33">
        <f>Table1_1[[#This Row],[Units Sold]]*Table1_1[[#This Row],[Unit Cost]]</f>
        <v>151560</v>
      </c>
      <c r="T841" s="33">
        <f>Table1_1[[#This Row],[Sales Amount]]-S841</f>
        <v>82403.799999999988</v>
      </c>
      <c r="U841" s="32">
        <f>IFERROR(Table1_1[[#This Row],[Profit/loss]]/Table1_1[[#This Row],[Sales Amount]],0)</f>
        <v>0.35220747825090887</v>
      </c>
    </row>
    <row r="842" spans="1:21" ht="18" x14ac:dyDescent="0.35">
      <c r="A842" s="21" t="s">
        <v>949</v>
      </c>
      <c r="B842" s="36">
        <v>45703</v>
      </c>
      <c r="C842" s="22">
        <f>YEAR(Table1_1[[#This Row],[Order Date]])</f>
        <v>2025</v>
      </c>
      <c r="D842" s="22" t="str">
        <f>TEXT(Table1_1[[#This Row],[Order Date]],"MMMM")</f>
        <v>February</v>
      </c>
      <c r="E842" s="22" t="s">
        <v>82</v>
      </c>
      <c r="F842" s="22" t="s">
        <v>87</v>
      </c>
      <c r="G842" s="22" t="s">
        <v>101</v>
      </c>
      <c r="H842" s="22" t="s">
        <v>39</v>
      </c>
      <c r="I842" s="22" t="s">
        <v>30</v>
      </c>
      <c r="J842" s="22" t="s">
        <v>31</v>
      </c>
      <c r="K842" s="22" t="s">
        <v>106</v>
      </c>
      <c r="L842" s="22" t="s">
        <v>57</v>
      </c>
      <c r="M842" s="22" t="s">
        <v>66</v>
      </c>
      <c r="N842" s="22">
        <v>27</v>
      </c>
      <c r="O842" s="26">
        <v>52990</v>
      </c>
      <c r="P842" s="22">
        <v>0.2</v>
      </c>
      <c r="Q842" s="30">
        <v>35100</v>
      </c>
      <c r="R842" s="33">
        <f>Table1_1[[#This Row],[Units Sold]]*Table1_1[[#This Row],[Unit Price]]*1-Table1_1[[#This Row],[Discount]]</f>
        <v>1430729.8</v>
      </c>
      <c r="S842" s="33">
        <f>Table1_1[[#This Row],[Units Sold]]*Table1_1[[#This Row],[Unit Cost]]</f>
        <v>947700</v>
      </c>
      <c r="T842" s="33">
        <f>Table1_1[[#This Row],[Sales Amount]]-S842</f>
        <v>483029.80000000005</v>
      </c>
      <c r="U842" s="32">
        <f>IFERROR(Table1_1[[#This Row],[Profit/loss]]/Table1_1[[#This Row],[Sales Amount]],0)</f>
        <v>0.33761077738088635</v>
      </c>
    </row>
    <row r="843" spans="1:21" ht="18" x14ac:dyDescent="0.35">
      <c r="A843" s="21" t="s">
        <v>950</v>
      </c>
      <c r="B843" s="36">
        <v>45704</v>
      </c>
      <c r="C843" s="22">
        <f>YEAR(Table1_1[[#This Row],[Order Date]])</f>
        <v>2025</v>
      </c>
      <c r="D843" s="22" t="str">
        <f>TEXT(Table1_1[[#This Row],[Order Date]],"MMMM")</f>
        <v>February</v>
      </c>
      <c r="E843" s="22" t="s">
        <v>48</v>
      </c>
      <c r="F843" s="22" t="s">
        <v>49</v>
      </c>
      <c r="G843" s="22" t="s">
        <v>75</v>
      </c>
      <c r="H843" s="22" t="s">
        <v>39</v>
      </c>
      <c r="I843" s="22" t="s">
        <v>54</v>
      </c>
      <c r="J843" s="22" t="s">
        <v>55</v>
      </c>
      <c r="K843" s="22" t="s">
        <v>1623</v>
      </c>
      <c r="L843" s="22" t="s">
        <v>33</v>
      </c>
      <c r="M843" s="22" t="s">
        <v>24</v>
      </c>
      <c r="N843" s="22">
        <v>6</v>
      </c>
      <c r="O843" s="26">
        <v>5890</v>
      </c>
      <c r="P843" s="22">
        <v>0.18</v>
      </c>
      <c r="Q843" s="30">
        <v>3980</v>
      </c>
      <c r="R843" s="33">
        <f>Table1_1[[#This Row],[Units Sold]]*Table1_1[[#This Row],[Unit Price]]*1-Table1_1[[#This Row],[Discount]]</f>
        <v>35339.82</v>
      </c>
      <c r="S843" s="33">
        <f>Table1_1[[#This Row],[Units Sold]]*Table1_1[[#This Row],[Unit Cost]]</f>
        <v>23880</v>
      </c>
      <c r="T843" s="33">
        <f>Table1_1[[#This Row],[Sales Amount]]-S843</f>
        <v>11459.82</v>
      </c>
      <c r="U843" s="32">
        <f>IFERROR(Table1_1[[#This Row],[Profit/loss]]/Table1_1[[#This Row],[Sales Amount]],0)</f>
        <v>0.32427499630728168</v>
      </c>
    </row>
    <row r="844" spans="1:21" ht="18" x14ac:dyDescent="0.35">
      <c r="A844" s="21" t="s">
        <v>951</v>
      </c>
      <c r="B844" s="36">
        <v>45706</v>
      </c>
      <c r="C844" s="22">
        <f>YEAR(Table1_1[[#This Row],[Order Date]])</f>
        <v>2025</v>
      </c>
      <c r="D844" s="22" t="str">
        <f>TEXT(Table1_1[[#This Row],[Order Date]],"MMMM")</f>
        <v>February</v>
      </c>
      <c r="E844" s="22" t="s">
        <v>82</v>
      </c>
      <c r="F844" s="22" t="s">
        <v>83</v>
      </c>
      <c r="G844" s="22" t="s">
        <v>75</v>
      </c>
      <c r="H844" s="22" t="s">
        <v>19</v>
      </c>
      <c r="I844" s="22" t="s">
        <v>70</v>
      </c>
      <c r="J844" s="22" t="s">
        <v>71</v>
      </c>
      <c r="K844" s="22" t="s">
        <v>80</v>
      </c>
      <c r="L844" s="22" t="s">
        <v>23</v>
      </c>
      <c r="M844" s="22" t="s">
        <v>78</v>
      </c>
      <c r="N844" s="22">
        <v>29</v>
      </c>
      <c r="O844" s="26">
        <v>1299</v>
      </c>
      <c r="P844" s="22">
        <v>0.2</v>
      </c>
      <c r="Q844" s="30">
        <v>720</v>
      </c>
      <c r="R844" s="33">
        <f>Table1_1[[#This Row],[Units Sold]]*Table1_1[[#This Row],[Unit Price]]*1-Table1_1[[#This Row],[Discount]]</f>
        <v>37670.800000000003</v>
      </c>
      <c r="S844" s="33">
        <f>Table1_1[[#This Row],[Units Sold]]*Table1_1[[#This Row],[Unit Cost]]</f>
        <v>20880</v>
      </c>
      <c r="T844" s="33">
        <f>Table1_1[[#This Row],[Sales Amount]]-S844</f>
        <v>16790.800000000003</v>
      </c>
      <c r="U844" s="32">
        <f>IFERROR(Table1_1[[#This Row],[Profit/loss]]/Table1_1[[#This Row],[Sales Amount]],0)</f>
        <v>0.44572453996198652</v>
      </c>
    </row>
    <row r="845" spans="1:21" ht="18" x14ac:dyDescent="0.35">
      <c r="A845" s="21" t="s">
        <v>952</v>
      </c>
      <c r="B845" s="36">
        <v>45706</v>
      </c>
      <c r="C845" s="22">
        <f>YEAR(Table1_1[[#This Row],[Order Date]])</f>
        <v>2025</v>
      </c>
      <c r="D845" s="22" t="str">
        <f>TEXT(Table1_1[[#This Row],[Order Date]],"MMMM")</f>
        <v>February</v>
      </c>
      <c r="E845" s="22" t="s">
        <v>16</v>
      </c>
      <c r="F845" s="22" t="s">
        <v>17</v>
      </c>
      <c r="G845" s="22" t="s">
        <v>69</v>
      </c>
      <c r="H845" s="22" t="s">
        <v>29</v>
      </c>
      <c r="I845" s="22" t="s">
        <v>70</v>
      </c>
      <c r="J845" s="22" t="s">
        <v>71</v>
      </c>
      <c r="K845" s="22" t="s">
        <v>72</v>
      </c>
      <c r="L845" s="22" t="s">
        <v>23</v>
      </c>
      <c r="M845" s="22" t="s">
        <v>24</v>
      </c>
      <c r="N845" s="22">
        <v>5</v>
      </c>
      <c r="O845" s="26">
        <v>3499</v>
      </c>
      <c r="P845" s="22">
        <v>0.12</v>
      </c>
      <c r="Q845" s="30">
        <v>2190</v>
      </c>
      <c r="R845" s="33">
        <f>Table1_1[[#This Row],[Units Sold]]*Table1_1[[#This Row],[Unit Price]]*1-Table1_1[[#This Row],[Discount]]</f>
        <v>17494.88</v>
      </c>
      <c r="S845" s="33">
        <f>Table1_1[[#This Row],[Units Sold]]*Table1_1[[#This Row],[Unit Cost]]</f>
        <v>10950</v>
      </c>
      <c r="T845" s="33">
        <f>Table1_1[[#This Row],[Sales Amount]]-S845</f>
        <v>6544.880000000001</v>
      </c>
      <c r="U845" s="32">
        <f>IFERROR(Table1_1[[#This Row],[Profit/loss]]/Table1_1[[#This Row],[Sales Amount]],0)</f>
        <v>0.3741025945876737</v>
      </c>
    </row>
    <row r="846" spans="1:21" ht="18" x14ac:dyDescent="0.35">
      <c r="A846" s="21" t="s">
        <v>953</v>
      </c>
      <c r="B846" s="36">
        <v>45708</v>
      </c>
      <c r="C846" s="22">
        <f>YEAR(Table1_1[[#This Row],[Order Date]])</f>
        <v>2025</v>
      </c>
      <c r="D846" s="22" t="str">
        <f>TEXT(Table1_1[[#This Row],[Order Date]],"MMMM")</f>
        <v>February</v>
      </c>
      <c r="E846" s="22" t="s">
        <v>26</v>
      </c>
      <c r="F846" s="22" t="s">
        <v>53</v>
      </c>
      <c r="G846" s="22" t="s">
        <v>50</v>
      </c>
      <c r="H846" s="22" t="s">
        <v>19</v>
      </c>
      <c r="I846" s="22" t="s">
        <v>30</v>
      </c>
      <c r="J846" s="22" t="s">
        <v>31</v>
      </c>
      <c r="K846" s="22" t="s">
        <v>106</v>
      </c>
      <c r="L846" s="22" t="s">
        <v>23</v>
      </c>
      <c r="M846" s="22" t="s">
        <v>78</v>
      </c>
      <c r="N846" s="22">
        <v>14</v>
      </c>
      <c r="O846" s="26">
        <v>52990</v>
      </c>
      <c r="P846" s="22">
        <v>0.18</v>
      </c>
      <c r="Q846" s="30">
        <v>35100</v>
      </c>
      <c r="R846" s="33">
        <f>Table1_1[[#This Row],[Units Sold]]*Table1_1[[#This Row],[Unit Price]]*1-Table1_1[[#This Row],[Discount]]</f>
        <v>741859.82</v>
      </c>
      <c r="S846" s="33">
        <f>Table1_1[[#This Row],[Units Sold]]*Table1_1[[#This Row],[Unit Cost]]</f>
        <v>491400</v>
      </c>
      <c r="T846" s="33">
        <f>Table1_1[[#This Row],[Sales Amount]]-S846</f>
        <v>250459.81999999995</v>
      </c>
      <c r="U846" s="32">
        <f>IFERROR(Table1_1[[#This Row],[Profit/loss]]/Table1_1[[#This Row],[Sales Amount]],0)</f>
        <v>0.33761070925771391</v>
      </c>
    </row>
    <row r="847" spans="1:21" ht="18" x14ac:dyDescent="0.35">
      <c r="A847" s="21" t="s">
        <v>954</v>
      </c>
      <c r="B847" s="36">
        <v>45708</v>
      </c>
      <c r="C847" s="22">
        <f>YEAR(Table1_1[[#This Row],[Order Date]])</f>
        <v>2025</v>
      </c>
      <c r="D847" s="22" t="str">
        <f>TEXT(Table1_1[[#This Row],[Order Date]],"MMMM")</f>
        <v>February</v>
      </c>
      <c r="E847" s="22" t="s">
        <v>26</v>
      </c>
      <c r="F847" s="22" t="s">
        <v>53</v>
      </c>
      <c r="G847" s="22" t="s">
        <v>69</v>
      </c>
      <c r="H847" s="22" t="s">
        <v>39</v>
      </c>
      <c r="I847" s="22" t="s">
        <v>54</v>
      </c>
      <c r="J847" s="22" t="s">
        <v>90</v>
      </c>
      <c r="K847" s="22" t="s">
        <v>1631</v>
      </c>
      <c r="L847" s="22" t="s">
        <v>23</v>
      </c>
      <c r="M847" s="22" t="s">
        <v>24</v>
      </c>
      <c r="N847" s="22">
        <v>28</v>
      </c>
      <c r="O847" s="26">
        <v>29010</v>
      </c>
      <c r="P847" s="22">
        <v>0.08</v>
      </c>
      <c r="Q847" s="30">
        <v>19150</v>
      </c>
      <c r="R847" s="33">
        <f>Table1_1[[#This Row],[Units Sold]]*Table1_1[[#This Row],[Unit Price]]*1-Table1_1[[#This Row],[Discount]]</f>
        <v>812279.92</v>
      </c>
      <c r="S847" s="33">
        <f>Table1_1[[#This Row],[Units Sold]]*Table1_1[[#This Row],[Unit Cost]]</f>
        <v>536200</v>
      </c>
      <c r="T847" s="33">
        <f>Table1_1[[#This Row],[Sales Amount]]-S847</f>
        <v>276079.92000000004</v>
      </c>
      <c r="U847" s="32">
        <f>IFERROR(Table1_1[[#This Row],[Profit/loss]]/Table1_1[[#This Row],[Sales Amount]],0)</f>
        <v>0.33988273402105029</v>
      </c>
    </row>
    <row r="848" spans="1:21" ht="18" x14ac:dyDescent="0.35">
      <c r="A848" s="21" t="s">
        <v>955</v>
      </c>
      <c r="B848" s="36">
        <v>45708</v>
      </c>
      <c r="C848" s="22">
        <f>YEAR(Table1_1[[#This Row],[Order Date]])</f>
        <v>2025</v>
      </c>
      <c r="D848" s="22" t="str">
        <f>TEXT(Table1_1[[#This Row],[Order Date]],"MMMM")</f>
        <v>February</v>
      </c>
      <c r="E848" s="22" t="s">
        <v>82</v>
      </c>
      <c r="F848" s="22" t="s">
        <v>100</v>
      </c>
      <c r="G848" s="22" t="s">
        <v>69</v>
      </c>
      <c r="H848" s="22" t="s">
        <v>19</v>
      </c>
      <c r="I848" s="22" t="s">
        <v>40</v>
      </c>
      <c r="J848" s="22" t="s">
        <v>64</v>
      </c>
      <c r="K848" s="22" t="s">
        <v>1629</v>
      </c>
      <c r="L848" s="22" t="s">
        <v>57</v>
      </c>
      <c r="M848" s="22" t="s">
        <v>66</v>
      </c>
      <c r="N848" s="22">
        <v>12</v>
      </c>
      <c r="O848" s="26">
        <v>3299</v>
      </c>
      <c r="P848" s="22">
        <v>0.18</v>
      </c>
      <c r="Q848" s="30">
        <v>2050</v>
      </c>
      <c r="R848" s="33">
        <f>Table1_1[[#This Row],[Units Sold]]*Table1_1[[#This Row],[Unit Price]]*1-Table1_1[[#This Row],[Discount]]</f>
        <v>39587.82</v>
      </c>
      <c r="S848" s="33">
        <f>Table1_1[[#This Row],[Units Sold]]*Table1_1[[#This Row],[Unit Cost]]</f>
        <v>24600</v>
      </c>
      <c r="T848" s="33">
        <f>Table1_1[[#This Row],[Sales Amount]]-S848</f>
        <v>14987.82</v>
      </c>
      <c r="U848" s="32">
        <f>IFERROR(Table1_1[[#This Row],[Profit/loss]]/Table1_1[[#This Row],[Sales Amount]],0)</f>
        <v>0.37859675021256539</v>
      </c>
    </row>
    <row r="849" spans="1:21" ht="18" x14ac:dyDescent="0.35">
      <c r="A849" s="21" t="s">
        <v>956</v>
      </c>
      <c r="B849" s="36">
        <v>45708</v>
      </c>
      <c r="C849" s="22">
        <f>YEAR(Table1_1[[#This Row],[Order Date]])</f>
        <v>2025</v>
      </c>
      <c r="D849" s="22" t="str">
        <f>TEXT(Table1_1[[#This Row],[Order Date]],"MMMM")</f>
        <v>February</v>
      </c>
      <c r="E849" s="22" t="s">
        <v>36</v>
      </c>
      <c r="F849" s="22" t="s">
        <v>37</v>
      </c>
      <c r="G849" s="22" t="s">
        <v>69</v>
      </c>
      <c r="H849" s="22" t="s">
        <v>39</v>
      </c>
      <c r="I849" s="22" t="s">
        <v>70</v>
      </c>
      <c r="J849" s="22" t="s">
        <v>71</v>
      </c>
      <c r="K849" s="22" t="s">
        <v>88</v>
      </c>
      <c r="L849" s="22" t="s">
        <v>57</v>
      </c>
      <c r="M849" s="22" t="s">
        <v>66</v>
      </c>
      <c r="N849" s="22">
        <v>3</v>
      </c>
      <c r="O849" s="26">
        <v>999</v>
      </c>
      <c r="P849" s="22">
        <v>0.08</v>
      </c>
      <c r="Q849" s="30">
        <v>540</v>
      </c>
      <c r="R849" s="33">
        <f>Table1_1[[#This Row],[Units Sold]]*Table1_1[[#This Row],[Unit Price]]*1-Table1_1[[#This Row],[Discount]]</f>
        <v>2996.92</v>
      </c>
      <c r="S849" s="33">
        <f>Table1_1[[#This Row],[Units Sold]]*Table1_1[[#This Row],[Unit Cost]]</f>
        <v>1620</v>
      </c>
      <c r="T849" s="33">
        <f>Table1_1[[#This Row],[Sales Amount]]-S849</f>
        <v>1376.92</v>
      </c>
      <c r="U849" s="32">
        <f>IFERROR(Table1_1[[#This Row],[Profit/loss]]/Table1_1[[#This Row],[Sales Amount]],0)</f>
        <v>0.45944503023103722</v>
      </c>
    </row>
    <row r="850" spans="1:21" ht="18" x14ac:dyDescent="0.35">
      <c r="A850" s="21" t="s">
        <v>957</v>
      </c>
      <c r="B850" s="36">
        <v>45709</v>
      </c>
      <c r="C850" s="22">
        <f>YEAR(Table1_1[[#This Row],[Order Date]])</f>
        <v>2025</v>
      </c>
      <c r="D850" s="22" t="str">
        <f>TEXT(Table1_1[[#This Row],[Order Date]],"MMMM")</f>
        <v>February</v>
      </c>
      <c r="E850" s="22" t="s">
        <v>26</v>
      </c>
      <c r="F850" s="22" t="s">
        <v>27</v>
      </c>
      <c r="G850" s="22" t="s">
        <v>28</v>
      </c>
      <c r="H850" s="22" t="s">
        <v>29</v>
      </c>
      <c r="I850" s="22" t="s">
        <v>20</v>
      </c>
      <c r="J850" s="22" t="s">
        <v>21</v>
      </c>
      <c r="K850" s="22" t="s">
        <v>115</v>
      </c>
      <c r="L850" s="22" t="s">
        <v>57</v>
      </c>
      <c r="M850" s="22" t="s">
        <v>78</v>
      </c>
      <c r="N850" s="22">
        <v>38</v>
      </c>
      <c r="O850" s="26">
        <v>6499</v>
      </c>
      <c r="P850" s="22">
        <v>0.18</v>
      </c>
      <c r="Q850" s="30">
        <v>4210</v>
      </c>
      <c r="R850" s="33">
        <f>Table1_1[[#This Row],[Units Sold]]*Table1_1[[#This Row],[Unit Price]]*1-Table1_1[[#This Row],[Discount]]</f>
        <v>246961.82</v>
      </c>
      <c r="S850" s="33">
        <f>Table1_1[[#This Row],[Units Sold]]*Table1_1[[#This Row],[Unit Cost]]</f>
        <v>159980</v>
      </c>
      <c r="T850" s="33">
        <f>Table1_1[[#This Row],[Sales Amount]]-S850</f>
        <v>86981.82</v>
      </c>
      <c r="U850" s="32">
        <f>IFERROR(Table1_1[[#This Row],[Profit/loss]]/Table1_1[[#This Row],[Sales Amount]],0)</f>
        <v>0.35220755985682323</v>
      </c>
    </row>
    <row r="851" spans="1:21" ht="18" x14ac:dyDescent="0.35">
      <c r="A851" s="21" t="s">
        <v>958</v>
      </c>
      <c r="B851" s="36">
        <v>45709</v>
      </c>
      <c r="C851" s="22">
        <f>YEAR(Table1_1[[#This Row],[Order Date]])</f>
        <v>2025</v>
      </c>
      <c r="D851" s="22" t="str">
        <f>TEXT(Table1_1[[#This Row],[Order Date]],"MMMM")</f>
        <v>February</v>
      </c>
      <c r="E851" s="22" t="s">
        <v>48</v>
      </c>
      <c r="F851" s="22" t="s">
        <v>136</v>
      </c>
      <c r="G851" s="22" t="s">
        <v>101</v>
      </c>
      <c r="H851" s="22" t="s">
        <v>19</v>
      </c>
      <c r="I851" s="22" t="s">
        <v>54</v>
      </c>
      <c r="J851" s="22" t="s">
        <v>55</v>
      </c>
      <c r="K851" s="22" t="s">
        <v>148</v>
      </c>
      <c r="L851" s="22" t="s">
        <v>57</v>
      </c>
      <c r="M851" s="22" t="s">
        <v>24</v>
      </c>
      <c r="N851" s="22">
        <v>14</v>
      </c>
      <c r="O851" s="26">
        <v>4680</v>
      </c>
      <c r="P851" s="22">
        <v>0.12</v>
      </c>
      <c r="Q851" s="30">
        <v>3250</v>
      </c>
      <c r="R851" s="33">
        <f>Table1_1[[#This Row],[Units Sold]]*Table1_1[[#This Row],[Unit Price]]*1-Table1_1[[#This Row],[Discount]]</f>
        <v>65519.88</v>
      </c>
      <c r="S851" s="33">
        <f>Table1_1[[#This Row],[Units Sold]]*Table1_1[[#This Row],[Unit Cost]]</f>
        <v>45500</v>
      </c>
      <c r="T851" s="33">
        <f>Table1_1[[#This Row],[Sales Amount]]-S851</f>
        <v>20019.879999999997</v>
      </c>
      <c r="U851" s="32">
        <f>IFERROR(Table1_1[[#This Row],[Profit/loss]]/Table1_1[[#This Row],[Sales Amount]],0)</f>
        <v>0.3055542836769542</v>
      </c>
    </row>
    <row r="852" spans="1:21" ht="18" x14ac:dyDescent="0.35">
      <c r="A852" s="21" t="s">
        <v>959</v>
      </c>
      <c r="B852" s="36">
        <v>45709</v>
      </c>
      <c r="C852" s="22">
        <f>YEAR(Table1_1[[#This Row],[Order Date]])</f>
        <v>2025</v>
      </c>
      <c r="D852" s="22" t="str">
        <f>TEXT(Table1_1[[#This Row],[Order Date]],"MMMM")</f>
        <v>February</v>
      </c>
      <c r="E852" s="22" t="s">
        <v>36</v>
      </c>
      <c r="F852" s="22" t="s">
        <v>59</v>
      </c>
      <c r="G852" s="22" t="s">
        <v>101</v>
      </c>
      <c r="H852" s="22" t="s">
        <v>19</v>
      </c>
      <c r="I852" s="22" t="s">
        <v>70</v>
      </c>
      <c r="J852" s="22" t="s">
        <v>71</v>
      </c>
      <c r="K852" s="22" t="s">
        <v>88</v>
      </c>
      <c r="L852" s="22" t="s">
        <v>23</v>
      </c>
      <c r="M852" s="22" t="s">
        <v>24</v>
      </c>
      <c r="N852" s="22">
        <v>3</v>
      </c>
      <c r="O852" s="26">
        <v>999</v>
      </c>
      <c r="P852" s="22">
        <v>0.12</v>
      </c>
      <c r="Q852" s="30">
        <v>540</v>
      </c>
      <c r="R852" s="33">
        <f>Table1_1[[#This Row],[Units Sold]]*Table1_1[[#This Row],[Unit Price]]*1-Table1_1[[#This Row],[Discount]]</f>
        <v>2996.88</v>
      </c>
      <c r="S852" s="33">
        <f>Table1_1[[#This Row],[Units Sold]]*Table1_1[[#This Row],[Unit Cost]]</f>
        <v>1620</v>
      </c>
      <c r="T852" s="33">
        <f>Table1_1[[#This Row],[Sales Amount]]-S852</f>
        <v>1376.88</v>
      </c>
      <c r="U852" s="32">
        <f>IFERROR(Table1_1[[#This Row],[Profit/loss]]/Table1_1[[#This Row],[Sales Amount]],0)</f>
        <v>0.45943781532794109</v>
      </c>
    </row>
    <row r="853" spans="1:21" ht="18" x14ac:dyDescent="0.35">
      <c r="A853" s="21" t="s">
        <v>960</v>
      </c>
      <c r="B853" s="36">
        <v>45709</v>
      </c>
      <c r="C853" s="22">
        <f>YEAR(Table1_1[[#This Row],[Order Date]])</f>
        <v>2025</v>
      </c>
      <c r="D853" s="22" t="str">
        <f>TEXT(Table1_1[[#This Row],[Order Date]],"MMMM")</f>
        <v>February</v>
      </c>
      <c r="E853" s="22" t="s">
        <v>36</v>
      </c>
      <c r="F853" s="22" t="s">
        <v>44</v>
      </c>
      <c r="G853" s="22" t="s">
        <v>18</v>
      </c>
      <c r="H853" s="22" t="s">
        <v>39</v>
      </c>
      <c r="I853" s="22" t="s">
        <v>30</v>
      </c>
      <c r="J853" s="22" t="s">
        <v>61</v>
      </c>
      <c r="K853" s="22" t="s">
        <v>96</v>
      </c>
      <c r="L853" s="22" t="s">
        <v>33</v>
      </c>
      <c r="M853" s="22" t="s">
        <v>24</v>
      </c>
      <c r="N853" s="22">
        <v>20</v>
      </c>
      <c r="O853" s="26">
        <v>25110</v>
      </c>
      <c r="P853" s="22">
        <v>0.08</v>
      </c>
      <c r="Q853" s="30">
        <v>16730</v>
      </c>
      <c r="R853" s="33">
        <f>Table1_1[[#This Row],[Units Sold]]*Table1_1[[#This Row],[Unit Price]]*1-Table1_1[[#This Row],[Discount]]</f>
        <v>502199.92</v>
      </c>
      <c r="S853" s="33">
        <f>Table1_1[[#This Row],[Units Sold]]*Table1_1[[#This Row],[Unit Cost]]</f>
        <v>334600</v>
      </c>
      <c r="T853" s="33">
        <f>Table1_1[[#This Row],[Sales Amount]]-S853</f>
        <v>167599.91999999998</v>
      </c>
      <c r="U853" s="32">
        <f>IFERROR(Table1_1[[#This Row],[Profit/loss]]/Table1_1[[#This Row],[Sales Amount]],0)</f>
        <v>0.3337314749074432</v>
      </c>
    </row>
    <row r="854" spans="1:21" ht="18" x14ac:dyDescent="0.35">
      <c r="A854" s="21" t="s">
        <v>961</v>
      </c>
      <c r="B854" s="36">
        <v>45711</v>
      </c>
      <c r="C854" s="22">
        <f>YEAR(Table1_1[[#This Row],[Order Date]])</f>
        <v>2025</v>
      </c>
      <c r="D854" s="22" t="str">
        <f>TEXT(Table1_1[[#This Row],[Order Date]],"MMMM")</f>
        <v>February</v>
      </c>
      <c r="E854" s="22" t="s">
        <v>26</v>
      </c>
      <c r="F854" s="22" t="s">
        <v>74</v>
      </c>
      <c r="G854" s="22" t="s">
        <v>50</v>
      </c>
      <c r="H854" s="22" t="s">
        <v>39</v>
      </c>
      <c r="I854" s="22" t="s">
        <v>30</v>
      </c>
      <c r="J854" s="22" t="s">
        <v>31</v>
      </c>
      <c r="K854" s="22" t="s">
        <v>106</v>
      </c>
      <c r="L854" s="22" t="s">
        <v>57</v>
      </c>
      <c r="M854" s="22" t="s">
        <v>34</v>
      </c>
      <c r="N854" s="22">
        <v>22</v>
      </c>
      <c r="O854" s="26">
        <v>52990</v>
      </c>
      <c r="P854" s="22">
        <v>0.08</v>
      </c>
      <c r="Q854" s="30">
        <v>35100</v>
      </c>
      <c r="R854" s="33">
        <f>Table1_1[[#This Row],[Units Sold]]*Table1_1[[#This Row],[Unit Price]]*1-Table1_1[[#This Row],[Discount]]</f>
        <v>1165779.92</v>
      </c>
      <c r="S854" s="33">
        <f>Table1_1[[#This Row],[Units Sold]]*Table1_1[[#This Row],[Unit Cost]]</f>
        <v>772200</v>
      </c>
      <c r="T854" s="33">
        <f>Table1_1[[#This Row],[Sales Amount]]-S854</f>
        <v>393579.91999999993</v>
      </c>
      <c r="U854" s="32">
        <f>IFERROR(Table1_1[[#This Row],[Profit/loss]]/Table1_1[[#This Row],[Sales Amount]],0)</f>
        <v>0.33761082451994878</v>
      </c>
    </row>
    <row r="855" spans="1:21" ht="18" x14ac:dyDescent="0.35">
      <c r="A855" s="21" t="s">
        <v>962</v>
      </c>
      <c r="B855" s="36">
        <v>45711</v>
      </c>
      <c r="C855" s="22">
        <f>YEAR(Table1_1[[#This Row],[Order Date]])</f>
        <v>2025</v>
      </c>
      <c r="D855" s="22" t="str">
        <f>TEXT(Table1_1[[#This Row],[Order Date]],"MMMM")</f>
        <v>February</v>
      </c>
      <c r="E855" s="22" t="s">
        <v>48</v>
      </c>
      <c r="F855" s="22" t="s">
        <v>93</v>
      </c>
      <c r="G855" s="22" t="s">
        <v>75</v>
      </c>
      <c r="H855" s="22" t="s">
        <v>29</v>
      </c>
      <c r="I855" s="22" t="s">
        <v>40</v>
      </c>
      <c r="J855" s="22" t="s">
        <v>64</v>
      </c>
      <c r="K855" s="22" t="s">
        <v>1619</v>
      </c>
      <c r="L855" s="22" t="s">
        <v>57</v>
      </c>
      <c r="M855" s="22" t="s">
        <v>34</v>
      </c>
      <c r="N855" s="22">
        <v>13</v>
      </c>
      <c r="O855" s="26">
        <v>1930</v>
      </c>
      <c r="P855" s="22">
        <v>0.12</v>
      </c>
      <c r="Q855" s="30">
        <v>1120</v>
      </c>
      <c r="R855" s="33">
        <f>Table1_1[[#This Row],[Units Sold]]*Table1_1[[#This Row],[Unit Price]]*1-Table1_1[[#This Row],[Discount]]</f>
        <v>25089.88</v>
      </c>
      <c r="S855" s="33">
        <f>Table1_1[[#This Row],[Units Sold]]*Table1_1[[#This Row],[Unit Cost]]</f>
        <v>14560</v>
      </c>
      <c r="T855" s="33">
        <f>Table1_1[[#This Row],[Sales Amount]]-S855</f>
        <v>10529.880000000001</v>
      </c>
      <c r="U855" s="32">
        <f>IFERROR(Table1_1[[#This Row],[Profit/loss]]/Table1_1[[#This Row],[Sales Amount]],0)</f>
        <v>0.41968634365728336</v>
      </c>
    </row>
    <row r="856" spans="1:21" ht="18" x14ac:dyDescent="0.35">
      <c r="A856" s="21" t="s">
        <v>963</v>
      </c>
      <c r="B856" s="36">
        <v>45711</v>
      </c>
      <c r="C856" s="22">
        <f>YEAR(Table1_1[[#This Row],[Order Date]])</f>
        <v>2025</v>
      </c>
      <c r="D856" s="22" t="str">
        <f>TEXT(Table1_1[[#This Row],[Order Date]],"MMMM")</f>
        <v>February</v>
      </c>
      <c r="E856" s="22" t="s">
        <v>36</v>
      </c>
      <c r="F856" s="22" t="s">
        <v>121</v>
      </c>
      <c r="G856" s="22" t="s">
        <v>60</v>
      </c>
      <c r="H856" s="22" t="s">
        <v>29</v>
      </c>
      <c r="I856" s="22" t="s">
        <v>40</v>
      </c>
      <c r="J856" s="22" t="s">
        <v>64</v>
      </c>
      <c r="K856" s="22" t="s">
        <v>1619</v>
      </c>
      <c r="L856" s="22" t="s">
        <v>23</v>
      </c>
      <c r="M856" s="22" t="s">
        <v>34</v>
      </c>
      <c r="N856" s="22">
        <v>19</v>
      </c>
      <c r="O856" s="26">
        <v>1930</v>
      </c>
      <c r="P856" s="22">
        <v>0.15</v>
      </c>
      <c r="Q856" s="30">
        <v>1120</v>
      </c>
      <c r="R856" s="33">
        <f>Table1_1[[#This Row],[Units Sold]]*Table1_1[[#This Row],[Unit Price]]*1-Table1_1[[#This Row],[Discount]]</f>
        <v>36669.85</v>
      </c>
      <c r="S856" s="33">
        <f>Table1_1[[#This Row],[Units Sold]]*Table1_1[[#This Row],[Unit Cost]]</f>
        <v>21280</v>
      </c>
      <c r="T856" s="33">
        <f>Table1_1[[#This Row],[Sales Amount]]-S856</f>
        <v>15389.849999999999</v>
      </c>
      <c r="U856" s="32">
        <f>IFERROR(Table1_1[[#This Row],[Profit/loss]]/Table1_1[[#This Row],[Sales Amount]],0)</f>
        <v>0.41968674537801487</v>
      </c>
    </row>
    <row r="857" spans="1:21" ht="18" x14ac:dyDescent="0.35">
      <c r="A857" s="21" t="s">
        <v>964</v>
      </c>
      <c r="B857" s="36">
        <v>45712</v>
      </c>
      <c r="C857" s="22">
        <f>YEAR(Table1_1[[#This Row],[Order Date]])</f>
        <v>2025</v>
      </c>
      <c r="D857" s="22" t="str">
        <f>TEXT(Table1_1[[#This Row],[Order Date]],"MMMM")</f>
        <v>February</v>
      </c>
      <c r="E857" s="22" t="s">
        <v>82</v>
      </c>
      <c r="F857" s="22" t="s">
        <v>183</v>
      </c>
      <c r="G857" s="22" t="s">
        <v>101</v>
      </c>
      <c r="H857" s="22" t="s">
        <v>19</v>
      </c>
      <c r="I857" s="22" t="s">
        <v>20</v>
      </c>
      <c r="J857" s="22" t="s">
        <v>45</v>
      </c>
      <c r="K857" s="22" t="s">
        <v>1618</v>
      </c>
      <c r="L857" s="22" t="s">
        <v>33</v>
      </c>
      <c r="M857" s="22" t="s">
        <v>24</v>
      </c>
      <c r="N857" s="22">
        <v>17</v>
      </c>
      <c r="O857" s="26">
        <v>1899</v>
      </c>
      <c r="P857" s="22">
        <v>0.15</v>
      </c>
      <c r="Q857" s="30">
        <v>1080</v>
      </c>
      <c r="R857" s="33">
        <f>Table1_1[[#This Row],[Units Sold]]*Table1_1[[#This Row],[Unit Price]]*1-Table1_1[[#This Row],[Discount]]</f>
        <v>32282.85</v>
      </c>
      <c r="S857" s="33">
        <f>Table1_1[[#This Row],[Units Sold]]*Table1_1[[#This Row],[Unit Cost]]</f>
        <v>18360</v>
      </c>
      <c r="T857" s="33">
        <f>Table1_1[[#This Row],[Sales Amount]]-S857</f>
        <v>13922.849999999999</v>
      </c>
      <c r="U857" s="32">
        <f>IFERROR(Table1_1[[#This Row],[Profit/loss]]/Table1_1[[#This Row],[Sales Amount]],0)</f>
        <v>0.43127697833369727</v>
      </c>
    </row>
    <row r="858" spans="1:21" ht="18" x14ac:dyDescent="0.35">
      <c r="A858" s="21" t="s">
        <v>965</v>
      </c>
      <c r="B858" s="36">
        <v>45712</v>
      </c>
      <c r="C858" s="22">
        <f>YEAR(Table1_1[[#This Row],[Order Date]])</f>
        <v>2025</v>
      </c>
      <c r="D858" s="22" t="str">
        <f>TEXT(Table1_1[[#This Row],[Order Date]],"MMMM")</f>
        <v>February</v>
      </c>
      <c r="E858" s="22" t="s">
        <v>16</v>
      </c>
      <c r="F858" s="22" t="s">
        <v>111</v>
      </c>
      <c r="G858" s="22" t="s">
        <v>38</v>
      </c>
      <c r="H858" s="22" t="s">
        <v>19</v>
      </c>
      <c r="I858" s="22" t="s">
        <v>70</v>
      </c>
      <c r="J858" s="22" t="s">
        <v>71</v>
      </c>
      <c r="K858" s="22" t="s">
        <v>80</v>
      </c>
      <c r="L858" s="22" t="s">
        <v>23</v>
      </c>
      <c r="M858" s="22" t="s">
        <v>24</v>
      </c>
      <c r="N858" s="22">
        <v>27</v>
      </c>
      <c r="O858" s="26">
        <v>1299</v>
      </c>
      <c r="P858" s="22">
        <v>0.18</v>
      </c>
      <c r="Q858" s="30">
        <v>720</v>
      </c>
      <c r="R858" s="33">
        <f>Table1_1[[#This Row],[Units Sold]]*Table1_1[[#This Row],[Unit Price]]*1-Table1_1[[#This Row],[Discount]]</f>
        <v>35072.82</v>
      </c>
      <c r="S858" s="33">
        <f>Table1_1[[#This Row],[Units Sold]]*Table1_1[[#This Row],[Unit Cost]]</f>
        <v>19440</v>
      </c>
      <c r="T858" s="33">
        <f>Table1_1[[#This Row],[Sales Amount]]-S858</f>
        <v>15632.82</v>
      </c>
      <c r="U858" s="32">
        <f>IFERROR(Table1_1[[#This Row],[Profit/loss]]/Table1_1[[#This Row],[Sales Amount]],0)</f>
        <v>0.44572463805305645</v>
      </c>
    </row>
    <row r="859" spans="1:21" ht="18" x14ac:dyDescent="0.35">
      <c r="A859" s="21" t="s">
        <v>966</v>
      </c>
      <c r="B859" s="36">
        <v>45713</v>
      </c>
      <c r="C859" s="22">
        <f>YEAR(Table1_1[[#This Row],[Order Date]])</f>
        <v>2025</v>
      </c>
      <c r="D859" s="22" t="str">
        <f>TEXT(Table1_1[[#This Row],[Order Date]],"MMMM")</f>
        <v>February</v>
      </c>
      <c r="E859" s="22" t="s">
        <v>26</v>
      </c>
      <c r="F859" s="22" t="s">
        <v>53</v>
      </c>
      <c r="G859" s="22" t="s">
        <v>84</v>
      </c>
      <c r="H859" s="22" t="s">
        <v>39</v>
      </c>
      <c r="I859" s="22" t="s">
        <v>20</v>
      </c>
      <c r="J859" s="22" t="s">
        <v>21</v>
      </c>
      <c r="K859" s="22" t="s">
        <v>115</v>
      </c>
      <c r="L859" s="22" t="s">
        <v>23</v>
      </c>
      <c r="M859" s="22" t="s">
        <v>24</v>
      </c>
      <c r="N859" s="22">
        <v>31</v>
      </c>
      <c r="O859" s="26">
        <v>6499</v>
      </c>
      <c r="P859" s="22">
        <v>0.12</v>
      </c>
      <c r="Q859" s="30">
        <v>4210</v>
      </c>
      <c r="R859" s="33">
        <f>Table1_1[[#This Row],[Units Sold]]*Table1_1[[#This Row],[Unit Price]]*1-Table1_1[[#This Row],[Discount]]</f>
        <v>201468.88</v>
      </c>
      <c r="S859" s="33">
        <f>Table1_1[[#This Row],[Units Sold]]*Table1_1[[#This Row],[Unit Cost]]</f>
        <v>130510</v>
      </c>
      <c r="T859" s="33">
        <f>Table1_1[[#This Row],[Sales Amount]]-S859</f>
        <v>70958.880000000005</v>
      </c>
      <c r="U859" s="32">
        <f>IFERROR(Table1_1[[#This Row],[Profit/loss]]/Table1_1[[#This Row],[Sales Amount]],0)</f>
        <v>0.35220764616351669</v>
      </c>
    </row>
    <row r="860" spans="1:21" ht="18" x14ac:dyDescent="0.35">
      <c r="A860" s="21" t="s">
        <v>967</v>
      </c>
      <c r="B860" s="36">
        <v>45714</v>
      </c>
      <c r="C860" s="22">
        <f>YEAR(Table1_1[[#This Row],[Order Date]])</f>
        <v>2025</v>
      </c>
      <c r="D860" s="22" t="str">
        <f>TEXT(Table1_1[[#This Row],[Order Date]],"MMMM")</f>
        <v>February</v>
      </c>
      <c r="E860" s="22" t="s">
        <v>48</v>
      </c>
      <c r="F860" s="22" t="s">
        <v>68</v>
      </c>
      <c r="G860" s="22" t="s">
        <v>60</v>
      </c>
      <c r="H860" s="22" t="s">
        <v>39</v>
      </c>
      <c r="I860" s="22" t="s">
        <v>70</v>
      </c>
      <c r="J860" s="22" t="s">
        <v>71</v>
      </c>
      <c r="K860" s="22" t="s">
        <v>88</v>
      </c>
      <c r="L860" s="22" t="s">
        <v>33</v>
      </c>
      <c r="M860" s="22" t="s">
        <v>34</v>
      </c>
      <c r="N860" s="22">
        <v>30</v>
      </c>
      <c r="O860" s="26">
        <v>999</v>
      </c>
      <c r="P860" s="22">
        <v>0.2</v>
      </c>
      <c r="Q860" s="30">
        <v>540</v>
      </c>
      <c r="R860" s="33">
        <f>Table1_1[[#This Row],[Units Sold]]*Table1_1[[#This Row],[Unit Price]]*1-Table1_1[[#This Row],[Discount]]</f>
        <v>29969.8</v>
      </c>
      <c r="S860" s="33">
        <f>Table1_1[[#This Row],[Units Sold]]*Table1_1[[#This Row],[Unit Cost]]</f>
        <v>16200</v>
      </c>
      <c r="T860" s="33">
        <f>Table1_1[[#This Row],[Sales Amount]]-S860</f>
        <v>13769.8</v>
      </c>
      <c r="U860" s="32">
        <f>IFERROR(Table1_1[[#This Row],[Profit/loss]]/Table1_1[[#This Row],[Sales Amount]],0)</f>
        <v>0.45945585222457275</v>
      </c>
    </row>
    <row r="861" spans="1:21" ht="18" x14ac:dyDescent="0.35">
      <c r="A861" s="21" t="s">
        <v>968</v>
      </c>
      <c r="B861" s="36">
        <v>45714</v>
      </c>
      <c r="C861" s="22">
        <f>YEAR(Table1_1[[#This Row],[Order Date]])</f>
        <v>2025</v>
      </c>
      <c r="D861" s="22" t="str">
        <f>TEXT(Table1_1[[#This Row],[Order Date]],"MMMM")</f>
        <v>February</v>
      </c>
      <c r="E861" s="22" t="s">
        <v>36</v>
      </c>
      <c r="F861" s="22" t="s">
        <v>37</v>
      </c>
      <c r="G861" s="22" t="s">
        <v>28</v>
      </c>
      <c r="H861" s="22" t="s">
        <v>29</v>
      </c>
      <c r="I861" s="22" t="s">
        <v>30</v>
      </c>
      <c r="J861" s="22" t="s">
        <v>61</v>
      </c>
      <c r="K861" s="22" t="s">
        <v>96</v>
      </c>
      <c r="L861" s="22" t="s">
        <v>57</v>
      </c>
      <c r="M861" s="22" t="s">
        <v>34</v>
      </c>
      <c r="N861" s="22">
        <v>26</v>
      </c>
      <c r="O861" s="26">
        <v>25110</v>
      </c>
      <c r="P861" s="22">
        <v>0.08</v>
      </c>
      <c r="Q861" s="30">
        <v>16730</v>
      </c>
      <c r="R861" s="33">
        <f>Table1_1[[#This Row],[Units Sold]]*Table1_1[[#This Row],[Unit Price]]*1-Table1_1[[#This Row],[Discount]]</f>
        <v>652859.92000000004</v>
      </c>
      <c r="S861" s="33">
        <f>Table1_1[[#This Row],[Units Sold]]*Table1_1[[#This Row],[Unit Cost]]</f>
        <v>434980</v>
      </c>
      <c r="T861" s="33">
        <f>Table1_1[[#This Row],[Sales Amount]]-S861</f>
        <v>217879.92000000004</v>
      </c>
      <c r="U861" s="32">
        <f>IFERROR(Table1_1[[#This Row],[Profit/loss]]/Table1_1[[#This Row],[Sales Amount]],0)</f>
        <v>0.33373149940036145</v>
      </c>
    </row>
    <row r="862" spans="1:21" ht="18" x14ac:dyDescent="0.35">
      <c r="A862" s="21" t="s">
        <v>969</v>
      </c>
      <c r="B862" s="36">
        <v>45714</v>
      </c>
      <c r="C862" s="22">
        <f>YEAR(Table1_1[[#This Row],[Order Date]])</f>
        <v>2025</v>
      </c>
      <c r="D862" s="22" t="str">
        <f>TEXT(Table1_1[[#This Row],[Order Date]],"MMMM")</f>
        <v>February</v>
      </c>
      <c r="E862" s="22" t="s">
        <v>82</v>
      </c>
      <c r="F862" s="22" t="s">
        <v>183</v>
      </c>
      <c r="G862" s="22" t="s">
        <v>18</v>
      </c>
      <c r="H862" s="22" t="s">
        <v>19</v>
      </c>
      <c r="I862" s="22" t="s">
        <v>40</v>
      </c>
      <c r="J862" s="22" t="s">
        <v>41</v>
      </c>
      <c r="K862" s="22" t="s">
        <v>1628</v>
      </c>
      <c r="L862" s="22" t="s">
        <v>57</v>
      </c>
      <c r="M862" s="22" t="s">
        <v>78</v>
      </c>
      <c r="N862" s="22">
        <v>31</v>
      </c>
      <c r="O862" s="26">
        <v>48500</v>
      </c>
      <c r="P862" s="22">
        <v>0.08</v>
      </c>
      <c r="Q862" s="30">
        <v>30200</v>
      </c>
      <c r="R862" s="33">
        <f>Table1_1[[#This Row],[Units Sold]]*Table1_1[[#This Row],[Unit Price]]*1-Table1_1[[#This Row],[Discount]]</f>
        <v>1503499.92</v>
      </c>
      <c r="S862" s="33">
        <f>Table1_1[[#This Row],[Units Sold]]*Table1_1[[#This Row],[Unit Cost]]</f>
        <v>936200</v>
      </c>
      <c r="T862" s="33">
        <f>Table1_1[[#This Row],[Sales Amount]]-S862</f>
        <v>567299.91999999993</v>
      </c>
      <c r="U862" s="32">
        <f>IFERROR(Table1_1[[#This Row],[Profit/loss]]/Table1_1[[#This Row],[Sales Amount]],0)</f>
        <v>0.37731955449655091</v>
      </c>
    </row>
    <row r="863" spans="1:21" ht="18" x14ac:dyDescent="0.35">
      <c r="A863" s="21" t="s">
        <v>970</v>
      </c>
      <c r="B863" s="36">
        <v>45714</v>
      </c>
      <c r="C863" s="22">
        <f>YEAR(Table1_1[[#This Row],[Order Date]])</f>
        <v>2025</v>
      </c>
      <c r="D863" s="22" t="str">
        <f>TEXT(Table1_1[[#This Row],[Order Date]],"MMMM")</f>
        <v>February</v>
      </c>
      <c r="E863" s="22" t="s">
        <v>36</v>
      </c>
      <c r="F863" s="22" t="s">
        <v>121</v>
      </c>
      <c r="G863" s="22" t="s">
        <v>38</v>
      </c>
      <c r="H863" s="22" t="s">
        <v>39</v>
      </c>
      <c r="I863" s="22" t="s">
        <v>70</v>
      </c>
      <c r="J863" s="22" t="s">
        <v>71</v>
      </c>
      <c r="K863" s="22" t="s">
        <v>72</v>
      </c>
      <c r="L863" s="22" t="s">
        <v>23</v>
      </c>
      <c r="M863" s="22" t="s">
        <v>24</v>
      </c>
      <c r="N863" s="22">
        <v>35</v>
      </c>
      <c r="O863" s="26">
        <v>3499</v>
      </c>
      <c r="P863" s="22">
        <v>0.18</v>
      </c>
      <c r="Q863" s="30">
        <v>2190</v>
      </c>
      <c r="R863" s="33">
        <f>Table1_1[[#This Row],[Units Sold]]*Table1_1[[#This Row],[Unit Price]]*1-Table1_1[[#This Row],[Discount]]</f>
        <v>122464.82</v>
      </c>
      <c r="S863" s="33">
        <f>Table1_1[[#This Row],[Units Sold]]*Table1_1[[#This Row],[Unit Cost]]</f>
        <v>76650</v>
      </c>
      <c r="T863" s="33">
        <f>Table1_1[[#This Row],[Sales Amount]]-S863</f>
        <v>45814.820000000007</v>
      </c>
      <c r="U863" s="32">
        <f>IFERROR(Table1_1[[#This Row],[Profit/loss]]/Table1_1[[#This Row],[Sales Amount]],0)</f>
        <v>0.37410596773832683</v>
      </c>
    </row>
    <row r="864" spans="1:21" ht="18" x14ac:dyDescent="0.35">
      <c r="A864" s="21" t="s">
        <v>971</v>
      </c>
      <c r="B864" s="36">
        <v>45714</v>
      </c>
      <c r="C864" s="22">
        <f>YEAR(Table1_1[[#This Row],[Order Date]])</f>
        <v>2025</v>
      </c>
      <c r="D864" s="22" t="str">
        <f>TEXT(Table1_1[[#This Row],[Order Date]],"MMMM")</f>
        <v>February</v>
      </c>
      <c r="E864" s="22" t="s">
        <v>26</v>
      </c>
      <c r="F864" s="22" t="s">
        <v>74</v>
      </c>
      <c r="G864" s="22" t="s">
        <v>18</v>
      </c>
      <c r="H864" s="22" t="s">
        <v>39</v>
      </c>
      <c r="I864" s="22" t="s">
        <v>70</v>
      </c>
      <c r="J864" s="22" t="s">
        <v>71</v>
      </c>
      <c r="K864" s="22" t="s">
        <v>80</v>
      </c>
      <c r="L864" s="22" t="s">
        <v>33</v>
      </c>
      <c r="M864" s="22" t="s">
        <v>34</v>
      </c>
      <c r="N864" s="22">
        <v>33</v>
      </c>
      <c r="O864" s="26">
        <v>1299</v>
      </c>
      <c r="P864" s="22">
        <v>0.18</v>
      </c>
      <c r="Q864" s="30">
        <v>720</v>
      </c>
      <c r="R864" s="33">
        <f>Table1_1[[#This Row],[Units Sold]]*Table1_1[[#This Row],[Unit Price]]*1-Table1_1[[#This Row],[Discount]]</f>
        <v>42866.82</v>
      </c>
      <c r="S864" s="33">
        <f>Table1_1[[#This Row],[Units Sold]]*Table1_1[[#This Row],[Unit Cost]]</f>
        <v>23760</v>
      </c>
      <c r="T864" s="33">
        <f>Table1_1[[#This Row],[Sales Amount]]-S864</f>
        <v>19106.82</v>
      </c>
      <c r="U864" s="32">
        <f>IFERROR(Table1_1[[#This Row],[Profit/loss]]/Table1_1[[#This Row],[Sales Amount]],0)</f>
        <v>0.44572515525994227</v>
      </c>
    </row>
    <row r="865" spans="1:21" ht="18" x14ac:dyDescent="0.35">
      <c r="A865" s="21" t="s">
        <v>972</v>
      </c>
      <c r="B865" s="36">
        <v>45714</v>
      </c>
      <c r="C865" s="22">
        <f>YEAR(Table1_1[[#This Row],[Order Date]])</f>
        <v>2025</v>
      </c>
      <c r="D865" s="22" t="str">
        <f>TEXT(Table1_1[[#This Row],[Order Date]],"MMMM")</f>
        <v>February</v>
      </c>
      <c r="E865" s="22" t="s">
        <v>48</v>
      </c>
      <c r="F865" s="22" t="s">
        <v>93</v>
      </c>
      <c r="G865" s="22" t="s">
        <v>60</v>
      </c>
      <c r="H865" s="22" t="s">
        <v>19</v>
      </c>
      <c r="I865" s="22" t="s">
        <v>30</v>
      </c>
      <c r="J865" s="22" t="s">
        <v>61</v>
      </c>
      <c r="K865" s="22" t="s">
        <v>96</v>
      </c>
      <c r="L865" s="22" t="s">
        <v>57</v>
      </c>
      <c r="M865" s="22" t="s">
        <v>78</v>
      </c>
      <c r="N865" s="22">
        <v>22</v>
      </c>
      <c r="O865" s="26">
        <v>25110</v>
      </c>
      <c r="P865" s="22">
        <v>0.12</v>
      </c>
      <c r="Q865" s="30">
        <v>16730</v>
      </c>
      <c r="R865" s="33">
        <f>Table1_1[[#This Row],[Units Sold]]*Table1_1[[#This Row],[Unit Price]]*1-Table1_1[[#This Row],[Discount]]</f>
        <v>552419.88</v>
      </c>
      <c r="S865" s="33">
        <f>Table1_1[[#This Row],[Units Sold]]*Table1_1[[#This Row],[Unit Cost]]</f>
        <v>368060</v>
      </c>
      <c r="T865" s="33">
        <f>Table1_1[[#This Row],[Sales Amount]]-S865</f>
        <v>184359.88</v>
      </c>
      <c r="U865" s="32">
        <f>IFERROR(Table1_1[[#This Row],[Profit/loss]]/Table1_1[[#This Row],[Sales Amount]],0)</f>
        <v>0.33373143631253821</v>
      </c>
    </row>
    <row r="866" spans="1:21" ht="18" x14ac:dyDescent="0.35">
      <c r="A866" s="21" t="s">
        <v>973</v>
      </c>
      <c r="B866" s="36">
        <v>45715</v>
      </c>
      <c r="C866" s="22">
        <f>YEAR(Table1_1[[#This Row],[Order Date]])</f>
        <v>2025</v>
      </c>
      <c r="D866" s="22" t="str">
        <f>TEXT(Table1_1[[#This Row],[Order Date]],"MMMM")</f>
        <v>February</v>
      </c>
      <c r="E866" s="22" t="s">
        <v>48</v>
      </c>
      <c r="F866" s="22" t="s">
        <v>68</v>
      </c>
      <c r="G866" s="22" t="s">
        <v>60</v>
      </c>
      <c r="H866" s="22" t="s">
        <v>39</v>
      </c>
      <c r="I866" s="22" t="s">
        <v>30</v>
      </c>
      <c r="J866" s="22" t="s">
        <v>61</v>
      </c>
      <c r="K866" s="22" t="s">
        <v>186</v>
      </c>
      <c r="L866" s="22" t="s">
        <v>57</v>
      </c>
      <c r="M866" s="22" t="s">
        <v>34</v>
      </c>
      <c r="N866" s="22">
        <v>11</v>
      </c>
      <c r="O866" s="26">
        <v>6999</v>
      </c>
      <c r="P866" s="22">
        <v>0.1</v>
      </c>
      <c r="Q866" s="30">
        <v>4320</v>
      </c>
      <c r="R866" s="33">
        <f>Table1_1[[#This Row],[Units Sold]]*Table1_1[[#This Row],[Unit Price]]*1-Table1_1[[#This Row],[Discount]]</f>
        <v>76988.899999999994</v>
      </c>
      <c r="S866" s="33">
        <f>Table1_1[[#This Row],[Units Sold]]*Table1_1[[#This Row],[Unit Cost]]</f>
        <v>47520</v>
      </c>
      <c r="T866" s="33">
        <f>Table1_1[[#This Row],[Sales Amount]]-S866</f>
        <v>29468.899999999994</v>
      </c>
      <c r="U866" s="32">
        <f>IFERROR(Table1_1[[#This Row],[Profit/loss]]/Table1_1[[#This Row],[Sales Amount]],0)</f>
        <v>0.38276816528096902</v>
      </c>
    </row>
    <row r="867" spans="1:21" ht="18" x14ac:dyDescent="0.35">
      <c r="A867" s="21" t="s">
        <v>974</v>
      </c>
      <c r="B867" s="36">
        <v>45715</v>
      </c>
      <c r="C867" s="22">
        <f>YEAR(Table1_1[[#This Row],[Order Date]])</f>
        <v>2025</v>
      </c>
      <c r="D867" s="22" t="str">
        <f>TEXT(Table1_1[[#This Row],[Order Date]],"MMMM")</f>
        <v>February</v>
      </c>
      <c r="E867" s="22" t="s">
        <v>26</v>
      </c>
      <c r="F867" s="22" t="s">
        <v>163</v>
      </c>
      <c r="G867" s="22" t="s">
        <v>50</v>
      </c>
      <c r="H867" s="22" t="s">
        <v>29</v>
      </c>
      <c r="I867" s="22" t="s">
        <v>20</v>
      </c>
      <c r="J867" s="22" t="s">
        <v>21</v>
      </c>
      <c r="K867" s="22" t="s">
        <v>51</v>
      </c>
      <c r="L867" s="22" t="s">
        <v>57</v>
      </c>
      <c r="M867" s="22" t="s">
        <v>24</v>
      </c>
      <c r="N867" s="22">
        <v>22</v>
      </c>
      <c r="O867" s="26">
        <v>5999</v>
      </c>
      <c r="P867" s="22">
        <v>0.1</v>
      </c>
      <c r="Q867" s="30">
        <v>3890</v>
      </c>
      <c r="R867" s="33">
        <f>Table1_1[[#This Row],[Units Sold]]*Table1_1[[#This Row],[Unit Price]]*1-Table1_1[[#This Row],[Discount]]</f>
        <v>131977.9</v>
      </c>
      <c r="S867" s="33">
        <f>Table1_1[[#This Row],[Units Sold]]*Table1_1[[#This Row],[Unit Cost]]</f>
        <v>85580</v>
      </c>
      <c r="T867" s="33">
        <f>Table1_1[[#This Row],[Sales Amount]]-S867</f>
        <v>46397.899999999994</v>
      </c>
      <c r="U867" s="32">
        <f>IFERROR(Table1_1[[#This Row],[Profit/loss]]/Table1_1[[#This Row],[Sales Amount]],0)</f>
        <v>0.35155810177309987</v>
      </c>
    </row>
    <row r="868" spans="1:21" ht="18" x14ac:dyDescent="0.35">
      <c r="A868" s="21" t="s">
        <v>975</v>
      </c>
      <c r="B868" s="36">
        <v>45715</v>
      </c>
      <c r="C868" s="22">
        <f>YEAR(Table1_1[[#This Row],[Order Date]])</f>
        <v>2025</v>
      </c>
      <c r="D868" s="22" t="str">
        <f>TEXT(Table1_1[[#This Row],[Order Date]],"MMMM")</f>
        <v>February</v>
      </c>
      <c r="E868" s="22" t="s">
        <v>16</v>
      </c>
      <c r="F868" s="22" t="s">
        <v>126</v>
      </c>
      <c r="G868" s="22" t="s">
        <v>28</v>
      </c>
      <c r="H868" s="22" t="s">
        <v>39</v>
      </c>
      <c r="I868" s="22" t="s">
        <v>20</v>
      </c>
      <c r="J868" s="22" t="s">
        <v>45</v>
      </c>
      <c r="K868" s="22" t="s">
        <v>196</v>
      </c>
      <c r="L868" s="22" t="s">
        <v>57</v>
      </c>
      <c r="M868" s="22" t="s">
        <v>24</v>
      </c>
      <c r="N868" s="22">
        <v>7</v>
      </c>
      <c r="O868" s="26">
        <v>2499</v>
      </c>
      <c r="P868" s="22">
        <v>0.08</v>
      </c>
      <c r="Q868" s="30">
        <v>1510</v>
      </c>
      <c r="R868" s="33">
        <f>Table1_1[[#This Row],[Units Sold]]*Table1_1[[#This Row],[Unit Price]]*1-Table1_1[[#This Row],[Discount]]</f>
        <v>17492.919999999998</v>
      </c>
      <c r="S868" s="33">
        <f>Table1_1[[#This Row],[Units Sold]]*Table1_1[[#This Row],[Unit Cost]]</f>
        <v>10570</v>
      </c>
      <c r="T868" s="33">
        <f>Table1_1[[#This Row],[Sales Amount]]-S868</f>
        <v>6922.9199999999983</v>
      </c>
      <c r="U868" s="32">
        <f>IFERROR(Table1_1[[#This Row],[Profit/loss]]/Table1_1[[#This Row],[Sales Amount]],0)</f>
        <v>0.39575553995559343</v>
      </c>
    </row>
    <row r="869" spans="1:21" ht="18" x14ac:dyDescent="0.35">
      <c r="A869" s="21" t="s">
        <v>976</v>
      </c>
      <c r="B869" s="36">
        <v>45715</v>
      </c>
      <c r="C869" s="22">
        <f>YEAR(Table1_1[[#This Row],[Order Date]])</f>
        <v>2025</v>
      </c>
      <c r="D869" s="22" t="str">
        <f>TEXT(Table1_1[[#This Row],[Order Date]],"MMMM")</f>
        <v>February</v>
      </c>
      <c r="E869" s="22" t="s">
        <v>16</v>
      </c>
      <c r="F869" s="22" t="s">
        <v>111</v>
      </c>
      <c r="G869" s="22" t="s">
        <v>69</v>
      </c>
      <c r="H869" s="22" t="s">
        <v>29</v>
      </c>
      <c r="I869" s="22" t="s">
        <v>54</v>
      </c>
      <c r="J869" s="22" t="s">
        <v>55</v>
      </c>
      <c r="K869" s="22" t="s">
        <v>1623</v>
      </c>
      <c r="L869" s="22" t="s">
        <v>57</v>
      </c>
      <c r="M869" s="22" t="s">
        <v>34</v>
      </c>
      <c r="N869" s="22">
        <v>17</v>
      </c>
      <c r="O869" s="26">
        <v>5890</v>
      </c>
      <c r="P869" s="22">
        <v>0.15</v>
      </c>
      <c r="Q869" s="30">
        <v>3980</v>
      </c>
      <c r="R869" s="33">
        <f>Table1_1[[#This Row],[Units Sold]]*Table1_1[[#This Row],[Unit Price]]*1-Table1_1[[#This Row],[Discount]]</f>
        <v>100129.85</v>
      </c>
      <c r="S869" s="33">
        <f>Table1_1[[#This Row],[Units Sold]]*Table1_1[[#This Row],[Unit Cost]]</f>
        <v>67660</v>
      </c>
      <c r="T869" s="33">
        <f>Table1_1[[#This Row],[Sales Amount]]-S869</f>
        <v>32469.850000000006</v>
      </c>
      <c r="U869" s="32">
        <f>IFERROR(Table1_1[[#This Row],[Profit/loss]]/Table1_1[[#This Row],[Sales Amount]],0)</f>
        <v>0.32427742576264723</v>
      </c>
    </row>
    <row r="870" spans="1:21" ht="18" x14ac:dyDescent="0.35">
      <c r="A870" s="21" t="s">
        <v>977</v>
      </c>
      <c r="B870" s="36">
        <v>45716</v>
      </c>
      <c r="C870" s="22">
        <f>YEAR(Table1_1[[#This Row],[Order Date]])</f>
        <v>2025</v>
      </c>
      <c r="D870" s="22" t="str">
        <f>TEXT(Table1_1[[#This Row],[Order Date]],"MMMM")</f>
        <v>February</v>
      </c>
      <c r="E870" s="22" t="s">
        <v>36</v>
      </c>
      <c r="F870" s="22" t="s">
        <v>44</v>
      </c>
      <c r="G870" s="22" t="s">
        <v>38</v>
      </c>
      <c r="H870" s="22" t="s">
        <v>19</v>
      </c>
      <c r="I870" s="22" t="s">
        <v>40</v>
      </c>
      <c r="J870" s="22" t="s">
        <v>64</v>
      </c>
      <c r="K870" s="22" t="s">
        <v>1619</v>
      </c>
      <c r="L870" s="22" t="s">
        <v>23</v>
      </c>
      <c r="M870" s="22" t="s">
        <v>24</v>
      </c>
      <c r="N870" s="22">
        <v>8</v>
      </c>
      <c r="O870" s="26">
        <v>1930</v>
      </c>
      <c r="P870" s="22">
        <v>0.08</v>
      </c>
      <c r="Q870" s="30">
        <v>1120</v>
      </c>
      <c r="R870" s="33">
        <f>Table1_1[[#This Row],[Units Sold]]*Table1_1[[#This Row],[Unit Price]]*1-Table1_1[[#This Row],[Discount]]</f>
        <v>15439.92</v>
      </c>
      <c r="S870" s="33">
        <f>Table1_1[[#This Row],[Units Sold]]*Table1_1[[#This Row],[Unit Cost]]</f>
        <v>8960</v>
      </c>
      <c r="T870" s="33">
        <f>Table1_1[[#This Row],[Sales Amount]]-S870</f>
        <v>6479.92</v>
      </c>
      <c r="U870" s="32">
        <f>IFERROR(Table1_1[[#This Row],[Profit/loss]]/Table1_1[[#This Row],[Sales Amount]],0)</f>
        <v>0.41968611236327652</v>
      </c>
    </row>
    <row r="871" spans="1:21" ht="18" x14ac:dyDescent="0.35">
      <c r="A871" s="21" t="s">
        <v>978</v>
      </c>
      <c r="B871" s="36">
        <v>45717</v>
      </c>
      <c r="C871" s="22">
        <f>YEAR(Table1_1[[#This Row],[Order Date]])</f>
        <v>2025</v>
      </c>
      <c r="D871" s="22" t="str">
        <f>TEXT(Table1_1[[#This Row],[Order Date]],"MMMM")</f>
        <v>March</v>
      </c>
      <c r="E871" s="22" t="s">
        <v>82</v>
      </c>
      <c r="F871" s="22" t="s">
        <v>183</v>
      </c>
      <c r="G871" s="22" t="s">
        <v>38</v>
      </c>
      <c r="H871" s="22" t="s">
        <v>29</v>
      </c>
      <c r="I871" s="22" t="s">
        <v>20</v>
      </c>
      <c r="J871" s="22" t="s">
        <v>45</v>
      </c>
      <c r="K871" s="22" t="s">
        <v>196</v>
      </c>
      <c r="L871" s="22" t="s">
        <v>33</v>
      </c>
      <c r="M871" s="22" t="s">
        <v>24</v>
      </c>
      <c r="N871" s="22">
        <v>27</v>
      </c>
      <c r="O871" s="26">
        <v>2499</v>
      </c>
      <c r="P871" s="22">
        <v>0.12</v>
      </c>
      <c r="Q871" s="30">
        <v>1510</v>
      </c>
      <c r="R871" s="33">
        <f>Table1_1[[#This Row],[Units Sold]]*Table1_1[[#This Row],[Unit Price]]*1-Table1_1[[#This Row],[Discount]]</f>
        <v>67472.88</v>
      </c>
      <c r="S871" s="33">
        <f>Table1_1[[#This Row],[Units Sold]]*Table1_1[[#This Row],[Unit Cost]]</f>
        <v>40770</v>
      </c>
      <c r="T871" s="33">
        <f>Table1_1[[#This Row],[Sales Amount]]-S871</f>
        <v>26702.880000000005</v>
      </c>
      <c r="U871" s="32">
        <f>IFERROR(Table1_1[[#This Row],[Profit/loss]]/Table1_1[[#This Row],[Sales Amount]],0)</f>
        <v>0.39575722868210167</v>
      </c>
    </row>
    <row r="872" spans="1:21" ht="18" x14ac:dyDescent="0.35">
      <c r="A872" s="21" t="s">
        <v>979</v>
      </c>
      <c r="B872" s="36">
        <v>45717</v>
      </c>
      <c r="C872" s="22">
        <f>YEAR(Table1_1[[#This Row],[Order Date]])</f>
        <v>2025</v>
      </c>
      <c r="D872" s="22" t="str">
        <f>TEXT(Table1_1[[#This Row],[Order Date]],"MMMM")</f>
        <v>March</v>
      </c>
      <c r="E872" s="22" t="s">
        <v>36</v>
      </c>
      <c r="F872" s="22" t="s">
        <v>37</v>
      </c>
      <c r="G872" s="22" t="s">
        <v>60</v>
      </c>
      <c r="H872" s="22" t="s">
        <v>19</v>
      </c>
      <c r="I872" s="22" t="s">
        <v>40</v>
      </c>
      <c r="J872" s="22" t="s">
        <v>76</v>
      </c>
      <c r="K872" s="22" t="s">
        <v>1620</v>
      </c>
      <c r="L872" s="22" t="s">
        <v>23</v>
      </c>
      <c r="M872" s="22" t="s">
        <v>34</v>
      </c>
      <c r="N872" s="22">
        <v>11</v>
      </c>
      <c r="O872" s="26">
        <v>52990</v>
      </c>
      <c r="P872" s="22">
        <v>0.12</v>
      </c>
      <c r="Q872" s="30">
        <v>39500</v>
      </c>
      <c r="R872" s="33">
        <f>Table1_1[[#This Row],[Units Sold]]*Table1_1[[#This Row],[Unit Price]]*1-Table1_1[[#This Row],[Discount]]</f>
        <v>582889.88</v>
      </c>
      <c r="S872" s="33">
        <f>Table1_1[[#This Row],[Units Sold]]*Table1_1[[#This Row],[Unit Cost]]</f>
        <v>434500</v>
      </c>
      <c r="T872" s="33">
        <f>Table1_1[[#This Row],[Sales Amount]]-S872</f>
        <v>148389.88</v>
      </c>
      <c r="U872" s="32">
        <f>IFERROR(Table1_1[[#This Row],[Profit/loss]]/Table1_1[[#This Row],[Sales Amount]],0)</f>
        <v>0.25457618169661822</v>
      </c>
    </row>
    <row r="873" spans="1:21" ht="18" x14ac:dyDescent="0.35">
      <c r="A873" s="21" t="s">
        <v>980</v>
      </c>
      <c r="B873" s="36">
        <v>45717</v>
      </c>
      <c r="C873" s="22">
        <f>YEAR(Table1_1[[#This Row],[Order Date]])</f>
        <v>2025</v>
      </c>
      <c r="D873" s="22" t="str">
        <f>TEXT(Table1_1[[#This Row],[Order Date]],"MMMM")</f>
        <v>March</v>
      </c>
      <c r="E873" s="22" t="s">
        <v>48</v>
      </c>
      <c r="F873" s="22" t="s">
        <v>49</v>
      </c>
      <c r="G873" s="22" t="s">
        <v>50</v>
      </c>
      <c r="H873" s="22" t="s">
        <v>29</v>
      </c>
      <c r="I873" s="22" t="s">
        <v>30</v>
      </c>
      <c r="J873" s="22" t="s">
        <v>61</v>
      </c>
      <c r="K873" s="22" t="s">
        <v>62</v>
      </c>
      <c r="L873" s="22" t="s">
        <v>33</v>
      </c>
      <c r="M873" s="22" t="s">
        <v>66</v>
      </c>
      <c r="N873" s="22">
        <v>22</v>
      </c>
      <c r="O873" s="26">
        <v>12490</v>
      </c>
      <c r="P873" s="22">
        <v>0.12</v>
      </c>
      <c r="Q873" s="30">
        <v>7900</v>
      </c>
      <c r="R873" s="33">
        <f>Table1_1[[#This Row],[Units Sold]]*Table1_1[[#This Row],[Unit Price]]*1-Table1_1[[#This Row],[Discount]]</f>
        <v>274779.88</v>
      </c>
      <c r="S873" s="33">
        <f>Table1_1[[#This Row],[Units Sold]]*Table1_1[[#This Row],[Unit Cost]]</f>
        <v>173800</v>
      </c>
      <c r="T873" s="33">
        <f>Table1_1[[#This Row],[Sales Amount]]-S873</f>
        <v>100979.88</v>
      </c>
      <c r="U873" s="32">
        <f>IFERROR(Table1_1[[#This Row],[Profit/loss]]/Table1_1[[#This Row],[Sales Amount]],0)</f>
        <v>0.36749371897243716</v>
      </c>
    </row>
    <row r="874" spans="1:21" ht="18" x14ac:dyDescent="0.35">
      <c r="A874" s="21" t="s">
        <v>981</v>
      </c>
      <c r="B874" s="36">
        <v>45718</v>
      </c>
      <c r="C874" s="22">
        <f>YEAR(Table1_1[[#This Row],[Order Date]])</f>
        <v>2025</v>
      </c>
      <c r="D874" s="22" t="str">
        <f>TEXT(Table1_1[[#This Row],[Order Date]],"MMMM")</f>
        <v>March</v>
      </c>
      <c r="E874" s="22" t="s">
        <v>48</v>
      </c>
      <c r="F874" s="22" t="s">
        <v>136</v>
      </c>
      <c r="G874" s="22" t="s">
        <v>69</v>
      </c>
      <c r="H874" s="22" t="s">
        <v>19</v>
      </c>
      <c r="I874" s="22" t="s">
        <v>54</v>
      </c>
      <c r="J874" s="22" t="s">
        <v>55</v>
      </c>
      <c r="K874" s="22" t="s">
        <v>148</v>
      </c>
      <c r="L874" s="22" t="s">
        <v>57</v>
      </c>
      <c r="M874" s="22" t="s">
        <v>34</v>
      </c>
      <c r="N874" s="22">
        <v>12</v>
      </c>
      <c r="O874" s="26">
        <v>4680</v>
      </c>
      <c r="P874" s="22">
        <v>0.05</v>
      </c>
      <c r="Q874" s="30">
        <v>3250</v>
      </c>
      <c r="R874" s="33">
        <f>Table1_1[[#This Row],[Units Sold]]*Table1_1[[#This Row],[Unit Price]]*1-Table1_1[[#This Row],[Discount]]</f>
        <v>56159.95</v>
      </c>
      <c r="S874" s="33">
        <f>Table1_1[[#This Row],[Units Sold]]*Table1_1[[#This Row],[Unit Cost]]</f>
        <v>39000</v>
      </c>
      <c r="T874" s="33">
        <f>Table1_1[[#This Row],[Sales Amount]]-S874</f>
        <v>17159.949999999997</v>
      </c>
      <c r="U874" s="32">
        <f>IFERROR(Table1_1[[#This Row],[Profit/loss]]/Table1_1[[#This Row],[Sales Amount]],0)</f>
        <v>0.30555493728181732</v>
      </c>
    </row>
    <row r="875" spans="1:21" ht="18" x14ac:dyDescent="0.35">
      <c r="A875" s="21" t="s">
        <v>982</v>
      </c>
      <c r="B875" s="36">
        <v>45719</v>
      </c>
      <c r="C875" s="22">
        <f>YEAR(Table1_1[[#This Row],[Order Date]])</f>
        <v>2025</v>
      </c>
      <c r="D875" s="22" t="str">
        <f>TEXT(Table1_1[[#This Row],[Order Date]],"MMMM")</f>
        <v>March</v>
      </c>
      <c r="E875" s="22" t="s">
        <v>26</v>
      </c>
      <c r="F875" s="22" t="s">
        <v>74</v>
      </c>
      <c r="G875" s="22" t="s">
        <v>75</v>
      </c>
      <c r="H875" s="22" t="s">
        <v>39</v>
      </c>
      <c r="I875" s="22" t="s">
        <v>54</v>
      </c>
      <c r="J875" s="22" t="s">
        <v>129</v>
      </c>
      <c r="K875" s="22" t="s">
        <v>145</v>
      </c>
      <c r="L875" s="22" t="s">
        <v>33</v>
      </c>
      <c r="M875" s="22" t="s">
        <v>78</v>
      </c>
      <c r="N875" s="22">
        <v>27</v>
      </c>
      <c r="O875" s="26">
        <v>31490</v>
      </c>
      <c r="P875" s="22">
        <v>0.05</v>
      </c>
      <c r="Q875" s="30">
        <v>21300</v>
      </c>
      <c r="R875" s="33">
        <f>Table1_1[[#This Row],[Units Sold]]*Table1_1[[#This Row],[Unit Price]]*1-Table1_1[[#This Row],[Discount]]</f>
        <v>850229.95</v>
      </c>
      <c r="S875" s="33">
        <f>Table1_1[[#This Row],[Units Sold]]*Table1_1[[#This Row],[Unit Cost]]</f>
        <v>575100</v>
      </c>
      <c r="T875" s="33">
        <f>Table1_1[[#This Row],[Sales Amount]]-S875</f>
        <v>275129.94999999995</v>
      </c>
      <c r="U875" s="32">
        <f>IFERROR(Table1_1[[#This Row],[Profit/loss]]/Table1_1[[#This Row],[Sales Amount]],0)</f>
        <v>0.32359475221967887</v>
      </c>
    </row>
    <row r="876" spans="1:21" ht="18" x14ac:dyDescent="0.35">
      <c r="A876" s="21" t="s">
        <v>983</v>
      </c>
      <c r="B876" s="36">
        <v>45719</v>
      </c>
      <c r="C876" s="22">
        <f>YEAR(Table1_1[[#This Row],[Order Date]])</f>
        <v>2025</v>
      </c>
      <c r="D876" s="22" t="str">
        <f>TEXT(Table1_1[[#This Row],[Order Date]],"MMMM")</f>
        <v>March</v>
      </c>
      <c r="E876" s="22" t="s">
        <v>26</v>
      </c>
      <c r="F876" s="22" t="s">
        <v>27</v>
      </c>
      <c r="G876" s="22" t="s">
        <v>84</v>
      </c>
      <c r="H876" s="22" t="s">
        <v>19</v>
      </c>
      <c r="I876" s="22" t="s">
        <v>54</v>
      </c>
      <c r="J876" s="22" t="s">
        <v>90</v>
      </c>
      <c r="K876" s="22" t="s">
        <v>1625</v>
      </c>
      <c r="L876" s="22" t="s">
        <v>33</v>
      </c>
      <c r="M876" s="22" t="s">
        <v>24</v>
      </c>
      <c r="N876" s="22">
        <v>18</v>
      </c>
      <c r="O876" s="26">
        <v>32800</v>
      </c>
      <c r="P876" s="22">
        <v>0.15</v>
      </c>
      <c r="Q876" s="30">
        <v>23100</v>
      </c>
      <c r="R876" s="33">
        <f>Table1_1[[#This Row],[Units Sold]]*Table1_1[[#This Row],[Unit Price]]*1-Table1_1[[#This Row],[Discount]]</f>
        <v>590399.85</v>
      </c>
      <c r="S876" s="33">
        <f>Table1_1[[#This Row],[Units Sold]]*Table1_1[[#This Row],[Unit Cost]]</f>
        <v>415800</v>
      </c>
      <c r="T876" s="33">
        <f>Table1_1[[#This Row],[Sales Amount]]-S876</f>
        <v>174599.84999999998</v>
      </c>
      <c r="U876" s="32">
        <f>IFERROR(Table1_1[[#This Row],[Profit/loss]]/Table1_1[[#This Row],[Sales Amount]],0)</f>
        <v>0.29573152838707528</v>
      </c>
    </row>
    <row r="877" spans="1:21" ht="18" x14ac:dyDescent="0.35">
      <c r="A877" s="21" t="s">
        <v>984</v>
      </c>
      <c r="B877" s="36">
        <v>45719</v>
      </c>
      <c r="C877" s="22">
        <f>YEAR(Table1_1[[#This Row],[Order Date]])</f>
        <v>2025</v>
      </c>
      <c r="D877" s="22" t="str">
        <f>TEXT(Table1_1[[#This Row],[Order Date]],"MMMM")</f>
        <v>March</v>
      </c>
      <c r="E877" s="22" t="s">
        <v>82</v>
      </c>
      <c r="F877" s="22" t="s">
        <v>83</v>
      </c>
      <c r="G877" s="22" t="s">
        <v>69</v>
      </c>
      <c r="H877" s="22" t="s">
        <v>19</v>
      </c>
      <c r="I877" s="22" t="s">
        <v>70</v>
      </c>
      <c r="J877" s="22" t="s">
        <v>71</v>
      </c>
      <c r="K877" s="22" t="s">
        <v>72</v>
      </c>
      <c r="L877" s="22" t="s">
        <v>23</v>
      </c>
      <c r="M877" s="22" t="s">
        <v>24</v>
      </c>
      <c r="N877" s="22">
        <v>7</v>
      </c>
      <c r="O877" s="26">
        <v>3499</v>
      </c>
      <c r="P877" s="22">
        <v>0.2</v>
      </c>
      <c r="Q877" s="30">
        <v>2190</v>
      </c>
      <c r="R877" s="33">
        <f>Table1_1[[#This Row],[Units Sold]]*Table1_1[[#This Row],[Unit Price]]*1-Table1_1[[#This Row],[Discount]]</f>
        <v>24492.799999999999</v>
      </c>
      <c r="S877" s="33">
        <f>Table1_1[[#This Row],[Units Sold]]*Table1_1[[#This Row],[Unit Cost]]</f>
        <v>15330</v>
      </c>
      <c r="T877" s="33">
        <f>Table1_1[[#This Row],[Sales Amount]]-S877</f>
        <v>9162.7999999999993</v>
      </c>
      <c r="U877" s="32">
        <f>IFERROR(Table1_1[[#This Row],[Profit/loss]]/Table1_1[[#This Row],[Sales Amount]],0)</f>
        <v>0.37410177684870655</v>
      </c>
    </row>
    <row r="878" spans="1:21" ht="18" x14ac:dyDescent="0.35">
      <c r="A878" s="21" t="s">
        <v>985</v>
      </c>
      <c r="B878" s="36">
        <v>45720</v>
      </c>
      <c r="C878" s="22">
        <f>YEAR(Table1_1[[#This Row],[Order Date]])</f>
        <v>2025</v>
      </c>
      <c r="D878" s="22" t="str">
        <f>TEXT(Table1_1[[#This Row],[Order Date]],"MMMM")</f>
        <v>March</v>
      </c>
      <c r="E878" s="22" t="s">
        <v>48</v>
      </c>
      <c r="F878" s="22" t="s">
        <v>68</v>
      </c>
      <c r="G878" s="22" t="s">
        <v>84</v>
      </c>
      <c r="H878" s="22" t="s">
        <v>29</v>
      </c>
      <c r="I878" s="22" t="s">
        <v>40</v>
      </c>
      <c r="J878" s="22" t="s">
        <v>64</v>
      </c>
      <c r="K878" s="22" t="s">
        <v>1627</v>
      </c>
      <c r="L878" s="22" t="s">
        <v>33</v>
      </c>
      <c r="M878" s="22" t="s">
        <v>24</v>
      </c>
      <c r="N878" s="22">
        <v>30</v>
      </c>
      <c r="O878" s="26">
        <v>4490</v>
      </c>
      <c r="P878" s="22">
        <v>0.15</v>
      </c>
      <c r="Q878" s="30">
        <v>2950</v>
      </c>
      <c r="R878" s="33">
        <f>Table1_1[[#This Row],[Units Sold]]*Table1_1[[#This Row],[Unit Price]]*1-Table1_1[[#This Row],[Discount]]</f>
        <v>134699.85</v>
      </c>
      <c r="S878" s="33">
        <f>Table1_1[[#This Row],[Units Sold]]*Table1_1[[#This Row],[Unit Cost]]</f>
        <v>88500</v>
      </c>
      <c r="T878" s="33">
        <f>Table1_1[[#This Row],[Sales Amount]]-S878</f>
        <v>46199.850000000006</v>
      </c>
      <c r="U878" s="32">
        <f>IFERROR(Table1_1[[#This Row],[Profit/loss]]/Table1_1[[#This Row],[Sales Amount]],0)</f>
        <v>0.34298367815554365</v>
      </c>
    </row>
    <row r="879" spans="1:21" ht="18" x14ac:dyDescent="0.35">
      <c r="A879" s="21" t="s">
        <v>986</v>
      </c>
      <c r="B879" s="36">
        <v>45721</v>
      </c>
      <c r="C879" s="22">
        <f>YEAR(Table1_1[[#This Row],[Order Date]])</f>
        <v>2025</v>
      </c>
      <c r="D879" s="22" t="str">
        <f>TEXT(Table1_1[[#This Row],[Order Date]],"MMMM")</f>
        <v>March</v>
      </c>
      <c r="E879" s="22" t="s">
        <v>26</v>
      </c>
      <c r="F879" s="22" t="s">
        <v>163</v>
      </c>
      <c r="G879" s="22" t="s">
        <v>84</v>
      </c>
      <c r="H879" s="22" t="s">
        <v>29</v>
      </c>
      <c r="I879" s="22" t="s">
        <v>40</v>
      </c>
      <c r="J879" s="22" t="s">
        <v>64</v>
      </c>
      <c r="K879" s="22" t="s">
        <v>1627</v>
      </c>
      <c r="L879" s="22" t="s">
        <v>23</v>
      </c>
      <c r="M879" s="22" t="s">
        <v>24</v>
      </c>
      <c r="N879" s="22">
        <v>36</v>
      </c>
      <c r="O879" s="26">
        <v>4490</v>
      </c>
      <c r="P879" s="22">
        <v>0.18</v>
      </c>
      <c r="Q879" s="30">
        <v>2950</v>
      </c>
      <c r="R879" s="33">
        <f>Table1_1[[#This Row],[Units Sold]]*Table1_1[[#This Row],[Unit Price]]*1-Table1_1[[#This Row],[Discount]]</f>
        <v>161639.82</v>
      </c>
      <c r="S879" s="33">
        <f>Table1_1[[#This Row],[Units Sold]]*Table1_1[[#This Row],[Unit Cost]]</f>
        <v>106200</v>
      </c>
      <c r="T879" s="33">
        <f>Table1_1[[#This Row],[Sales Amount]]-S879</f>
        <v>55439.820000000007</v>
      </c>
      <c r="U879" s="32">
        <f>IFERROR(Table1_1[[#This Row],[Profit/loss]]/Table1_1[[#This Row],[Sales Amount]],0)</f>
        <v>0.34298367815554365</v>
      </c>
    </row>
    <row r="880" spans="1:21" ht="18" x14ac:dyDescent="0.35">
      <c r="A880" s="21" t="s">
        <v>987</v>
      </c>
      <c r="B880" s="36">
        <v>45722</v>
      </c>
      <c r="C880" s="22">
        <f>YEAR(Table1_1[[#This Row],[Order Date]])</f>
        <v>2025</v>
      </c>
      <c r="D880" s="22" t="str">
        <f>TEXT(Table1_1[[#This Row],[Order Date]],"MMMM")</f>
        <v>March</v>
      </c>
      <c r="E880" s="22" t="s">
        <v>36</v>
      </c>
      <c r="F880" s="22" t="s">
        <v>121</v>
      </c>
      <c r="G880" s="22" t="s">
        <v>84</v>
      </c>
      <c r="H880" s="22" t="s">
        <v>29</v>
      </c>
      <c r="I880" s="22" t="s">
        <v>40</v>
      </c>
      <c r="J880" s="22" t="s">
        <v>64</v>
      </c>
      <c r="K880" s="22" t="s">
        <v>1627</v>
      </c>
      <c r="L880" s="22" t="s">
        <v>33</v>
      </c>
      <c r="M880" s="22" t="s">
        <v>78</v>
      </c>
      <c r="N880" s="22">
        <v>13</v>
      </c>
      <c r="O880" s="26">
        <v>4490</v>
      </c>
      <c r="P880" s="22">
        <v>0.15</v>
      </c>
      <c r="Q880" s="30">
        <v>2950</v>
      </c>
      <c r="R880" s="33">
        <f>Table1_1[[#This Row],[Units Sold]]*Table1_1[[#This Row],[Unit Price]]*1-Table1_1[[#This Row],[Discount]]</f>
        <v>58369.85</v>
      </c>
      <c r="S880" s="33">
        <f>Table1_1[[#This Row],[Units Sold]]*Table1_1[[#This Row],[Unit Cost]]</f>
        <v>38350</v>
      </c>
      <c r="T880" s="33">
        <f>Table1_1[[#This Row],[Sales Amount]]-S880</f>
        <v>20019.849999999999</v>
      </c>
      <c r="U880" s="32">
        <f>IFERROR(Table1_1[[#This Row],[Profit/loss]]/Table1_1[[#This Row],[Sales Amount]],0)</f>
        <v>0.34298272138783975</v>
      </c>
    </row>
    <row r="881" spans="1:21" ht="18" x14ac:dyDescent="0.35">
      <c r="A881" s="21" t="s">
        <v>988</v>
      </c>
      <c r="B881" s="36">
        <v>45722</v>
      </c>
      <c r="C881" s="22">
        <f>YEAR(Table1_1[[#This Row],[Order Date]])</f>
        <v>2025</v>
      </c>
      <c r="D881" s="22" t="str">
        <f>TEXT(Table1_1[[#This Row],[Order Date]],"MMMM")</f>
        <v>March</v>
      </c>
      <c r="E881" s="22" t="s">
        <v>36</v>
      </c>
      <c r="F881" s="22" t="s">
        <v>44</v>
      </c>
      <c r="G881" s="22" t="s">
        <v>28</v>
      </c>
      <c r="H881" s="22" t="s">
        <v>39</v>
      </c>
      <c r="I881" s="22" t="s">
        <v>54</v>
      </c>
      <c r="J881" s="22" t="s">
        <v>90</v>
      </c>
      <c r="K881" s="22" t="s">
        <v>1625</v>
      </c>
      <c r="L881" s="22" t="s">
        <v>23</v>
      </c>
      <c r="M881" s="22" t="s">
        <v>78</v>
      </c>
      <c r="N881" s="22">
        <v>10</v>
      </c>
      <c r="O881" s="26">
        <v>32800</v>
      </c>
      <c r="P881" s="22">
        <v>0.18</v>
      </c>
      <c r="Q881" s="30">
        <v>23100</v>
      </c>
      <c r="R881" s="33">
        <f>Table1_1[[#This Row],[Units Sold]]*Table1_1[[#This Row],[Unit Price]]*1-Table1_1[[#This Row],[Discount]]</f>
        <v>327999.82</v>
      </c>
      <c r="S881" s="33">
        <f>Table1_1[[#This Row],[Units Sold]]*Table1_1[[#This Row],[Unit Cost]]</f>
        <v>231000</v>
      </c>
      <c r="T881" s="33">
        <f>Table1_1[[#This Row],[Sales Amount]]-S881</f>
        <v>96999.82</v>
      </c>
      <c r="U881" s="32">
        <f>IFERROR(Table1_1[[#This Row],[Profit/loss]]/Table1_1[[#This Row],[Sales Amount]],0)</f>
        <v>0.29573132082816389</v>
      </c>
    </row>
    <row r="882" spans="1:21" ht="18" x14ac:dyDescent="0.35">
      <c r="A882" s="21" t="s">
        <v>989</v>
      </c>
      <c r="B882" s="36">
        <v>45722</v>
      </c>
      <c r="C882" s="22">
        <f>YEAR(Table1_1[[#This Row],[Order Date]])</f>
        <v>2025</v>
      </c>
      <c r="D882" s="22" t="str">
        <f>TEXT(Table1_1[[#This Row],[Order Date]],"MMMM")</f>
        <v>March</v>
      </c>
      <c r="E882" s="22" t="s">
        <v>26</v>
      </c>
      <c r="F882" s="22" t="s">
        <v>53</v>
      </c>
      <c r="G882" s="22" t="s">
        <v>28</v>
      </c>
      <c r="H882" s="22" t="s">
        <v>19</v>
      </c>
      <c r="I882" s="22" t="s">
        <v>40</v>
      </c>
      <c r="J882" s="22" t="s">
        <v>64</v>
      </c>
      <c r="K882" s="22" t="s">
        <v>1629</v>
      </c>
      <c r="L882" s="22" t="s">
        <v>57</v>
      </c>
      <c r="M882" s="22" t="s">
        <v>78</v>
      </c>
      <c r="N882" s="22">
        <v>1</v>
      </c>
      <c r="O882" s="26">
        <v>3299</v>
      </c>
      <c r="P882" s="22">
        <v>0.12</v>
      </c>
      <c r="Q882" s="30">
        <v>2050</v>
      </c>
      <c r="R882" s="33">
        <f>Table1_1[[#This Row],[Units Sold]]*Table1_1[[#This Row],[Unit Price]]*1-Table1_1[[#This Row],[Discount]]</f>
        <v>3298.88</v>
      </c>
      <c r="S882" s="33">
        <f>Table1_1[[#This Row],[Units Sold]]*Table1_1[[#This Row],[Unit Cost]]</f>
        <v>2050</v>
      </c>
      <c r="T882" s="33">
        <f>Table1_1[[#This Row],[Sales Amount]]-S882</f>
        <v>1248.8800000000001</v>
      </c>
      <c r="U882" s="32">
        <f>IFERROR(Table1_1[[#This Row],[Profit/loss]]/Table1_1[[#This Row],[Sales Amount]],0)</f>
        <v>0.37857697157823261</v>
      </c>
    </row>
    <row r="883" spans="1:21" ht="18" x14ac:dyDescent="0.35">
      <c r="A883" s="21" t="s">
        <v>990</v>
      </c>
      <c r="B883" s="36">
        <v>45722</v>
      </c>
      <c r="C883" s="22">
        <f>YEAR(Table1_1[[#This Row],[Order Date]])</f>
        <v>2025</v>
      </c>
      <c r="D883" s="22" t="str">
        <f>TEXT(Table1_1[[#This Row],[Order Date]],"MMMM")</f>
        <v>March</v>
      </c>
      <c r="E883" s="22" t="s">
        <v>82</v>
      </c>
      <c r="F883" s="22" t="s">
        <v>87</v>
      </c>
      <c r="G883" s="22" t="s">
        <v>38</v>
      </c>
      <c r="H883" s="22" t="s">
        <v>39</v>
      </c>
      <c r="I883" s="22" t="s">
        <v>40</v>
      </c>
      <c r="J883" s="22" t="s">
        <v>41</v>
      </c>
      <c r="K883" s="22" t="s">
        <v>1624</v>
      </c>
      <c r="L883" s="22" t="s">
        <v>33</v>
      </c>
      <c r="M883" s="22" t="s">
        <v>24</v>
      </c>
      <c r="N883" s="22">
        <v>5</v>
      </c>
      <c r="O883" s="26">
        <v>48990</v>
      </c>
      <c r="P883" s="22">
        <v>0.05</v>
      </c>
      <c r="Q883" s="30">
        <v>30100</v>
      </c>
      <c r="R883" s="33">
        <f>Table1_1[[#This Row],[Units Sold]]*Table1_1[[#This Row],[Unit Price]]*1-Table1_1[[#This Row],[Discount]]</f>
        <v>244949.95</v>
      </c>
      <c r="S883" s="33">
        <f>Table1_1[[#This Row],[Units Sold]]*Table1_1[[#This Row],[Unit Cost]]</f>
        <v>150500</v>
      </c>
      <c r="T883" s="33">
        <f>Table1_1[[#This Row],[Sales Amount]]-S883</f>
        <v>94449.950000000012</v>
      </c>
      <c r="U883" s="32">
        <f>IFERROR(Table1_1[[#This Row],[Profit/loss]]/Table1_1[[#This Row],[Sales Amount]],0)</f>
        <v>0.38558877027735666</v>
      </c>
    </row>
    <row r="884" spans="1:21" ht="18" x14ac:dyDescent="0.35">
      <c r="A884" s="21" t="s">
        <v>991</v>
      </c>
      <c r="B884" s="36">
        <v>45722</v>
      </c>
      <c r="C884" s="22">
        <f>YEAR(Table1_1[[#This Row],[Order Date]])</f>
        <v>2025</v>
      </c>
      <c r="D884" s="22" t="str">
        <f>TEXT(Table1_1[[#This Row],[Order Date]],"MMMM")</f>
        <v>March</v>
      </c>
      <c r="E884" s="22" t="s">
        <v>36</v>
      </c>
      <c r="F884" s="22" t="s">
        <v>44</v>
      </c>
      <c r="G884" s="22" t="s">
        <v>84</v>
      </c>
      <c r="H884" s="22" t="s">
        <v>39</v>
      </c>
      <c r="I884" s="22" t="s">
        <v>30</v>
      </c>
      <c r="J884" s="22" t="s">
        <v>31</v>
      </c>
      <c r="K884" s="22" t="s">
        <v>85</v>
      </c>
      <c r="L884" s="22" t="s">
        <v>57</v>
      </c>
      <c r="M884" s="22" t="s">
        <v>34</v>
      </c>
      <c r="N884" s="22">
        <v>2</v>
      </c>
      <c r="O884" s="26">
        <v>43500</v>
      </c>
      <c r="P884" s="22">
        <v>0.15</v>
      </c>
      <c r="Q884" s="30">
        <v>29520</v>
      </c>
      <c r="R884" s="33">
        <f>Table1_1[[#This Row],[Units Sold]]*Table1_1[[#This Row],[Unit Price]]*1-Table1_1[[#This Row],[Discount]]</f>
        <v>86999.85</v>
      </c>
      <c r="S884" s="33">
        <f>Table1_1[[#This Row],[Units Sold]]*Table1_1[[#This Row],[Unit Cost]]</f>
        <v>59040</v>
      </c>
      <c r="T884" s="33">
        <f>Table1_1[[#This Row],[Sales Amount]]-S884</f>
        <v>27959.850000000006</v>
      </c>
      <c r="U884" s="32">
        <f>IFERROR(Table1_1[[#This Row],[Profit/loss]]/Table1_1[[#This Row],[Sales Amount]],0)</f>
        <v>0.32137814030713852</v>
      </c>
    </row>
    <row r="885" spans="1:21" ht="18" x14ac:dyDescent="0.35">
      <c r="A885" s="21" t="s">
        <v>992</v>
      </c>
      <c r="B885" s="36">
        <v>45723</v>
      </c>
      <c r="C885" s="22">
        <f>YEAR(Table1_1[[#This Row],[Order Date]])</f>
        <v>2025</v>
      </c>
      <c r="D885" s="22" t="str">
        <f>TEXT(Table1_1[[#This Row],[Order Date]],"MMMM")</f>
        <v>March</v>
      </c>
      <c r="E885" s="22" t="s">
        <v>36</v>
      </c>
      <c r="F885" s="22" t="s">
        <v>59</v>
      </c>
      <c r="G885" s="22" t="s">
        <v>105</v>
      </c>
      <c r="H885" s="22" t="s">
        <v>19</v>
      </c>
      <c r="I885" s="22" t="s">
        <v>20</v>
      </c>
      <c r="J885" s="22" t="s">
        <v>45</v>
      </c>
      <c r="K885" s="22" t="s">
        <v>1618</v>
      </c>
      <c r="L885" s="22" t="s">
        <v>33</v>
      </c>
      <c r="M885" s="22" t="s">
        <v>24</v>
      </c>
      <c r="N885" s="22">
        <v>3</v>
      </c>
      <c r="O885" s="26">
        <v>1899</v>
      </c>
      <c r="P885" s="22">
        <v>0.05</v>
      </c>
      <c r="Q885" s="30">
        <v>1080</v>
      </c>
      <c r="R885" s="33">
        <f>Table1_1[[#This Row],[Units Sold]]*Table1_1[[#This Row],[Unit Price]]*1-Table1_1[[#This Row],[Discount]]</f>
        <v>5696.95</v>
      </c>
      <c r="S885" s="33">
        <f>Table1_1[[#This Row],[Units Sold]]*Table1_1[[#This Row],[Unit Cost]]</f>
        <v>3240</v>
      </c>
      <c r="T885" s="33">
        <f>Table1_1[[#This Row],[Sales Amount]]-S885</f>
        <v>2456.9499999999998</v>
      </c>
      <c r="U885" s="32">
        <f>IFERROR(Table1_1[[#This Row],[Profit/loss]]/Table1_1[[#This Row],[Sales Amount]],0)</f>
        <v>0.43127462940696337</v>
      </c>
    </row>
    <row r="886" spans="1:21" ht="18" x14ac:dyDescent="0.35">
      <c r="A886" s="21" t="s">
        <v>993</v>
      </c>
      <c r="B886" s="36">
        <v>45723</v>
      </c>
      <c r="C886" s="22">
        <f>YEAR(Table1_1[[#This Row],[Order Date]])</f>
        <v>2025</v>
      </c>
      <c r="D886" s="22" t="str">
        <f>TEXT(Table1_1[[#This Row],[Order Date]],"MMMM")</f>
        <v>March</v>
      </c>
      <c r="E886" s="22" t="s">
        <v>16</v>
      </c>
      <c r="F886" s="22" t="s">
        <v>126</v>
      </c>
      <c r="G886" s="22" t="s">
        <v>28</v>
      </c>
      <c r="H886" s="22" t="s">
        <v>39</v>
      </c>
      <c r="I886" s="22" t="s">
        <v>70</v>
      </c>
      <c r="J886" s="22" t="s">
        <v>71</v>
      </c>
      <c r="K886" s="22" t="s">
        <v>80</v>
      </c>
      <c r="L886" s="22" t="s">
        <v>57</v>
      </c>
      <c r="M886" s="22" t="s">
        <v>66</v>
      </c>
      <c r="N886" s="22">
        <v>5</v>
      </c>
      <c r="O886" s="26">
        <v>1299</v>
      </c>
      <c r="P886" s="22">
        <v>0.12</v>
      </c>
      <c r="Q886" s="30">
        <v>720</v>
      </c>
      <c r="R886" s="33">
        <f>Table1_1[[#This Row],[Units Sold]]*Table1_1[[#This Row],[Unit Price]]*1-Table1_1[[#This Row],[Discount]]</f>
        <v>6494.88</v>
      </c>
      <c r="S886" s="33">
        <f>Table1_1[[#This Row],[Units Sold]]*Table1_1[[#This Row],[Unit Cost]]</f>
        <v>3600</v>
      </c>
      <c r="T886" s="33">
        <f>Table1_1[[#This Row],[Sales Amount]]-S886</f>
        <v>2894.88</v>
      </c>
      <c r="U886" s="32">
        <f>IFERROR(Table1_1[[#This Row],[Profit/loss]]/Table1_1[[#This Row],[Sales Amount]],0)</f>
        <v>0.44571724188899564</v>
      </c>
    </row>
    <row r="887" spans="1:21" ht="18" x14ac:dyDescent="0.35">
      <c r="A887" s="21" t="s">
        <v>994</v>
      </c>
      <c r="B887" s="36">
        <v>45723</v>
      </c>
      <c r="C887" s="22">
        <f>YEAR(Table1_1[[#This Row],[Order Date]])</f>
        <v>2025</v>
      </c>
      <c r="D887" s="22" t="str">
        <f>TEXT(Table1_1[[#This Row],[Order Date]],"MMMM")</f>
        <v>March</v>
      </c>
      <c r="E887" s="22" t="s">
        <v>16</v>
      </c>
      <c r="F887" s="22" t="s">
        <v>111</v>
      </c>
      <c r="G887" s="22" t="s">
        <v>84</v>
      </c>
      <c r="H887" s="22" t="s">
        <v>19</v>
      </c>
      <c r="I887" s="22" t="s">
        <v>40</v>
      </c>
      <c r="J887" s="22" t="s">
        <v>64</v>
      </c>
      <c r="K887" s="22" t="s">
        <v>1629</v>
      </c>
      <c r="L887" s="22" t="s">
        <v>23</v>
      </c>
      <c r="M887" s="22" t="s">
        <v>24</v>
      </c>
      <c r="N887" s="22">
        <v>2</v>
      </c>
      <c r="O887" s="26">
        <v>3299</v>
      </c>
      <c r="P887" s="22">
        <v>0.2</v>
      </c>
      <c r="Q887" s="30">
        <v>2050</v>
      </c>
      <c r="R887" s="33">
        <f>Table1_1[[#This Row],[Units Sold]]*Table1_1[[#This Row],[Unit Price]]*1-Table1_1[[#This Row],[Discount]]</f>
        <v>6597.8</v>
      </c>
      <c r="S887" s="33">
        <f>Table1_1[[#This Row],[Units Sold]]*Table1_1[[#This Row],[Unit Cost]]</f>
        <v>4100</v>
      </c>
      <c r="T887" s="33">
        <f>Table1_1[[#This Row],[Sales Amount]]-S887</f>
        <v>2497.8000000000002</v>
      </c>
      <c r="U887" s="32">
        <f>IFERROR(Table1_1[[#This Row],[Profit/loss]]/Table1_1[[#This Row],[Sales Amount]],0)</f>
        <v>0.37858073903422357</v>
      </c>
    </row>
    <row r="888" spans="1:21" ht="18" x14ac:dyDescent="0.35">
      <c r="A888" s="21" t="s">
        <v>995</v>
      </c>
      <c r="B888" s="36">
        <v>45724</v>
      </c>
      <c r="C888" s="22">
        <f>YEAR(Table1_1[[#This Row],[Order Date]])</f>
        <v>2025</v>
      </c>
      <c r="D888" s="22" t="str">
        <f>TEXT(Table1_1[[#This Row],[Order Date]],"MMMM")</f>
        <v>March</v>
      </c>
      <c r="E888" s="22" t="s">
        <v>26</v>
      </c>
      <c r="F888" s="22" t="s">
        <v>53</v>
      </c>
      <c r="G888" s="22" t="s">
        <v>50</v>
      </c>
      <c r="H888" s="22" t="s">
        <v>29</v>
      </c>
      <c r="I888" s="22" t="s">
        <v>70</v>
      </c>
      <c r="J888" s="22" t="s">
        <v>71</v>
      </c>
      <c r="K888" s="22" t="s">
        <v>88</v>
      </c>
      <c r="L888" s="22" t="s">
        <v>33</v>
      </c>
      <c r="M888" s="22" t="s">
        <v>78</v>
      </c>
      <c r="N888" s="22">
        <v>40</v>
      </c>
      <c r="O888" s="26">
        <v>999</v>
      </c>
      <c r="P888" s="22">
        <v>0.1</v>
      </c>
      <c r="Q888" s="30">
        <v>540</v>
      </c>
      <c r="R888" s="33">
        <f>Table1_1[[#This Row],[Units Sold]]*Table1_1[[#This Row],[Unit Price]]*1-Table1_1[[#This Row],[Discount]]</f>
        <v>39959.9</v>
      </c>
      <c r="S888" s="33">
        <f>Table1_1[[#This Row],[Units Sold]]*Table1_1[[#This Row],[Unit Cost]]</f>
        <v>21600</v>
      </c>
      <c r="T888" s="33">
        <f>Table1_1[[#This Row],[Sales Amount]]-S888</f>
        <v>18359.900000000001</v>
      </c>
      <c r="U888" s="32">
        <f>IFERROR(Table1_1[[#This Row],[Profit/loss]]/Table1_1[[#This Row],[Sales Amount]],0)</f>
        <v>0.45945810675201892</v>
      </c>
    </row>
    <row r="889" spans="1:21" ht="18" x14ac:dyDescent="0.35">
      <c r="A889" s="21" t="s">
        <v>996</v>
      </c>
      <c r="B889" s="36">
        <v>45724</v>
      </c>
      <c r="C889" s="22">
        <f>YEAR(Table1_1[[#This Row],[Order Date]])</f>
        <v>2025</v>
      </c>
      <c r="D889" s="22" t="str">
        <f>TEXT(Table1_1[[#This Row],[Order Date]],"MMMM")</f>
        <v>March</v>
      </c>
      <c r="E889" s="22" t="s">
        <v>36</v>
      </c>
      <c r="F889" s="22" t="s">
        <v>121</v>
      </c>
      <c r="G889" s="22" t="s">
        <v>69</v>
      </c>
      <c r="H889" s="22" t="s">
        <v>39</v>
      </c>
      <c r="I889" s="22" t="s">
        <v>54</v>
      </c>
      <c r="J889" s="22" t="s">
        <v>55</v>
      </c>
      <c r="K889" s="22" t="s">
        <v>56</v>
      </c>
      <c r="L889" s="22" t="s">
        <v>57</v>
      </c>
      <c r="M889" s="22" t="s">
        <v>34</v>
      </c>
      <c r="N889" s="22">
        <v>16</v>
      </c>
      <c r="O889" s="26">
        <v>7299</v>
      </c>
      <c r="P889" s="22">
        <v>0.2</v>
      </c>
      <c r="Q889" s="30">
        <v>5010</v>
      </c>
      <c r="R889" s="33">
        <f>Table1_1[[#This Row],[Units Sold]]*Table1_1[[#This Row],[Unit Price]]*1-Table1_1[[#This Row],[Discount]]</f>
        <v>116783.8</v>
      </c>
      <c r="S889" s="33">
        <f>Table1_1[[#This Row],[Units Sold]]*Table1_1[[#This Row],[Unit Cost]]</f>
        <v>80160</v>
      </c>
      <c r="T889" s="33">
        <f>Table1_1[[#This Row],[Sales Amount]]-S889</f>
        <v>36623.800000000003</v>
      </c>
      <c r="U889" s="32">
        <f>IFERROR(Table1_1[[#This Row],[Profit/loss]]/Table1_1[[#This Row],[Sales Amount]],0)</f>
        <v>0.31360342787270151</v>
      </c>
    </row>
    <row r="890" spans="1:21" ht="18" x14ac:dyDescent="0.35">
      <c r="A890" s="21" t="s">
        <v>997</v>
      </c>
      <c r="B890" s="36">
        <v>45725</v>
      </c>
      <c r="C890" s="22">
        <f>YEAR(Table1_1[[#This Row],[Order Date]])</f>
        <v>2025</v>
      </c>
      <c r="D890" s="22" t="str">
        <f>TEXT(Table1_1[[#This Row],[Order Date]],"MMMM")</f>
        <v>March</v>
      </c>
      <c r="E890" s="22" t="s">
        <v>26</v>
      </c>
      <c r="F890" s="22" t="s">
        <v>27</v>
      </c>
      <c r="G890" s="22" t="s">
        <v>75</v>
      </c>
      <c r="H890" s="22" t="s">
        <v>19</v>
      </c>
      <c r="I890" s="22" t="s">
        <v>40</v>
      </c>
      <c r="J890" s="22" t="s">
        <v>64</v>
      </c>
      <c r="K890" s="22" t="s">
        <v>1627</v>
      </c>
      <c r="L890" s="22" t="s">
        <v>33</v>
      </c>
      <c r="M890" s="22" t="s">
        <v>66</v>
      </c>
      <c r="N890" s="22">
        <v>12</v>
      </c>
      <c r="O890" s="26">
        <v>4490</v>
      </c>
      <c r="P890" s="22">
        <v>0.2</v>
      </c>
      <c r="Q890" s="30">
        <v>2950</v>
      </c>
      <c r="R890" s="33">
        <f>Table1_1[[#This Row],[Units Sold]]*Table1_1[[#This Row],[Unit Price]]*1-Table1_1[[#This Row],[Discount]]</f>
        <v>53879.8</v>
      </c>
      <c r="S890" s="33">
        <f>Table1_1[[#This Row],[Units Sold]]*Table1_1[[#This Row],[Unit Cost]]</f>
        <v>35400</v>
      </c>
      <c r="T890" s="33">
        <f>Table1_1[[#This Row],[Sales Amount]]-S890</f>
        <v>18479.800000000003</v>
      </c>
      <c r="U890" s="32">
        <f>IFERROR(Table1_1[[#This Row],[Profit/loss]]/Table1_1[[#This Row],[Sales Amount]],0)</f>
        <v>0.34298197097984778</v>
      </c>
    </row>
    <row r="891" spans="1:21" ht="18" x14ac:dyDescent="0.35">
      <c r="A891" s="21" t="s">
        <v>998</v>
      </c>
      <c r="B891" s="36">
        <v>45726</v>
      </c>
      <c r="C891" s="22">
        <f>YEAR(Table1_1[[#This Row],[Order Date]])</f>
        <v>2025</v>
      </c>
      <c r="D891" s="22" t="str">
        <f>TEXT(Table1_1[[#This Row],[Order Date]],"MMMM")</f>
        <v>March</v>
      </c>
      <c r="E891" s="22" t="s">
        <v>36</v>
      </c>
      <c r="F891" s="22" t="s">
        <v>37</v>
      </c>
      <c r="G891" s="22" t="s">
        <v>75</v>
      </c>
      <c r="H891" s="22" t="s">
        <v>39</v>
      </c>
      <c r="I891" s="22" t="s">
        <v>30</v>
      </c>
      <c r="J891" s="22" t="s">
        <v>31</v>
      </c>
      <c r="K891" s="22" t="s">
        <v>32</v>
      </c>
      <c r="L891" s="22" t="s">
        <v>33</v>
      </c>
      <c r="M891" s="22" t="s">
        <v>66</v>
      </c>
      <c r="N891" s="22">
        <v>36</v>
      </c>
      <c r="O891" s="26">
        <v>38990</v>
      </c>
      <c r="P891" s="22">
        <v>0.1</v>
      </c>
      <c r="Q891" s="30">
        <v>25400</v>
      </c>
      <c r="R891" s="33">
        <f>Table1_1[[#This Row],[Units Sold]]*Table1_1[[#This Row],[Unit Price]]*1-Table1_1[[#This Row],[Discount]]</f>
        <v>1403639.9</v>
      </c>
      <c r="S891" s="33">
        <f>Table1_1[[#This Row],[Units Sold]]*Table1_1[[#This Row],[Unit Cost]]</f>
        <v>914400</v>
      </c>
      <c r="T891" s="33">
        <f>Table1_1[[#This Row],[Sales Amount]]-S891</f>
        <v>489239.89999999991</v>
      </c>
      <c r="U891" s="32">
        <f>IFERROR(Table1_1[[#This Row],[Profit/loss]]/Table1_1[[#This Row],[Sales Amount]],0)</f>
        <v>0.3485508640784577</v>
      </c>
    </row>
    <row r="892" spans="1:21" ht="18" x14ac:dyDescent="0.35">
      <c r="A892" s="21" t="s">
        <v>999</v>
      </c>
      <c r="B892" s="36">
        <v>45726</v>
      </c>
      <c r="C892" s="22">
        <f>YEAR(Table1_1[[#This Row],[Order Date]])</f>
        <v>2025</v>
      </c>
      <c r="D892" s="22" t="str">
        <f>TEXT(Table1_1[[#This Row],[Order Date]],"MMMM")</f>
        <v>March</v>
      </c>
      <c r="E892" s="22" t="s">
        <v>26</v>
      </c>
      <c r="F892" s="22" t="s">
        <v>163</v>
      </c>
      <c r="G892" s="22" t="s">
        <v>50</v>
      </c>
      <c r="H892" s="22" t="s">
        <v>39</v>
      </c>
      <c r="I892" s="22" t="s">
        <v>40</v>
      </c>
      <c r="J892" s="22" t="s">
        <v>41</v>
      </c>
      <c r="K892" s="22" t="s">
        <v>42</v>
      </c>
      <c r="L892" s="22" t="s">
        <v>33</v>
      </c>
      <c r="M892" s="22" t="s">
        <v>66</v>
      </c>
      <c r="N892" s="22">
        <v>29</v>
      </c>
      <c r="O892" s="26">
        <v>55230</v>
      </c>
      <c r="P892" s="22">
        <v>0.12</v>
      </c>
      <c r="Q892" s="30">
        <v>33800</v>
      </c>
      <c r="R892" s="33">
        <f>Table1_1[[#This Row],[Units Sold]]*Table1_1[[#This Row],[Unit Price]]*1-Table1_1[[#This Row],[Discount]]</f>
        <v>1601669.88</v>
      </c>
      <c r="S892" s="33">
        <f>Table1_1[[#This Row],[Units Sold]]*Table1_1[[#This Row],[Unit Cost]]</f>
        <v>980200</v>
      </c>
      <c r="T892" s="33">
        <f>Table1_1[[#This Row],[Sales Amount]]-S892</f>
        <v>621469.87999999989</v>
      </c>
      <c r="U892" s="32">
        <f>IFERROR(Table1_1[[#This Row],[Profit/loss]]/Table1_1[[#This Row],[Sales Amount]],0)</f>
        <v>0.38801371478622043</v>
      </c>
    </row>
    <row r="893" spans="1:21" ht="18" x14ac:dyDescent="0.35">
      <c r="A893" s="21" t="s">
        <v>1000</v>
      </c>
      <c r="B893" s="36">
        <v>45726</v>
      </c>
      <c r="C893" s="22">
        <f>YEAR(Table1_1[[#This Row],[Order Date]])</f>
        <v>2025</v>
      </c>
      <c r="D893" s="22" t="str">
        <f>TEXT(Table1_1[[#This Row],[Order Date]],"MMMM")</f>
        <v>March</v>
      </c>
      <c r="E893" s="22" t="s">
        <v>16</v>
      </c>
      <c r="F893" s="22" t="s">
        <v>98</v>
      </c>
      <c r="G893" s="22" t="s">
        <v>101</v>
      </c>
      <c r="H893" s="22" t="s">
        <v>39</v>
      </c>
      <c r="I893" s="22" t="s">
        <v>30</v>
      </c>
      <c r="J893" s="22" t="s">
        <v>61</v>
      </c>
      <c r="K893" s="22" t="s">
        <v>62</v>
      </c>
      <c r="L893" s="22" t="s">
        <v>23</v>
      </c>
      <c r="M893" s="22" t="s">
        <v>34</v>
      </c>
      <c r="N893" s="22">
        <v>28</v>
      </c>
      <c r="O893" s="26">
        <v>12490</v>
      </c>
      <c r="P893" s="22">
        <v>0.18</v>
      </c>
      <c r="Q893" s="30">
        <v>7900</v>
      </c>
      <c r="R893" s="33">
        <f>Table1_1[[#This Row],[Units Sold]]*Table1_1[[#This Row],[Unit Price]]*1-Table1_1[[#This Row],[Discount]]</f>
        <v>349719.82</v>
      </c>
      <c r="S893" s="33">
        <f>Table1_1[[#This Row],[Units Sold]]*Table1_1[[#This Row],[Unit Cost]]</f>
        <v>221200</v>
      </c>
      <c r="T893" s="33">
        <f>Table1_1[[#This Row],[Sales Amount]]-S893</f>
        <v>128519.82</v>
      </c>
      <c r="U893" s="32">
        <f>IFERROR(Table1_1[[#This Row],[Profit/loss]]/Table1_1[[#This Row],[Sales Amount]],0)</f>
        <v>0.36749366964674751</v>
      </c>
    </row>
    <row r="894" spans="1:21" ht="18" x14ac:dyDescent="0.35">
      <c r="A894" s="21" t="s">
        <v>1001</v>
      </c>
      <c r="B894" s="36">
        <v>45726</v>
      </c>
      <c r="C894" s="22">
        <f>YEAR(Table1_1[[#This Row],[Order Date]])</f>
        <v>2025</v>
      </c>
      <c r="D894" s="22" t="str">
        <f>TEXT(Table1_1[[#This Row],[Order Date]],"MMMM")</f>
        <v>March</v>
      </c>
      <c r="E894" s="22" t="s">
        <v>48</v>
      </c>
      <c r="F894" s="22" t="s">
        <v>136</v>
      </c>
      <c r="G894" s="22" t="s">
        <v>50</v>
      </c>
      <c r="H894" s="22" t="s">
        <v>19</v>
      </c>
      <c r="I894" s="22" t="s">
        <v>40</v>
      </c>
      <c r="J894" s="22" t="s">
        <v>64</v>
      </c>
      <c r="K894" s="22" t="s">
        <v>1619</v>
      </c>
      <c r="L894" s="22" t="s">
        <v>33</v>
      </c>
      <c r="M894" s="22" t="s">
        <v>24</v>
      </c>
      <c r="N894" s="22">
        <v>10</v>
      </c>
      <c r="O894" s="26">
        <v>1930</v>
      </c>
      <c r="P894" s="22">
        <v>0.1</v>
      </c>
      <c r="Q894" s="30">
        <v>1120</v>
      </c>
      <c r="R894" s="33">
        <f>Table1_1[[#This Row],[Units Sold]]*Table1_1[[#This Row],[Unit Price]]*1-Table1_1[[#This Row],[Discount]]</f>
        <v>19299.900000000001</v>
      </c>
      <c r="S894" s="33">
        <f>Table1_1[[#This Row],[Units Sold]]*Table1_1[[#This Row],[Unit Cost]]</f>
        <v>11200</v>
      </c>
      <c r="T894" s="33">
        <f>Table1_1[[#This Row],[Sales Amount]]-S894</f>
        <v>8099.9000000000015</v>
      </c>
      <c r="U894" s="32">
        <f>IFERROR(Table1_1[[#This Row],[Profit/loss]]/Table1_1[[#This Row],[Sales Amount]],0)</f>
        <v>0.41968611236327652</v>
      </c>
    </row>
    <row r="895" spans="1:21" ht="18" x14ac:dyDescent="0.35">
      <c r="A895" s="21" t="s">
        <v>1002</v>
      </c>
      <c r="B895" s="36">
        <v>45727</v>
      </c>
      <c r="C895" s="22">
        <f>YEAR(Table1_1[[#This Row],[Order Date]])</f>
        <v>2025</v>
      </c>
      <c r="D895" s="22" t="str">
        <f>TEXT(Table1_1[[#This Row],[Order Date]],"MMMM")</f>
        <v>March</v>
      </c>
      <c r="E895" s="22" t="s">
        <v>82</v>
      </c>
      <c r="F895" s="22" t="s">
        <v>83</v>
      </c>
      <c r="G895" s="22" t="s">
        <v>69</v>
      </c>
      <c r="H895" s="22" t="s">
        <v>19</v>
      </c>
      <c r="I895" s="22" t="s">
        <v>54</v>
      </c>
      <c r="J895" s="22" t="s">
        <v>129</v>
      </c>
      <c r="K895" s="22" t="s">
        <v>145</v>
      </c>
      <c r="L895" s="22" t="s">
        <v>23</v>
      </c>
      <c r="M895" s="22" t="s">
        <v>34</v>
      </c>
      <c r="N895" s="22">
        <v>8</v>
      </c>
      <c r="O895" s="26">
        <v>31490</v>
      </c>
      <c r="P895" s="22">
        <v>0.18</v>
      </c>
      <c r="Q895" s="30">
        <v>21300</v>
      </c>
      <c r="R895" s="33">
        <f>Table1_1[[#This Row],[Units Sold]]*Table1_1[[#This Row],[Unit Price]]*1-Table1_1[[#This Row],[Discount]]</f>
        <v>251919.82</v>
      </c>
      <c r="S895" s="33">
        <f>Table1_1[[#This Row],[Units Sold]]*Table1_1[[#This Row],[Unit Cost]]</f>
        <v>170400</v>
      </c>
      <c r="T895" s="33">
        <f>Table1_1[[#This Row],[Sales Amount]]-S895</f>
        <v>81519.820000000007</v>
      </c>
      <c r="U895" s="32">
        <f>IFERROR(Table1_1[[#This Row],[Profit/loss]]/Table1_1[[#This Row],[Sales Amount]],0)</f>
        <v>0.32359430869710848</v>
      </c>
    </row>
    <row r="896" spans="1:21" ht="18" x14ac:dyDescent="0.35">
      <c r="A896" s="21" t="s">
        <v>1003</v>
      </c>
      <c r="B896" s="36">
        <v>45727</v>
      </c>
      <c r="C896" s="22">
        <f>YEAR(Table1_1[[#This Row],[Order Date]])</f>
        <v>2025</v>
      </c>
      <c r="D896" s="22" t="str">
        <f>TEXT(Table1_1[[#This Row],[Order Date]],"MMMM")</f>
        <v>March</v>
      </c>
      <c r="E896" s="22" t="s">
        <v>36</v>
      </c>
      <c r="F896" s="22" t="s">
        <v>37</v>
      </c>
      <c r="G896" s="22" t="s">
        <v>84</v>
      </c>
      <c r="H896" s="22" t="s">
        <v>39</v>
      </c>
      <c r="I896" s="22" t="s">
        <v>30</v>
      </c>
      <c r="J896" s="22" t="s">
        <v>31</v>
      </c>
      <c r="K896" s="22" t="s">
        <v>85</v>
      </c>
      <c r="L896" s="22" t="s">
        <v>57</v>
      </c>
      <c r="M896" s="22" t="s">
        <v>66</v>
      </c>
      <c r="N896" s="22">
        <v>33</v>
      </c>
      <c r="O896" s="26">
        <v>43500</v>
      </c>
      <c r="P896" s="22">
        <v>0.18</v>
      </c>
      <c r="Q896" s="30">
        <v>29520</v>
      </c>
      <c r="R896" s="33">
        <f>Table1_1[[#This Row],[Units Sold]]*Table1_1[[#This Row],[Unit Price]]*1-Table1_1[[#This Row],[Discount]]</f>
        <v>1435499.82</v>
      </c>
      <c r="S896" s="33">
        <f>Table1_1[[#This Row],[Units Sold]]*Table1_1[[#This Row],[Unit Cost]]</f>
        <v>974160</v>
      </c>
      <c r="T896" s="33">
        <f>Table1_1[[#This Row],[Sales Amount]]-S896</f>
        <v>461339.82000000007</v>
      </c>
      <c r="U896" s="32">
        <f>IFERROR(Table1_1[[#This Row],[Profit/loss]]/Table1_1[[#This Row],[Sales Amount]],0)</f>
        <v>0.32137922525131352</v>
      </c>
    </row>
    <row r="897" spans="1:21" ht="18" x14ac:dyDescent="0.35">
      <c r="A897" s="21" t="s">
        <v>1004</v>
      </c>
      <c r="B897" s="36">
        <v>45728</v>
      </c>
      <c r="C897" s="22">
        <f>YEAR(Table1_1[[#This Row],[Order Date]])</f>
        <v>2025</v>
      </c>
      <c r="D897" s="22" t="str">
        <f>TEXT(Table1_1[[#This Row],[Order Date]],"MMMM")</f>
        <v>March</v>
      </c>
      <c r="E897" s="22" t="s">
        <v>36</v>
      </c>
      <c r="F897" s="22" t="s">
        <v>44</v>
      </c>
      <c r="G897" s="22" t="s">
        <v>84</v>
      </c>
      <c r="H897" s="22" t="s">
        <v>29</v>
      </c>
      <c r="I897" s="22" t="s">
        <v>30</v>
      </c>
      <c r="J897" s="22" t="s">
        <v>61</v>
      </c>
      <c r="K897" s="22" t="s">
        <v>62</v>
      </c>
      <c r="L897" s="22" t="s">
        <v>57</v>
      </c>
      <c r="M897" s="22" t="s">
        <v>34</v>
      </c>
      <c r="N897" s="22">
        <v>11</v>
      </c>
      <c r="O897" s="26">
        <v>12490</v>
      </c>
      <c r="P897" s="22">
        <v>0.15</v>
      </c>
      <c r="Q897" s="30">
        <v>7900</v>
      </c>
      <c r="R897" s="33">
        <f>Table1_1[[#This Row],[Units Sold]]*Table1_1[[#This Row],[Unit Price]]*1-Table1_1[[#This Row],[Discount]]</f>
        <v>137389.85</v>
      </c>
      <c r="S897" s="33">
        <f>Table1_1[[#This Row],[Units Sold]]*Table1_1[[#This Row],[Unit Cost]]</f>
        <v>86900</v>
      </c>
      <c r="T897" s="33">
        <f>Table1_1[[#This Row],[Sales Amount]]-S897</f>
        <v>50489.850000000006</v>
      </c>
      <c r="U897" s="32">
        <f>IFERROR(Table1_1[[#This Row],[Profit/loss]]/Table1_1[[#This Row],[Sales Amount]],0)</f>
        <v>0.36749330463640512</v>
      </c>
    </row>
    <row r="898" spans="1:21" ht="18" x14ac:dyDescent="0.35">
      <c r="A898" s="21" t="s">
        <v>1005</v>
      </c>
      <c r="B898" s="36">
        <v>45728</v>
      </c>
      <c r="C898" s="22">
        <f>YEAR(Table1_1[[#This Row],[Order Date]])</f>
        <v>2025</v>
      </c>
      <c r="D898" s="22" t="str">
        <f>TEXT(Table1_1[[#This Row],[Order Date]],"MMMM")</f>
        <v>March</v>
      </c>
      <c r="E898" s="22" t="s">
        <v>16</v>
      </c>
      <c r="F898" s="22" t="s">
        <v>17</v>
      </c>
      <c r="G898" s="22" t="s">
        <v>28</v>
      </c>
      <c r="H898" s="22" t="s">
        <v>39</v>
      </c>
      <c r="I898" s="22" t="s">
        <v>70</v>
      </c>
      <c r="J898" s="22" t="s">
        <v>71</v>
      </c>
      <c r="K898" s="22" t="s">
        <v>72</v>
      </c>
      <c r="L898" s="22" t="s">
        <v>57</v>
      </c>
      <c r="M898" s="22" t="s">
        <v>24</v>
      </c>
      <c r="N898" s="22">
        <v>39</v>
      </c>
      <c r="O898" s="26">
        <v>3499</v>
      </c>
      <c r="P898" s="22">
        <v>0.1</v>
      </c>
      <c r="Q898" s="30">
        <v>2190</v>
      </c>
      <c r="R898" s="33">
        <f>Table1_1[[#This Row],[Units Sold]]*Table1_1[[#This Row],[Unit Price]]*1-Table1_1[[#This Row],[Discount]]</f>
        <v>136460.9</v>
      </c>
      <c r="S898" s="33">
        <f>Table1_1[[#This Row],[Units Sold]]*Table1_1[[#This Row],[Unit Cost]]</f>
        <v>85410</v>
      </c>
      <c r="T898" s="33">
        <f>Table1_1[[#This Row],[Sales Amount]]-S898</f>
        <v>51050.899999999994</v>
      </c>
      <c r="U898" s="32">
        <f>IFERROR(Table1_1[[#This Row],[Profit/loss]]/Table1_1[[#This Row],[Sales Amount]],0)</f>
        <v>0.37410642902106023</v>
      </c>
    </row>
    <row r="899" spans="1:21" ht="18" x14ac:dyDescent="0.35">
      <c r="A899" s="21" t="s">
        <v>1006</v>
      </c>
      <c r="B899" s="36">
        <v>45729</v>
      </c>
      <c r="C899" s="22">
        <f>YEAR(Table1_1[[#This Row],[Order Date]])</f>
        <v>2025</v>
      </c>
      <c r="D899" s="22" t="str">
        <f>TEXT(Table1_1[[#This Row],[Order Date]],"MMMM")</f>
        <v>March</v>
      </c>
      <c r="E899" s="22" t="s">
        <v>16</v>
      </c>
      <c r="F899" s="22" t="s">
        <v>98</v>
      </c>
      <c r="G899" s="22" t="s">
        <v>60</v>
      </c>
      <c r="H899" s="22" t="s">
        <v>39</v>
      </c>
      <c r="I899" s="22" t="s">
        <v>70</v>
      </c>
      <c r="J899" s="22" t="s">
        <v>71</v>
      </c>
      <c r="K899" s="22" t="s">
        <v>72</v>
      </c>
      <c r="L899" s="22" t="s">
        <v>33</v>
      </c>
      <c r="M899" s="22" t="s">
        <v>34</v>
      </c>
      <c r="N899" s="22">
        <v>8</v>
      </c>
      <c r="O899" s="26">
        <v>3499</v>
      </c>
      <c r="P899" s="22">
        <v>0.2</v>
      </c>
      <c r="Q899" s="30">
        <v>2190</v>
      </c>
      <c r="R899" s="33">
        <f>Table1_1[[#This Row],[Units Sold]]*Table1_1[[#This Row],[Unit Price]]*1-Table1_1[[#This Row],[Discount]]</f>
        <v>27991.8</v>
      </c>
      <c r="S899" s="33">
        <f>Table1_1[[#This Row],[Units Sold]]*Table1_1[[#This Row],[Unit Cost]]</f>
        <v>17520</v>
      </c>
      <c r="T899" s="33">
        <f>Table1_1[[#This Row],[Sales Amount]]-S899</f>
        <v>10471.799999999999</v>
      </c>
      <c r="U899" s="32">
        <f>IFERROR(Table1_1[[#This Row],[Profit/loss]]/Table1_1[[#This Row],[Sales Amount]],0)</f>
        <v>0.37410241570745717</v>
      </c>
    </row>
    <row r="900" spans="1:21" ht="18" x14ac:dyDescent="0.35">
      <c r="A900" s="21" t="s">
        <v>1007</v>
      </c>
      <c r="B900" s="36">
        <v>45729</v>
      </c>
      <c r="C900" s="22">
        <f>YEAR(Table1_1[[#This Row],[Order Date]])</f>
        <v>2025</v>
      </c>
      <c r="D900" s="22" t="str">
        <f>TEXT(Table1_1[[#This Row],[Order Date]],"MMMM")</f>
        <v>March</v>
      </c>
      <c r="E900" s="22" t="s">
        <v>16</v>
      </c>
      <c r="F900" s="22" t="s">
        <v>17</v>
      </c>
      <c r="G900" s="22" t="s">
        <v>69</v>
      </c>
      <c r="H900" s="22" t="s">
        <v>39</v>
      </c>
      <c r="I900" s="22" t="s">
        <v>20</v>
      </c>
      <c r="J900" s="22" t="s">
        <v>21</v>
      </c>
      <c r="K900" s="22" t="s">
        <v>51</v>
      </c>
      <c r="L900" s="22" t="s">
        <v>57</v>
      </c>
      <c r="M900" s="22" t="s">
        <v>78</v>
      </c>
      <c r="N900" s="22">
        <v>2</v>
      </c>
      <c r="O900" s="26">
        <v>5999</v>
      </c>
      <c r="P900" s="22">
        <v>0.1</v>
      </c>
      <c r="Q900" s="30">
        <v>3890</v>
      </c>
      <c r="R900" s="33">
        <f>Table1_1[[#This Row],[Units Sold]]*Table1_1[[#This Row],[Unit Price]]*1-Table1_1[[#This Row],[Discount]]</f>
        <v>11997.9</v>
      </c>
      <c r="S900" s="33">
        <f>Table1_1[[#This Row],[Units Sold]]*Table1_1[[#This Row],[Unit Cost]]</f>
        <v>7780</v>
      </c>
      <c r="T900" s="33">
        <f>Table1_1[[#This Row],[Sales Amount]]-S900</f>
        <v>4217.8999999999996</v>
      </c>
      <c r="U900" s="32">
        <f>IFERROR(Table1_1[[#This Row],[Profit/loss]]/Table1_1[[#This Row],[Sales Amount]],0)</f>
        <v>0.35155318847464972</v>
      </c>
    </row>
    <row r="901" spans="1:21" ht="18" x14ac:dyDescent="0.35">
      <c r="A901" s="21" t="s">
        <v>1008</v>
      </c>
      <c r="B901" s="36">
        <v>45729</v>
      </c>
      <c r="C901" s="22">
        <f>YEAR(Table1_1[[#This Row],[Order Date]])</f>
        <v>2025</v>
      </c>
      <c r="D901" s="22" t="str">
        <f>TEXT(Table1_1[[#This Row],[Order Date]],"MMMM")</f>
        <v>March</v>
      </c>
      <c r="E901" s="22" t="s">
        <v>26</v>
      </c>
      <c r="F901" s="22" t="s">
        <v>53</v>
      </c>
      <c r="G901" s="22" t="s">
        <v>84</v>
      </c>
      <c r="H901" s="22" t="s">
        <v>39</v>
      </c>
      <c r="I901" s="22" t="s">
        <v>40</v>
      </c>
      <c r="J901" s="22" t="s">
        <v>64</v>
      </c>
      <c r="K901" s="22" t="s">
        <v>1627</v>
      </c>
      <c r="L901" s="22" t="s">
        <v>33</v>
      </c>
      <c r="M901" s="22" t="s">
        <v>24</v>
      </c>
      <c r="N901" s="22">
        <v>3</v>
      </c>
      <c r="O901" s="26">
        <v>4490</v>
      </c>
      <c r="P901" s="22">
        <v>0.2</v>
      </c>
      <c r="Q901" s="30">
        <v>2950</v>
      </c>
      <c r="R901" s="33">
        <f>Table1_1[[#This Row],[Units Sold]]*Table1_1[[#This Row],[Unit Price]]*1-Table1_1[[#This Row],[Discount]]</f>
        <v>13469.8</v>
      </c>
      <c r="S901" s="33">
        <f>Table1_1[[#This Row],[Units Sold]]*Table1_1[[#This Row],[Unit Cost]]</f>
        <v>8850</v>
      </c>
      <c r="T901" s="33">
        <f>Table1_1[[#This Row],[Sales Amount]]-S901</f>
        <v>4619.7999999999993</v>
      </c>
      <c r="U901" s="32">
        <f>IFERROR(Table1_1[[#This Row],[Profit/loss]]/Table1_1[[#This Row],[Sales Amount]],0)</f>
        <v>0.34297465441209218</v>
      </c>
    </row>
    <row r="902" spans="1:21" ht="18" x14ac:dyDescent="0.35">
      <c r="A902" s="21" t="s">
        <v>1009</v>
      </c>
      <c r="B902" s="36">
        <v>45730</v>
      </c>
      <c r="C902" s="22">
        <f>YEAR(Table1_1[[#This Row],[Order Date]])</f>
        <v>2025</v>
      </c>
      <c r="D902" s="22" t="str">
        <f>TEXT(Table1_1[[#This Row],[Order Date]],"MMMM")</f>
        <v>March</v>
      </c>
      <c r="E902" s="22" t="s">
        <v>82</v>
      </c>
      <c r="F902" s="22" t="s">
        <v>100</v>
      </c>
      <c r="G902" s="22" t="s">
        <v>101</v>
      </c>
      <c r="H902" s="22" t="s">
        <v>39</v>
      </c>
      <c r="I902" s="22" t="s">
        <v>20</v>
      </c>
      <c r="J902" s="22" t="s">
        <v>45</v>
      </c>
      <c r="K902" s="22" t="s">
        <v>1618</v>
      </c>
      <c r="L902" s="22" t="s">
        <v>23</v>
      </c>
      <c r="M902" s="22" t="s">
        <v>78</v>
      </c>
      <c r="N902" s="22">
        <v>14</v>
      </c>
      <c r="O902" s="26">
        <v>1899</v>
      </c>
      <c r="P902" s="22">
        <v>0.2</v>
      </c>
      <c r="Q902" s="30">
        <v>1080</v>
      </c>
      <c r="R902" s="33">
        <f>Table1_1[[#This Row],[Units Sold]]*Table1_1[[#This Row],[Unit Price]]*1-Table1_1[[#This Row],[Discount]]</f>
        <v>26585.8</v>
      </c>
      <c r="S902" s="33">
        <f>Table1_1[[#This Row],[Units Sold]]*Table1_1[[#This Row],[Unit Cost]]</f>
        <v>15120</v>
      </c>
      <c r="T902" s="33">
        <f>Table1_1[[#This Row],[Sales Amount]]-S902</f>
        <v>11465.8</v>
      </c>
      <c r="U902" s="32">
        <f>IFERROR(Table1_1[[#This Row],[Profit/loss]]/Table1_1[[#This Row],[Sales Amount]],0)</f>
        <v>0.43127534247605864</v>
      </c>
    </row>
    <row r="903" spans="1:21" ht="18" x14ac:dyDescent="0.35">
      <c r="A903" s="21" t="s">
        <v>1010</v>
      </c>
      <c r="B903" s="36">
        <v>45731</v>
      </c>
      <c r="C903" s="22">
        <f>YEAR(Table1_1[[#This Row],[Order Date]])</f>
        <v>2025</v>
      </c>
      <c r="D903" s="22" t="str">
        <f>TEXT(Table1_1[[#This Row],[Order Date]],"MMMM")</f>
        <v>March</v>
      </c>
      <c r="E903" s="22" t="s">
        <v>16</v>
      </c>
      <c r="F903" s="22" t="s">
        <v>126</v>
      </c>
      <c r="G903" s="22" t="s">
        <v>28</v>
      </c>
      <c r="H903" s="22" t="s">
        <v>39</v>
      </c>
      <c r="I903" s="22" t="s">
        <v>40</v>
      </c>
      <c r="J903" s="22" t="s">
        <v>64</v>
      </c>
      <c r="K903" s="22" t="s">
        <v>1629</v>
      </c>
      <c r="L903" s="22" t="s">
        <v>57</v>
      </c>
      <c r="M903" s="22" t="s">
        <v>78</v>
      </c>
      <c r="N903" s="22">
        <v>13</v>
      </c>
      <c r="O903" s="26">
        <v>3299</v>
      </c>
      <c r="P903" s="22">
        <v>0.18</v>
      </c>
      <c r="Q903" s="30">
        <v>2050</v>
      </c>
      <c r="R903" s="33">
        <f>Table1_1[[#This Row],[Units Sold]]*Table1_1[[#This Row],[Unit Price]]*1-Table1_1[[#This Row],[Discount]]</f>
        <v>42886.82</v>
      </c>
      <c r="S903" s="33">
        <f>Table1_1[[#This Row],[Units Sold]]*Table1_1[[#This Row],[Unit Cost]]</f>
        <v>26650</v>
      </c>
      <c r="T903" s="33">
        <f>Table1_1[[#This Row],[Sales Amount]]-S903</f>
        <v>16236.82</v>
      </c>
      <c r="U903" s="32">
        <f>IFERROR(Table1_1[[#This Row],[Profit/loss]]/Table1_1[[#This Row],[Sales Amount]],0)</f>
        <v>0.37859696755320166</v>
      </c>
    </row>
    <row r="904" spans="1:21" ht="18" x14ac:dyDescent="0.35">
      <c r="A904" s="21" t="s">
        <v>1011</v>
      </c>
      <c r="B904" s="36">
        <v>45731</v>
      </c>
      <c r="C904" s="22">
        <f>YEAR(Table1_1[[#This Row],[Order Date]])</f>
        <v>2025</v>
      </c>
      <c r="D904" s="22" t="str">
        <f>TEXT(Table1_1[[#This Row],[Order Date]],"MMMM")</f>
        <v>March</v>
      </c>
      <c r="E904" s="22" t="s">
        <v>48</v>
      </c>
      <c r="F904" s="22" t="s">
        <v>93</v>
      </c>
      <c r="G904" s="22" t="s">
        <v>18</v>
      </c>
      <c r="H904" s="22" t="s">
        <v>19</v>
      </c>
      <c r="I904" s="22" t="s">
        <v>30</v>
      </c>
      <c r="J904" s="22" t="s">
        <v>31</v>
      </c>
      <c r="K904" s="22" t="s">
        <v>106</v>
      </c>
      <c r="L904" s="22" t="s">
        <v>33</v>
      </c>
      <c r="M904" s="22" t="s">
        <v>66</v>
      </c>
      <c r="N904" s="22">
        <v>20</v>
      </c>
      <c r="O904" s="26">
        <v>52990</v>
      </c>
      <c r="P904" s="22">
        <v>0.1</v>
      </c>
      <c r="Q904" s="30">
        <v>35100</v>
      </c>
      <c r="R904" s="33">
        <f>Table1_1[[#This Row],[Units Sold]]*Table1_1[[#This Row],[Unit Price]]*1-Table1_1[[#This Row],[Discount]]</f>
        <v>1059799.8999999999</v>
      </c>
      <c r="S904" s="33">
        <f>Table1_1[[#This Row],[Units Sold]]*Table1_1[[#This Row],[Unit Cost]]</f>
        <v>702000</v>
      </c>
      <c r="T904" s="33">
        <f>Table1_1[[#This Row],[Sales Amount]]-S904</f>
        <v>357799.89999999991</v>
      </c>
      <c r="U904" s="32">
        <f>IFERROR(Table1_1[[#This Row],[Profit/loss]]/Table1_1[[#This Row],[Sales Amount]],0)</f>
        <v>0.33761080747412786</v>
      </c>
    </row>
    <row r="905" spans="1:21" ht="18" x14ac:dyDescent="0.35">
      <c r="A905" s="21" t="s">
        <v>1012</v>
      </c>
      <c r="B905" s="36">
        <v>45731</v>
      </c>
      <c r="C905" s="22">
        <f>YEAR(Table1_1[[#This Row],[Order Date]])</f>
        <v>2025</v>
      </c>
      <c r="D905" s="22" t="str">
        <f>TEXT(Table1_1[[#This Row],[Order Date]],"MMMM")</f>
        <v>March</v>
      </c>
      <c r="E905" s="22" t="s">
        <v>26</v>
      </c>
      <c r="F905" s="22" t="s">
        <v>163</v>
      </c>
      <c r="G905" s="22" t="s">
        <v>101</v>
      </c>
      <c r="H905" s="22" t="s">
        <v>39</v>
      </c>
      <c r="I905" s="22" t="s">
        <v>30</v>
      </c>
      <c r="J905" s="22" t="s">
        <v>61</v>
      </c>
      <c r="K905" s="22" t="s">
        <v>62</v>
      </c>
      <c r="L905" s="22" t="s">
        <v>33</v>
      </c>
      <c r="M905" s="22" t="s">
        <v>24</v>
      </c>
      <c r="N905" s="22">
        <v>18</v>
      </c>
      <c r="O905" s="26">
        <v>12490</v>
      </c>
      <c r="P905" s="22">
        <v>0.18</v>
      </c>
      <c r="Q905" s="30">
        <v>7900</v>
      </c>
      <c r="R905" s="33">
        <f>Table1_1[[#This Row],[Units Sold]]*Table1_1[[#This Row],[Unit Price]]*1-Table1_1[[#This Row],[Discount]]</f>
        <v>224819.82</v>
      </c>
      <c r="S905" s="33">
        <f>Table1_1[[#This Row],[Units Sold]]*Table1_1[[#This Row],[Unit Cost]]</f>
        <v>142200</v>
      </c>
      <c r="T905" s="33">
        <f>Table1_1[[#This Row],[Sales Amount]]-S905</f>
        <v>82619.820000000007</v>
      </c>
      <c r="U905" s="32">
        <f>IFERROR(Table1_1[[#This Row],[Profit/loss]]/Table1_1[[#This Row],[Sales Amount]],0)</f>
        <v>0.36749348878581972</v>
      </c>
    </row>
    <row r="906" spans="1:21" ht="18" x14ac:dyDescent="0.35">
      <c r="A906" s="21" t="s">
        <v>1013</v>
      </c>
      <c r="B906" s="36">
        <v>45731</v>
      </c>
      <c r="C906" s="22">
        <f>YEAR(Table1_1[[#This Row],[Order Date]])</f>
        <v>2025</v>
      </c>
      <c r="D906" s="22" t="str">
        <f>TEXT(Table1_1[[#This Row],[Order Date]],"MMMM")</f>
        <v>March</v>
      </c>
      <c r="E906" s="22" t="s">
        <v>26</v>
      </c>
      <c r="F906" s="22" t="s">
        <v>53</v>
      </c>
      <c r="G906" s="22" t="s">
        <v>28</v>
      </c>
      <c r="H906" s="22" t="s">
        <v>19</v>
      </c>
      <c r="I906" s="22" t="s">
        <v>70</v>
      </c>
      <c r="J906" s="22" t="s">
        <v>71</v>
      </c>
      <c r="K906" s="22" t="s">
        <v>72</v>
      </c>
      <c r="L906" s="22" t="s">
        <v>33</v>
      </c>
      <c r="M906" s="22" t="s">
        <v>78</v>
      </c>
      <c r="N906" s="22">
        <v>33</v>
      </c>
      <c r="O906" s="26">
        <v>3499</v>
      </c>
      <c r="P906" s="22">
        <v>0.12</v>
      </c>
      <c r="Q906" s="30">
        <v>2190</v>
      </c>
      <c r="R906" s="33">
        <f>Table1_1[[#This Row],[Units Sold]]*Table1_1[[#This Row],[Unit Price]]*1-Table1_1[[#This Row],[Discount]]</f>
        <v>115466.88</v>
      </c>
      <c r="S906" s="33">
        <f>Table1_1[[#This Row],[Units Sold]]*Table1_1[[#This Row],[Unit Cost]]</f>
        <v>72270</v>
      </c>
      <c r="T906" s="33">
        <f>Table1_1[[#This Row],[Sales Amount]]-S906</f>
        <v>43196.880000000005</v>
      </c>
      <c r="U906" s="32">
        <f>IFERROR(Table1_1[[#This Row],[Profit/loss]]/Table1_1[[#This Row],[Sales Amount]],0)</f>
        <v>0.37410623721711372</v>
      </c>
    </row>
    <row r="907" spans="1:21" ht="18" x14ac:dyDescent="0.35">
      <c r="A907" s="21" t="s">
        <v>1014</v>
      </c>
      <c r="B907" s="36">
        <v>45731</v>
      </c>
      <c r="C907" s="22">
        <f>YEAR(Table1_1[[#This Row],[Order Date]])</f>
        <v>2025</v>
      </c>
      <c r="D907" s="22" t="str">
        <f>TEXT(Table1_1[[#This Row],[Order Date]],"MMMM")</f>
        <v>March</v>
      </c>
      <c r="E907" s="22" t="s">
        <v>26</v>
      </c>
      <c r="F907" s="22" t="s">
        <v>163</v>
      </c>
      <c r="G907" s="22" t="s">
        <v>105</v>
      </c>
      <c r="H907" s="22" t="s">
        <v>39</v>
      </c>
      <c r="I907" s="22" t="s">
        <v>20</v>
      </c>
      <c r="J907" s="22" t="s">
        <v>45</v>
      </c>
      <c r="K907" s="22" t="s">
        <v>1618</v>
      </c>
      <c r="L907" s="22" t="s">
        <v>57</v>
      </c>
      <c r="M907" s="22" t="s">
        <v>78</v>
      </c>
      <c r="N907" s="22">
        <v>24</v>
      </c>
      <c r="O907" s="26">
        <v>1899</v>
      </c>
      <c r="P907" s="22">
        <v>0.08</v>
      </c>
      <c r="Q907" s="30">
        <v>1080</v>
      </c>
      <c r="R907" s="33">
        <f>Table1_1[[#This Row],[Units Sold]]*Table1_1[[#This Row],[Unit Price]]*1-Table1_1[[#This Row],[Discount]]</f>
        <v>45575.92</v>
      </c>
      <c r="S907" s="33">
        <f>Table1_1[[#This Row],[Units Sold]]*Table1_1[[#This Row],[Unit Cost]]</f>
        <v>25920</v>
      </c>
      <c r="T907" s="33">
        <f>Table1_1[[#This Row],[Sales Amount]]-S907</f>
        <v>19655.919999999998</v>
      </c>
      <c r="U907" s="32">
        <f>IFERROR(Table1_1[[#This Row],[Profit/loss]]/Table1_1[[#This Row],[Sales Amount]],0)</f>
        <v>0.43127862257086635</v>
      </c>
    </row>
    <row r="908" spans="1:21" ht="18" x14ac:dyDescent="0.35">
      <c r="A908" s="21" t="s">
        <v>1015</v>
      </c>
      <c r="B908" s="36">
        <v>45732</v>
      </c>
      <c r="C908" s="22">
        <f>YEAR(Table1_1[[#This Row],[Order Date]])</f>
        <v>2025</v>
      </c>
      <c r="D908" s="22" t="str">
        <f>TEXT(Table1_1[[#This Row],[Order Date]],"MMMM")</f>
        <v>March</v>
      </c>
      <c r="E908" s="22" t="s">
        <v>16</v>
      </c>
      <c r="F908" s="22" t="s">
        <v>126</v>
      </c>
      <c r="G908" s="22" t="s">
        <v>84</v>
      </c>
      <c r="H908" s="22" t="s">
        <v>19</v>
      </c>
      <c r="I908" s="22" t="s">
        <v>70</v>
      </c>
      <c r="J908" s="22" t="s">
        <v>71</v>
      </c>
      <c r="K908" s="22" t="s">
        <v>72</v>
      </c>
      <c r="L908" s="22" t="s">
        <v>33</v>
      </c>
      <c r="M908" s="22" t="s">
        <v>78</v>
      </c>
      <c r="N908" s="22">
        <v>6</v>
      </c>
      <c r="O908" s="26">
        <v>3499</v>
      </c>
      <c r="P908" s="22">
        <v>0.18</v>
      </c>
      <c r="Q908" s="30">
        <v>2190</v>
      </c>
      <c r="R908" s="33">
        <f>Table1_1[[#This Row],[Units Sold]]*Table1_1[[#This Row],[Unit Price]]*1-Table1_1[[#This Row],[Discount]]</f>
        <v>20993.82</v>
      </c>
      <c r="S908" s="33">
        <f>Table1_1[[#This Row],[Units Sold]]*Table1_1[[#This Row],[Unit Cost]]</f>
        <v>13140</v>
      </c>
      <c r="T908" s="33">
        <f>Table1_1[[#This Row],[Sales Amount]]-S908</f>
        <v>7853.82</v>
      </c>
      <c r="U908" s="32">
        <f>IFERROR(Table1_1[[#This Row],[Profit/loss]]/Table1_1[[#This Row],[Sales Amount]],0)</f>
        <v>0.37410152130484114</v>
      </c>
    </row>
    <row r="909" spans="1:21" ht="18" x14ac:dyDescent="0.35">
      <c r="A909" s="21" t="s">
        <v>1016</v>
      </c>
      <c r="B909" s="36">
        <v>45733</v>
      </c>
      <c r="C909" s="22">
        <f>YEAR(Table1_1[[#This Row],[Order Date]])</f>
        <v>2025</v>
      </c>
      <c r="D909" s="22" t="str">
        <f>TEXT(Table1_1[[#This Row],[Order Date]],"MMMM")</f>
        <v>March</v>
      </c>
      <c r="E909" s="22" t="s">
        <v>36</v>
      </c>
      <c r="F909" s="22" t="s">
        <v>121</v>
      </c>
      <c r="G909" s="22" t="s">
        <v>18</v>
      </c>
      <c r="H909" s="22" t="s">
        <v>19</v>
      </c>
      <c r="I909" s="22" t="s">
        <v>70</v>
      </c>
      <c r="J909" s="22" t="s">
        <v>71</v>
      </c>
      <c r="K909" s="22" t="s">
        <v>80</v>
      </c>
      <c r="L909" s="22" t="s">
        <v>57</v>
      </c>
      <c r="M909" s="22" t="s">
        <v>78</v>
      </c>
      <c r="N909" s="22">
        <v>7</v>
      </c>
      <c r="O909" s="26">
        <v>1299</v>
      </c>
      <c r="P909" s="22">
        <v>0.12</v>
      </c>
      <c r="Q909" s="30">
        <v>720</v>
      </c>
      <c r="R909" s="33">
        <f>Table1_1[[#This Row],[Units Sold]]*Table1_1[[#This Row],[Unit Price]]*1-Table1_1[[#This Row],[Discount]]</f>
        <v>9092.8799999999992</v>
      </c>
      <c r="S909" s="33">
        <f>Table1_1[[#This Row],[Units Sold]]*Table1_1[[#This Row],[Unit Cost]]</f>
        <v>5040</v>
      </c>
      <c r="T909" s="33">
        <f>Table1_1[[#This Row],[Sales Amount]]-S909</f>
        <v>4052.8799999999992</v>
      </c>
      <c r="U909" s="32">
        <f>IFERROR(Table1_1[[#This Row],[Profit/loss]]/Table1_1[[#This Row],[Sales Amount]],0)</f>
        <v>0.44572016786760627</v>
      </c>
    </row>
    <row r="910" spans="1:21" ht="18" x14ac:dyDescent="0.35">
      <c r="A910" s="21" t="s">
        <v>1017</v>
      </c>
      <c r="B910" s="36">
        <v>45734</v>
      </c>
      <c r="C910" s="22">
        <f>YEAR(Table1_1[[#This Row],[Order Date]])</f>
        <v>2025</v>
      </c>
      <c r="D910" s="22" t="str">
        <f>TEXT(Table1_1[[#This Row],[Order Date]],"MMMM")</f>
        <v>March</v>
      </c>
      <c r="E910" s="22" t="s">
        <v>16</v>
      </c>
      <c r="F910" s="22" t="s">
        <v>126</v>
      </c>
      <c r="G910" s="22" t="s">
        <v>105</v>
      </c>
      <c r="H910" s="22" t="s">
        <v>29</v>
      </c>
      <c r="I910" s="22" t="s">
        <v>40</v>
      </c>
      <c r="J910" s="22" t="s">
        <v>76</v>
      </c>
      <c r="K910" s="22" t="s">
        <v>113</v>
      </c>
      <c r="L910" s="22" t="s">
        <v>23</v>
      </c>
      <c r="M910" s="22" t="s">
        <v>78</v>
      </c>
      <c r="N910" s="22">
        <v>7</v>
      </c>
      <c r="O910" s="26">
        <v>22999</v>
      </c>
      <c r="P910" s="22">
        <v>0.15</v>
      </c>
      <c r="Q910" s="30">
        <v>15100</v>
      </c>
      <c r="R910" s="33">
        <f>Table1_1[[#This Row],[Units Sold]]*Table1_1[[#This Row],[Unit Price]]*1-Table1_1[[#This Row],[Discount]]</f>
        <v>160992.85</v>
      </c>
      <c r="S910" s="33">
        <f>Table1_1[[#This Row],[Units Sold]]*Table1_1[[#This Row],[Unit Cost]]</f>
        <v>105700</v>
      </c>
      <c r="T910" s="33">
        <f>Table1_1[[#This Row],[Sales Amount]]-S910</f>
        <v>55292.850000000006</v>
      </c>
      <c r="U910" s="32">
        <f>IFERROR(Table1_1[[#This Row],[Profit/loss]]/Table1_1[[#This Row],[Sales Amount]],0)</f>
        <v>0.34344910348503055</v>
      </c>
    </row>
    <row r="911" spans="1:21" ht="18" x14ac:dyDescent="0.35">
      <c r="A911" s="21" t="s">
        <v>1018</v>
      </c>
      <c r="B911" s="36">
        <v>45735</v>
      </c>
      <c r="C911" s="22">
        <f>YEAR(Table1_1[[#This Row],[Order Date]])</f>
        <v>2025</v>
      </c>
      <c r="D911" s="22" t="str">
        <f>TEXT(Table1_1[[#This Row],[Order Date]],"MMMM")</f>
        <v>March</v>
      </c>
      <c r="E911" s="22" t="s">
        <v>36</v>
      </c>
      <c r="F911" s="22" t="s">
        <v>121</v>
      </c>
      <c r="G911" s="22" t="s">
        <v>84</v>
      </c>
      <c r="H911" s="22" t="s">
        <v>39</v>
      </c>
      <c r="I911" s="22" t="s">
        <v>70</v>
      </c>
      <c r="J911" s="22" t="s">
        <v>71</v>
      </c>
      <c r="K911" s="22" t="s">
        <v>72</v>
      </c>
      <c r="L911" s="22" t="s">
        <v>23</v>
      </c>
      <c r="M911" s="22" t="s">
        <v>66</v>
      </c>
      <c r="N911" s="22">
        <v>21</v>
      </c>
      <c r="O911" s="26">
        <v>3499</v>
      </c>
      <c r="P911" s="22">
        <v>0.05</v>
      </c>
      <c r="Q911" s="30">
        <v>2190</v>
      </c>
      <c r="R911" s="33">
        <f>Table1_1[[#This Row],[Units Sold]]*Table1_1[[#This Row],[Unit Price]]*1-Table1_1[[#This Row],[Discount]]</f>
        <v>73478.95</v>
      </c>
      <c r="S911" s="33">
        <f>Table1_1[[#This Row],[Units Sold]]*Table1_1[[#This Row],[Unit Cost]]</f>
        <v>45990</v>
      </c>
      <c r="T911" s="33">
        <f>Table1_1[[#This Row],[Sales Amount]]-S911</f>
        <v>27488.949999999997</v>
      </c>
      <c r="U911" s="32">
        <f>IFERROR(Table1_1[[#This Row],[Profit/loss]]/Table1_1[[#This Row],[Sales Amount]],0)</f>
        <v>0.37410646178259216</v>
      </c>
    </row>
    <row r="912" spans="1:21" ht="18" x14ac:dyDescent="0.35">
      <c r="A912" s="21" t="s">
        <v>1019</v>
      </c>
      <c r="B912" s="36">
        <v>45735</v>
      </c>
      <c r="C912" s="22">
        <f>YEAR(Table1_1[[#This Row],[Order Date]])</f>
        <v>2025</v>
      </c>
      <c r="D912" s="22" t="str">
        <f>TEXT(Table1_1[[#This Row],[Order Date]],"MMMM")</f>
        <v>March</v>
      </c>
      <c r="E912" s="22" t="s">
        <v>16</v>
      </c>
      <c r="F912" s="22" t="s">
        <v>126</v>
      </c>
      <c r="G912" s="22" t="s">
        <v>101</v>
      </c>
      <c r="H912" s="22" t="s">
        <v>29</v>
      </c>
      <c r="I912" s="22" t="s">
        <v>20</v>
      </c>
      <c r="J912" s="22" t="s">
        <v>21</v>
      </c>
      <c r="K912" s="22" t="s">
        <v>22</v>
      </c>
      <c r="L912" s="22" t="s">
        <v>33</v>
      </c>
      <c r="M912" s="22" t="s">
        <v>24</v>
      </c>
      <c r="N912" s="22">
        <v>27</v>
      </c>
      <c r="O912" s="26">
        <v>4499</v>
      </c>
      <c r="P912" s="22">
        <v>0.2</v>
      </c>
      <c r="Q912" s="30">
        <v>2910</v>
      </c>
      <c r="R912" s="33">
        <f>Table1_1[[#This Row],[Units Sold]]*Table1_1[[#This Row],[Unit Price]]*1-Table1_1[[#This Row],[Discount]]</f>
        <v>121472.8</v>
      </c>
      <c r="S912" s="33">
        <f>Table1_1[[#This Row],[Units Sold]]*Table1_1[[#This Row],[Unit Cost]]</f>
        <v>78570</v>
      </c>
      <c r="T912" s="33">
        <f>Table1_1[[#This Row],[Sales Amount]]-S912</f>
        <v>42902.8</v>
      </c>
      <c r="U912" s="32">
        <f>IFERROR(Table1_1[[#This Row],[Profit/loss]]/Table1_1[[#This Row],[Sales Amount]],0)</f>
        <v>0.35318853274148615</v>
      </c>
    </row>
    <row r="913" spans="1:21" ht="18" x14ac:dyDescent="0.35">
      <c r="A913" s="21" t="s">
        <v>1020</v>
      </c>
      <c r="B913" s="36">
        <v>45735</v>
      </c>
      <c r="C913" s="22">
        <f>YEAR(Table1_1[[#This Row],[Order Date]])</f>
        <v>2025</v>
      </c>
      <c r="D913" s="22" t="str">
        <f>TEXT(Table1_1[[#This Row],[Order Date]],"MMMM")</f>
        <v>March</v>
      </c>
      <c r="E913" s="22" t="s">
        <v>82</v>
      </c>
      <c r="F913" s="22" t="s">
        <v>100</v>
      </c>
      <c r="G913" s="22" t="s">
        <v>105</v>
      </c>
      <c r="H913" s="22" t="s">
        <v>29</v>
      </c>
      <c r="I913" s="22" t="s">
        <v>54</v>
      </c>
      <c r="J913" s="22" t="s">
        <v>90</v>
      </c>
      <c r="K913" s="22" t="s">
        <v>1625</v>
      </c>
      <c r="L913" s="22" t="s">
        <v>57</v>
      </c>
      <c r="M913" s="22" t="s">
        <v>24</v>
      </c>
      <c r="N913" s="22">
        <v>38</v>
      </c>
      <c r="O913" s="26">
        <v>32800</v>
      </c>
      <c r="P913" s="22">
        <v>0.18</v>
      </c>
      <c r="Q913" s="30">
        <v>23100</v>
      </c>
      <c r="R913" s="33">
        <f>Table1_1[[#This Row],[Units Sold]]*Table1_1[[#This Row],[Unit Price]]*1-Table1_1[[#This Row],[Discount]]</f>
        <v>1246399.82</v>
      </c>
      <c r="S913" s="33">
        <f>Table1_1[[#This Row],[Units Sold]]*Table1_1[[#This Row],[Unit Cost]]</f>
        <v>877800</v>
      </c>
      <c r="T913" s="33">
        <f>Table1_1[[#This Row],[Sales Amount]]-S913</f>
        <v>368599.82000000007</v>
      </c>
      <c r="U913" s="32">
        <f>IFERROR(Table1_1[[#This Row],[Profit/loss]]/Table1_1[[#This Row],[Sales Amount]],0)</f>
        <v>0.29573160560950662</v>
      </c>
    </row>
    <row r="914" spans="1:21" ht="18" x14ac:dyDescent="0.35">
      <c r="A914" s="21" t="s">
        <v>1021</v>
      </c>
      <c r="B914" s="36">
        <v>45735</v>
      </c>
      <c r="C914" s="22">
        <f>YEAR(Table1_1[[#This Row],[Order Date]])</f>
        <v>2025</v>
      </c>
      <c r="D914" s="22" t="str">
        <f>TEXT(Table1_1[[#This Row],[Order Date]],"MMMM")</f>
        <v>March</v>
      </c>
      <c r="E914" s="22" t="s">
        <v>36</v>
      </c>
      <c r="F914" s="22" t="s">
        <v>44</v>
      </c>
      <c r="G914" s="22" t="s">
        <v>75</v>
      </c>
      <c r="H914" s="22" t="s">
        <v>19</v>
      </c>
      <c r="I914" s="22" t="s">
        <v>40</v>
      </c>
      <c r="J914" s="22" t="s">
        <v>64</v>
      </c>
      <c r="K914" s="22" t="s">
        <v>1629</v>
      </c>
      <c r="L914" s="22" t="s">
        <v>23</v>
      </c>
      <c r="M914" s="22" t="s">
        <v>24</v>
      </c>
      <c r="N914" s="22">
        <v>26</v>
      </c>
      <c r="O914" s="26">
        <v>3299</v>
      </c>
      <c r="P914" s="22">
        <v>0.08</v>
      </c>
      <c r="Q914" s="30">
        <v>2050</v>
      </c>
      <c r="R914" s="33">
        <f>Table1_1[[#This Row],[Units Sold]]*Table1_1[[#This Row],[Unit Price]]*1-Table1_1[[#This Row],[Discount]]</f>
        <v>85773.92</v>
      </c>
      <c r="S914" s="33">
        <f>Table1_1[[#This Row],[Units Sold]]*Table1_1[[#This Row],[Unit Cost]]</f>
        <v>53300</v>
      </c>
      <c r="T914" s="33">
        <f>Table1_1[[#This Row],[Sales Amount]]-S914</f>
        <v>32473.919999999998</v>
      </c>
      <c r="U914" s="32">
        <f>IFERROR(Table1_1[[#This Row],[Profit/loss]]/Table1_1[[#This Row],[Sales Amount]],0)</f>
        <v>0.37859899605847558</v>
      </c>
    </row>
    <row r="915" spans="1:21" ht="18" x14ac:dyDescent="0.35">
      <c r="A915" s="21" t="s">
        <v>1022</v>
      </c>
      <c r="B915" s="36">
        <v>45736</v>
      </c>
      <c r="C915" s="22">
        <f>YEAR(Table1_1[[#This Row],[Order Date]])</f>
        <v>2025</v>
      </c>
      <c r="D915" s="22" t="str">
        <f>TEXT(Table1_1[[#This Row],[Order Date]],"MMMM")</f>
        <v>March</v>
      </c>
      <c r="E915" s="22" t="s">
        <v>26</v>
      </c>
      <c r="F915" s="22" t="s">
        <v>74</v>
      </c>
      <c r="G915" s="22" t="s">
        <v>60</v>
      </c>
      <c r="H915" s="22" t="s">
        <v>19</v>
      </c>
      <c r="I915" s="22" t="s">
        <v>40</v>
      </c>
      <c r="J915" s="22" t="s">
        <v>76</v>
      </c>
      <c r="K915" s="22" t="s">
        <v>113</v>
      </c>
      <c r="L915" s="22" t="s">
        <v>33</v>
      </c>
      <c r="M915" s="22" t="s">
        <v>24</v>
      </c>
      <c r="N915" s="22">
        <v>39</v>
      </c>
      <c r="O915" s="26">
        <v>22999</v>
      </c>
      <c r="P915" s="22">
        <v>0.15</v>
      </c>
      <c r="Q915" s="30">
        <v>15100</v>
      </c>
      <c r="R915" s="33">
        <f>Table1_1[[#This Row],[Units Sold]]*Table1_1[[#This Row],[Unit Price]]*1-Table1_1[[#This Row],[Discount]]</f>
        <v>896960.85</v>
      </c>
      <c r="S915" s="33">
        <f>Table1_1[[#This Row],[Units Sold]]*Table1_1[[#This Row],[Unit Cost]]</f>
        <v>588900</v>
      </c>
      <c r="T915" s="33">
        <f>Table1_1[[#This Row],[Sales Amount]]-S915</f>
        <v>308060.84999999998</v>
      </c>
      <c r="U915" s="32">
        <f>IFERROR(Table1_1[[#This Row],[Profit/loss]]/Table1_1[[#This Row],[Sales Amount]],0)</f>
        <v>0.34344960540919928</v>
      </c>
    </row>
    <row r="916" spans="1:21" ht="18" x14ac:dyDescent="0.35">
      <c r="A916" s="21" t="s">
        <v>1023</v>
      </c>
      <c r="B916" s="36">
        <v>45736</v>
      </c>
      <c r="C916" s="22">
        <f>YEAR(Table1_1[[#This Row],[Order Date]])</f>
        <v>2025</v>
      </c>
      <c r="D916" s="22" t="str">
        <f>TEXT(Table1_1[[#This Row],[Order Date]],"MMMM")</f>
        <v>March</v>
      </c>
      <c r="E916" s="22" t="s">
        <v>48</v>
      </c>
      <c r="F916" s="22" t="s">
        <v>93</v>
      </c>
      <c r="G916" s="22" t="s">
        <v>18</v>
      </c>
      <c r="H916" s="22" t="s">
        <v>39</v>
      </c>
      <c r="I916" s="22" t="s">
        <v>20</v>
      </c>
      <c r="J916" s="22" t="s">
        <v>45</v>
      </c>
      <c r="K916" s="22" t="s">
        <v>1618</v>
      </c>
      <c r="L916" s="22" t="s">
        <v>23</v>
      </c>
      <c r="M916" s="22" t="s">
        <v>66</v>
      </c>
      <c r="N916" s="22">
        <v>40</v>
      </c>
      <c r="O916" s="26">
        <v>1899</v>
      </c>
      <c r="P916" s="22">
        <v>0.12</v>
      </c>
      <c r="Q916" s="30">
        <v>1080</v>
      </c>
      <c r="R916" s="33">
        <f>Table1_1[[#This Row],[Units Sold]]*Table1_1[[#This Row],[Unit Price]]*1-Table1_1[[#This Row],[Discount]]</f>
        <v>75959.88</v>
      </c>
      <c r="S916" s="33">
        <f>Table1_1[[#This Row],[Units Sold]]*Table1_1[[#This Row],[Unit Cost]]</f>
        <v>43200</v>
      </c>
      <c r="T916" s="33">
        <f>Table1_1[[#This Row],[Sales Amount]]-S916</f>
        <v>32759.880000000005</v>
      </c>
      <c r="U916" s="32">
        <f>IFERROR(Table1_1[[#This Row],[Profit/loss]]/Table1_1[[#This Row],[Sales Amount]],0)</f>
        <v>0.43127872239924553</v>
      </c>
    </row>
    <row r="917" spans="1:21" ht="18" x14ac:dyDescent="0.35">
      <c r="A917" s="21" t="s">
        <v>1024</v>
      </c>
      <c r="B917" s="36">
        <v>45737</v>
      </c>
      <c r="C917" s="22">
        <f>YEAR(Table1_1[[#This Row],[Order Date]])</f>
        <v>2025</v>
      </c>
      <c r="D917" s="22" t="str">
        <f>TEXT(Table1_1[[#This Row],[Order Date]],"MMMM")</f>
        <v>March</v>
      </c>
      <c r="E917" s="22" t="s">
        <v>48</v>
      </c>
      <c r="F917" s="22" t="s">
        <v>136</v>
      </c>
      <c r="G917" s="22" t="s">
        <v>38</v>
      </c>
      <c r="H917" s="22" t="s">
        <v>19</v>
      </c>
      <c r="I917" s="22" t="s">
        <v>30</v>
      </c>
      <c r="J917" s="22" t="s">
        <v>31</v>
      </c>
      <c r="K917" s="22" t="s">
        <v>32</v>
      </c>
      <c r="L917" s="22" t="s">
        <v>57</v>
      </c>
      <c r="M917" s="22" t="s">
        <v>66</v>
      </c>
      <c r="N917" s="22">
        <v>30</v>
      </c>
      <c r="O917" s="26">
        <v>38990</v>
      </c>
      <c r="P917" s="22">
        <v>0.05</v>
      </c>
      <c r="Q917" s="30">
        <v>25400</v>
      </c>
      <c r="R917" s="33">
        <f>Table1_1[[#This Row],[Units Sold]]*Table1_1[[#This Row],[Unit Price]]*1-Table1_1[[#This Row],[Discount]]</f>
        <v>1169699.95</v>
      </c>
      <c r="S917" s="33">
        <f>Table1_1[[#This Row],[Units Sold]]*Table1_1[[#This Row],[Unit Cost]]</f>
        <v>762000</v>
      </c>
      <c r="T917" s="33">
        <f>Table1_1[[#This Row],[Sales Amount]]-S917</f>
        <v>407699.94999999995</v>
      </c>
      <c r="U917" s="32">
        <f>IFERROR(Table1_1[[#This Row],[Profit/loss]]/Table1_1[[#This Row],[Sales Amount]],0)</f>
        <v>0.34855088264302309</v>
      </c>
    </row>
    <row r="918" spans="1:21" ht="18" x14ac:dyDescent="0.35">
      <c r="A918" s="21" t="s">
        <v>1025</v>
      </c>
      <c r="B918" s="36">
        <v>45737</v>
      </c>
      <c r="C918" s="22">
        <f>YEAR(Table1_1[[#This Row],[Order Date]])</f>
        <v>2025</v>
      </c>
      <c r="D918" s="22" t="str">
        <f>TEXT(Table1_1[[#This Row],[Order Date]],"MMMM")</f>
        <v>March</v>
      </c>
      <c r="E918" s="22" t="s">
        <v>82</v>
      </c>
      <c r="F918" s="22" t="s">
        <v>183</v>
      </c>
      <c r="G918" s="22" t="s">
        <v>101</v>
      </c>
      <c r="H918" s="22" t="s">
        <v>19</v>
      </c>
      <c r="I918" s="22" t="s">
        <v>70</v>
      </c>
      <c r="J918" s="22" t="s">
        <v>71</v>
      </c>
      <c r="K918" s="22" t="s">
        <v>72</v>
      </c>
      <c r="L918" s="22" t="s">
        <v>23</v>
      </c>
      <c r="M918" s="22" t="s">
        <v>24</v>
      </c>
      <c r="N918" s="22">
        <v>23</v>
      </c>
      <c r="O918" s="26">
        <v>3499</v>
      </c>
      <c r="P918" s="22">
        <v>0.18</v>
      </c>
      <c r="Q918" s="30">
        <v>2190</v>
      </c>
      <c r="R918" s="33">
        <f>Table1_1[[#This Row],[Units Sold]]*Table1_1[[#This Row],[Unit Price]]*1-Table1_1[[#This Row],[Discount]]</f>
        <v>80476.820000000007</v>
      </c>
      <c r="S918" s="33">
        <f>Table1_1[[#This Row],[Units Sold]]*Table1_1[[#This Row],[Unit Cost]]</f>
        <v>50370</v>
      </c>
      <c r="T918" s="33">
        <f>Table1_1[[#This Row],[Sales Amount]]-S918</f>
        <v>30106.820000000007</v>
      </c>
      <c r="U918" s="32">
        <f>IFERROR(Table1_1[[#This Row],[Profit/loss]]/Table1_1[[#This Row],[Sales Amount]],0)</f>
        <v>0.37410548776653951</v>
      </c>
    </row>
    <row r="919" spans="1:21" ht="18" x14ac:dyDescent="0.35">
      <c r="A919" s="21" t="s">
        <v>1026</v>
      </c>
      <c r="B919" s="36">
        <v>45737</v>
      </c>
      <c r="C919" s="22">
        <f>YEAR(Table1_1[[#This Row],[Order Date]])</f>
        <v>2025</v>
      </c>
      <c r="D919" s="22" t="str">
        <f>TEXT(Table1_1[[#This Row],[Order Date]],"MMMM")</f>
        <v>March</v>
      </c>
      <c r="E919" s="22" t="s">
        <v>16</v>
      </c>
      <c r="F919" s="22" t="s">
        <v>111</v>
      </c>
      <c r="G919" s="22" t="s">
        <v>38</v>
      </c>
      <c r="H919" s="22" t="s">
        <v>19</v>
      </c>
      <c r="I919" s="22" t="s">
        <v>40</v>
      </c>
      <c r="J919" s="22" t="s">
        <v>64</v>
      </c>
      <c r="K919" s="22" t="s">
        <v>1629</v>
      </c>
      <c r="L919" s="22" t="s">
        <v>23</v>
      </c>
      <c r="M919" s="22" t="s">
        <v>24</v>
      </c>
      <c r="N919" s="22">
        <v>37</v>
      </c>
      <c r="O919" s="26">
        <v>3299</v>
      </c>
      <c r="P919" s="22">
        <v>0.18</v>
      </c>
      <c r="Q919" s="30">
        <v>2050</v>
      </c>
      <c r="R919" s="33">
        <f>Table1_1[[#This Row],[Units Sold]]*Table1_1[[#This Row],[Unit Price]]*1-Table1_1[[#This Row],[Discount]]</f>
        <v>122062.82</v>
      </c>
      <c r="S919" s="33">
        <f>Table1_1[[#This Row],[Units Sold]]*Table1_1[[#This Row],[Unit Cost]]</f>
        <v>75850</v>
      </c>
      <c r="T919" s="33">
        <f>Table1_1[[#This Row],[Sales Amount]]-S919</f>
        <v>46212.820000000007</v>
      </c>
      <c r="U919" s="32">
        <f>IFERROR(Table1_1[[#This Row],[Profit/loss]]/Table1_1[[#This Row],[Sales Amount]],0)</f>
        <v>0.37859865928052461</v>
      </c>
    </row>
    <row r="920" spans="1:21" ht="18" x14ac:dyDescent="0.35">
      <c r="A920" s="21" t="s">
        <v>1027</v>
      </c>
      <c r="B920" s="36">
        <v>45738</v>
      </c>
      <c r="C920" s="22">
        <f>YEAR(Table1_1[[#This Row],[Order Date]])</f>
        <v>2025</v>
      </c>
      <c r="D920" s="22" t="str">
        <f>TEXT(Table1_1[[#This Row],[Order Date]],"MMMM")</f>
        <v>March</v>
      </c>
      <c r="E920" s="22" t="s">
        <v>48</v>
      </c>
      <c r="F920" s="22" t="s">
        <v>49</v>
      </c>
      <c r="G920" s="22" t="s">
        <v>38</v>
      </c>
      <c r="H920" s="22" t="s">
        <v>29</v>
      </c>
      <c r="I920" s="22" t="s">
        <v>70</v>
      </c>
      <c r="J920" s="22" t="s">
        <v>71</v>
      </c>
      <c r="K920" s="22" t="s">
        <v>80</v>
      </c>
      <c r="L920" s="22" t="s">
        <v>23</v>
      </c>
      <c r="M920" s="22" t="s">
        <v>24</v>
      </c>
      <c r="N920" s="22">
        <v>14</v>
      </c>
      <c r="O920" s="26">
        <v>1299</v>
      </c>
      <c r="P920" s="22">
        <v>0.1</v>
      </c>
      <c r="Q920" s="30">
        <v>720</v>
      </c>
      <c r="R920" s="33">
        <f>Table1_1[[#This Row],[Units Sold]]*Table1_1[[#This Row],[Unit Price]]*1-Table1_1[[#This Row],[Discount]]</f>
        <v>18185.900000000001</v>
      </c>
      <c r="S920" s="33">
        <f>Table1_1[[#This Row],[Units Sold]]*Table1_1[[#This Row],[Unit Cost]]</f>
        <v>10080</v>
      </c>
      <c r="T920" s="33">
        <f>Table1_1[[#This Row],[Sales Amount]]-S920</f>
        <v>8105.9000000000015</v>
      </c>
      <c r="U920" s="32">
        <f>IFERROR(Table1_1[[#This Row],[Profit/loss]]/Table1_1[[#This Row],[Sales Amount]],0)</f>
        <v>0.44572443486437302</v>
      </c>
    </row>
    <row r="921" spans="1:21" ht="18" x14ac:dyDescent="0.35">
      <c r="A921" s="21" t="s">
        <v>1028</v>
      </c>
      <c r="B921" s="36">
        <v>45738</v>
      </c>
      <c r="C921" s="22">
        <f>YEAR(Table1_1[[#This Row],[Order Date]])</f>
        <v>2025</v>
      </c>
      <c r="D921" s="22" t="str">
        <f>TEXT(Table1_1[[#This Row],[Order Date]],"MMMM")</f>
        <v>March</v>
      </c>
      <c r="E921" s="22" t="s">
        <v>48</v>
      </c>
      <c r="F921" s="22" t="s">
        <v>136</v>
      </c>
      <c r="G921" s="22" t="s">
        <v>101</v>
      </c>
      <c r="H921" s="22" t="s">
        <v>39</v>
      </c>
      <c r="I921" s="22" t="s">
        <v>40</v>
      </c>
      <c r="J921" s="22" t="s">
        <v>76</v>
      </c>
      <c r="K921" s="22" t="s">
        <v>1626</v>
      </c>
      <c r="L921" s="22" t="s">
        <v>23</v>
      </c>
      <c r="M921" s="22" t="s">
        <v>24</v>
      </c>
      <c r="N921" s="22">
        <v>5</v>
      </c>
      <c r="O921" s="26">
        <v>25999</v>
      </c>
      <c r="P921" s="22">
        <v>0.1</v>
      </c>
      <c r="Q921" s="30">
        <v>17800</v>
      </c>
      <c r="R921" s="33">
        <f>Table1_1[[#This Row],[Units Sold]]*Table1_1[[#This Row],[Unit Price]]*1-Table1_1[[#This Row],[Discount]]</f>
        <v>129994.9</v>
      </c>
      <c r="S921" s="33">
        <f>Table1_1[[#This Row],[Units Sold]]*Table1_1[[#This Row],[Unit Cost]]</f>
        <v>89000</v>
      </c>
      <c r="T921" s="33">
        <f>Table1_1[[#This Row],[Sales Amount]]-S921</f>
        <v>40994.899999999994</v>
      </c>
      <c r="U921" s="32">
        <f>IFERROR(Table1_1[[#This Row],[Profit/loss]]/Table1_1[[#This Row],[Sales Amount]],0)</f>
        <v>0.31535775634274882</v>
      </c>
    </row>
    <row r="922" spans="1:21" ht="18" x14ac:dyDescent="0.35">
      <c r="A922" s="21" t="s">
        <v>1029</v>
      </c>
      <c r="B922" s="36">
        <v>45738</v>
      </c>
      <c r="C922" s="22">
        <f>YEAR(Table1_1[[#This Row],[Order Date]])</f>
        <v>2025</v>
      </c>
      <c r="D922" s="22" t="str">
        <f>TEXT(Table1_1[[#This Row],[Order Date]],"MMMM")</f>
        <v>March</v>
      </c>
      <c r="E922" s="22" t="s">
        <v>26</v>
      </c>
      <c r="F922" s="22" t="s">
        <v>27</v>
      </c>
      <c r="G922" s="22" t="s">
        <v>75</v>
      </c>
      <c r="H922" s="22" t="s">
        <v>39</v>
      </c>
      <c r="I922" s="22" t="s">
        <v>54</v>
      </c>
      <c r="J922" s="22" t="s">
        <v>129</v>
      </c>
      <c r="K922" s="22" t="s">
        <v>130</v>
      </c>
      <c r="L922" s="22" t="s">
        <v>57</v>
      </c>
      <c r="M922" s="22" t="s">
        <v>24</v>
      </c>
      <c r="N922" s="22">
        <v>40</v>
      </c>
      <c r="O922" s="26">
        <v>27890</v>
      </c>
      <c r="P922" s="22">
        <v>0.12</v>
      </c>
      <c r="Q922" s="30">
        <v>18800</v>
      </c>
      <c r="R922" s="33">
        <f>Table1_1[[#This Row],[Units Sold]]*Table1_1[[#This Row],[Unit Price]]*1-Table1_1[[#This Row],[Discount]]</f>
        <v>1115599.8799999999</v>
      </c>
      <c r="S922" s="33">
        <f>Table1_1[[#This Row],[Units Sold]]*Table1_1[[#This Row],[Unit Cost]]</f>
        <v>752000</v>
      </c>
      <c r="T922" s="33">
        <f>Table1_1[[#This Row],[Sales Amount]]-S922</f>
        <v>363599.87999999989</v>
      </c>
      <c r="U922" s="32">
        <f>IFERROR(Table1_1[[#This Row],[Profit/loss]]/Table1_1[[#This Row],[Sales Amount]],0)</f>
        <v>0.32592319748187848</v>
      </c>
    </row>
    <row r="923" spans="1:21" ht="18" x14ac:dyDescent="0.35">
      <c r="A923" s="21" t="s">
        <v>1030</v>
      </c>
      <c r="B923" s="36">
        <v>45739</v>
      </c>
      <c r="C923" s="22">
        <f>YEAR(Table1_1[[#This Row],[Order Date]])</f>
        <v>2025</v>
      </c>
      <c r="D923" s="22" t="str">
        <f>TEXT(Table1_1[[#This Row],[Order Date]],"MMMM")</f>
        <v>March</v>
      </c>
      <c r="E923" s="22" t="s">
        <v>48</v>
      </c>
      <c r="F923" s="22" t="s">
        <v>49</v>
      </c>
      <c r="G923" s="22" t="s">
        <v>69</v>
      </c>
      <c r="H923" s="22" t="s">
        <v>19</v>
      </c>
      <c r="I923" s="22" t="s">
        <v>54</v>
      </c>
      <c r="J923" s="22" t="s">
        <v>90</v>
      </c>
      <c r="K923" s="22" t="s">
        <v>1631</v>
      </c>
      <c r="L923" s="22" t="s">
        <v>33</v>
      </c>
      <c r="M923" s="22" t="s">
        <v>24</v>
      </c>
      <c r="N923" s="22">
        <v>32</v>
      </c>
      <c r="O923" s="26">
        <v>29010</v>
      </c>
      <c r="P923" s="22">
        <v>0.12</v>
      </c>
      <c r="Q923" s="30">
        <v>19150</v>
      </c>
      <c r="R923" s="33">
        <f>Table1_1[[#This Row],[Units Sold]]*Table1_1[[#This Row],[Unit Price]]*1-Table1_1[[#This Row],[Discount]]</f>
        <v>928319.88</v>
      </c>
      <c r="S923" s="33">
        <f>Table1_1[[#This Row],[Units Sold]]*Table1_1[[#This Row],[Unit Cost]]</f>
        <v>612800</v>
      </c>
      <c r="T923" s="33">
        <f>Table1_1[[#This Row],[Sales Amount]]-S923</f>
        <v>315519.88</v>
      </c>
      <c r="U923" s="32">
        <f>IFERROR(Table1_1[[#This Row],[Profit/loss]]/Table1_1[[#This Row],[Sales Amount]],0)</f>
        <v>0.339882713704246</v>
      </c>
    </row>
    <row r="924" spans="1:21" ht="18" x14ac:dyDescent="0.35">
      <c r="A924" s="21" t="s">
        <v>1031</v>
      </c>
      <c r="B924" s="36">
        <v>45740</v>
      </c>
      <c r="C924" s="22">
        <f>YEAR(Table1_1[[#This Row],[Order Date]])</f>
        <v>2025</v>
      </c>
      <c r="D924" s="22" t="str">
        <f>TEXT(Table1_1[[#This Row],[Order Date]],"MMMM")</f>
        <v>March</v>
      </c>
      <c r="E924" s="22" t="s">
        <v>48</v>
      </c>
      <c r="F924" s="22" t="s">
        <v>136</v>
      </c>
      <c r="G924" s="22" t="s">
        <v>101</v>
      </c>
      <c r="H924" s="22" t="s">
        <v>39</v>
      </c>
      <c r="I924" s="22" t="s">
        <v>20</v>
      </c>
      <c r="J924" s="22" t="s">
        <v>21</v>
      </c>
      <c r="K924" s="22" t="s">
        <v>51</v>
      </c>
      <c r="L924" s="22" t="s">
        <v>33</v>
      </c>
      <c r="M924" s="22" t="s">
        <v>78</v>
      </c>
      <c r="N924" s="22">
        <v>38</v>
      </c>
      <c r="O924" s="26">
        <v>5999</v>
      </c>
      <c r="P924" s="22">
        <v>0.18</v>
      </c>
      <c r="Q924" s="30">
        <v>3890</v>
      </c>
      <c r="R924" s="33">
        <f>Table1_1[[#This Row],[Units Sold]]*Table1_1[[#This Row],[Unit Price]]*1-Table1_1[[#This Row],[Discount]]</f>
        <v>227961.82</v>
      </c>
      <c r="S924" s="33">
        <f>Table1_1[[#This Row],[Units Sold]]*Table1_1[[#This Row],[Unit Cost]]</f>
        <v>147820</v>
      </c>
      <c r="T924" s="33">
        <f>Table1_1[[#This Row],[Sales Amount]]-S924</f>
        <v>80141.820000000007</v>
      </c>
      <c r="U924" s="32">
        <f>IFERROR(Table1_1[[#This Row],[Profit/loss]]/Table1_1[[#This Row],[Sales Amount]],0)</f>
        <v>0.35155808108568359</v>
      </c>
    </row>
    <row r="925" spans="1:21" ht="18" x14ac:dyDescent="0.35">
      <c r="A925" s="21" t="s">
        <v>1032</v>
      </c>
      <c r="B925" s="36">
        <v>45740</v>
      </c>
      <c r="C925" s="22">
        <f>YEAR(Table1_1[[#This Row],[Order Date]])</f>
        <v>2025</v>
      </c>
      <c r="D925" s="22" t="str">
        <f>TEXT(Table1_1[[#This Row],[Order Date]],"MMMM")</f>
        <v>March</v>
      </c>
      <c r="E925" s="22" t="s">
        <v>82</v>
      </c>
      <c r="F925" s="22" t="s">
        <v>183</v>
      </c>
      <c r="G925" s="22" t="s">
        <v>18</v>
      </c>
      <c r="H925" s="22" t="s">
        <v>19</v>
      </c>
      <c r="I925" s="22" t="s">
        <v>40</v>
      </c>
      <c r="J925" s="22" t="s">
        <v>41</v>
      </c>
      <c r="K925" s="22" t="s">
        <v>42</v>
      </c>
      <c r="L925" s="22" t="s">
        <v>57</v>
      </c>
      <c r="M925" s="22" t="s">
        <v>66</v>
      </c>
      <c r="N925" s="22">
        <v>22</v>
      </c>
      <c r="O925" s="26">
        <v>55230</v>
      </c>
      <c r="P925" s="22">
        <v>0.05</v>
      </c>
      <c r="Q925" s="30">
        <v>33800</v>
      </c>
      <c r="R925" s="33">
        <f>Table1_1[[#This Row],[Units Sold]]*Table1_1[[#This Row],[Unit Price]]*1-Table1_1[[#This Row],[Discount]]</f>
        <v>1215059.95</v>
      </c>
      <c r="S925" s="33">
        <f>Table1_1[[#This Row],[Units Sold]]*Table1_1[[#This Row],[Unit Cost]]</f>
        <v>743600</v>
      </c>
      <c r="T925" s="33">
        <f>Table1_1[[#This Row],[Sales Amount]]-S925</f>
        <v>471459.94999999995</v>
      </c>
      <c r="U925" s="32">
        <f>IFERROR(Table1_1[[#This Row],[Profit/loss]]/Table1_1[[#This Row],[Sales Amount]],0)</f>
        <v>0.38801373545395845</v>
      </c>
    </row>
    <row r="926" spans="1:21" ht="18" x14ac:dyDescent="0.35">
      <c r="A926" s="21" t="s">
        <v>1033</v>
      </c>
      <c r="B926" s="36">
        <v>45740</v>
      </c>
      <c r="C926" s="22">
        <f>YEAR(Table1_1[[#This Row],[Order Date]])</f>
        <v>2025</v>
      </c>
      <c r="D926" s="22" t="str">
        <f>TEXT(Table1_1[[#This Row],[Order Date]],"MMMM")</f>
        <v>March</v>
      </c>
      <c r="E926" s="22" t="s">
        <v>36</v>
      </c>
      <c r="F926" s="22" t="s">
        <v>121</v>
      </c>
      <c r="G926" s="22" t="s">
        <v>18</v>
      </c>
      <c r="H926" s="22" t="s">
        <v>19</v>
      </c>
      <c r="I926" s="22" t="s">
        <v>20</v>
      </c>
      <c r="J926" s="22" t="s">
        <v>45</v>
      </c>
      <c r="K926" s="22" t="s">
        <v>196</v>
      </c>
      <c r="L926" s="22" t="s">
        <v>57</v>
      </c>
      <c r="M926" s="22" t="s">
        <v>24</v>
      </c>
      <c r="N926" s="22">
        <v>13</v>
      </c>
      <c r="O926" s="26">
        <v>2499</v>
      </c>
      <c r="P926" s="22">
        <v>0.18</v>
      </c>
      <c r="Q926" s="30">
        <v>1510</v>
      </c>
      <c r="R926" s="33">
        <f>Table1_1[[#This Row],[Units Sold]]*Table1_1[[#This Row],[Unit Price]]*1-Table1_1[[#This Row],[Discount]]</f>
        <v>32486.82</v>
      </c>
      <c r="S926" s="33">
        <f>Table1_1[[#This Row],[Units Sold]]*Table1_1[[#This Row],[Unit Cost]]</f>
        <v>19630</v>
      </c>
      <c r="T926" s="33">
        <f>Table1_1[[#This Row],[Sales Amount]]-S926</f>
        <v>12856.82</v>
      </c>
      <c r="U926" s="32">
        <f>IFERROR(Table1_1[[#This Row],[Profit/loss]]/Table1_1[[#This Row],[Sales Amount]],0)</f>
        <v>0.39575495539421834</v>
      </c>
    </row>
    <row r="927" spans="1:21" ht="18" x14ac:dyDescent="0.35">
      <c r="A927" s="21" t="s">
        <v>1034</v>
      </c>
      <c r="B927" s="36">
        <v>45740</v>
      </c>
      <c r="C927" s="22">
        <f>YEAR(Table1_1[[#This Row],[Order Date]])</f>
        <v>2025</v>
      </c>
      <c r="D927" s="22" t="str">
        <f>TEXT(Table1_1[[#This Row],[Order Date]],"MMMM")</f>
        <v>March</v>
      </c>
      <c r="E927" s="22" t="s">
        <v>36</v>
      </c>
      <c r="F927" s="22" t="s">
        <v>121</v>
      </c>
      <c r="G927" s="22" t="s">
        <v>105</v>
      </c>
      <c r="H927" s="22" t="s">
        <v>39</v>
      </c>
      <c r="I927" s="22" t="s">
        <v>54</v>
      </c>
      <c r="J927" s="22" t="s">
        <v>55</v>
      </c>
      <c r="K927" s="22" t="s">
        <v>1623</v>
      </c>
      <c r="L927" s="22" t="s">
        <v>57</v>
      </c>
      <c r="M927" s="22" t="s">
        <v>66</v>
      </c>
      <c r="N927" s="22">
        <v>15</v>
      </c>
      <c r="O927" s="26">
        <v>5890</v>
      </c>
      <c r="P927" s="22">
        <v>0.1</v>
      </c>
      <c r="Q927" s="30">
        <v>3980</v>
      </c>
      <c r="R927" s="33">
        <f>Table1_1[[#This Row],[Units Sold]]*Table1_1[[#This Row],[Unit Price]]*1-Table1_1[[#This Row],[Discount]]</f>
        <v>88349.9</v>
      </c>
      <c r="S927" s="33">
        <f>Table1_1[[#This Row],[Units Sold]]*Table1_1[[#This Row],[Unit Cost]]</f>
        <v>59700</v>
      </c>
      <c r="T927" s="33">
        <f>Table1_1[[#This Row],[Sales Amount]]-S927</f>
        <v>28649.899999999994</v>
      </c>
      <c r="U927" s="32">
        <f>IFERROR(Table1_1[[#This Row],[Profit/loss]]/Table1_1[[#This Row],[Sales Amount]],0)</f>
        <v>0.32427767320619488</v>
      </c>
    </row>
    <row r="928" spans="1:21" ht="18" x14ac:dyDescent="0.35">
      <c r="A928" s="21" t="s">
        <v>1035</v>
      </c>
      <c r="B928" s="36">
        <v>45740</v>
      </c>
      <c r="C928" s="22">
        <f>YEAR(Table1_1[[#This Row],[Order Date]])</f>
        <v>2025</v>
      </c>
      <c r="D928" s="22" t="str">
        <f>TEXT(Table1_1[[#This Row],[Order Date]],"MMMM")</f>
        <v>March</v>
      </c>
      <c r="E928" s="22" t="s">
        <v>16</v>
      </c>
      <c r="F928" s="22" t="s">
        <v>111</v>
      </c>
      <c r="G928" s="22" t="s">
        <v>105</v>
      </c>
      <c r="H928" s="22" t="s">
        <v>29</v>
      </c>
      <c r="I928" s="22" t="s">
        <v>30</v>
      </c>
      <c r="J928" s="22" t="s">
        <v>31</v>
      </c>
      <c r="K928" s="22" t="s">
        <v>85</v>
      </c>
      <c r="L928" s="22" t="s">
        <v>57</v>
      </c>
      <c r="M928" s="22" t="s">
        <v>34</v>
      </c>
      <c r="N928" s="22">
        <v>17</v>
      </c>
      <c r="O928" s="26">
        <v>43500</v>
      </c>
      <c r="P928" s="22">
        <v>0.2</v>
      </c>
      <c r="Q928" s="30">
        <v>29520</v>
      </c>
      <c r="R928" s="33">
        <f>Table1_1[[#This Row],[Units Sold]]*Table1_1[[#This Row],[Unit Price]]*1-Table1_1[[#This Row],[Discount]]</f>
        <v>739499.8</v>
      </c>
      <c r="S928" s="33">
        <f>Table1_1[[#This Row],[Units Sold]]*Table1_1[[#This Row],[Unit Cost]]</f>
        <v>501840</v>
      </c>
      <c r="T928" s="33">
        <f>Table1_1[[#This Row],[Sales Amount]]-S928</f>
        <v>237659.80000000005</v>
      </c>
      <c r="U928" s="32">
        <f>IFERROR(Table1_1[[#This Row],[Profit/loss]]/Table1_1[[#This Row],[Sales Amount]],0)</f>
        <v>0.32137912680977065</v>
      </c>
    </row>
    <row r="929" spans="1:21" ht="18" x14ac:dyDescent="0.35">
      <c r="A929" s="21" t="s">
        <v>1036</v>
      </c>
      <c r="B929" s="36">
        <v>45741</v>
      </c>
      <c r="C929" s="22">
        <f>YEAR(Table1_1[[#This Row],[Order Date]])</f>
        <v>2025</v>
      </c>
      <c r="D929" s="22" t="str">
        <f>TEXT(Table1_1[[#This Row],[Order Date]],"MMMM")</f>
        <v>March</v>
      </c>
      <c r="E929" s="22" t="s">
        <v>36</v>
      </c>
      <c r="F929" s="22" t="s">
        <v>44</v>
      </c>
      <c r="G929" s="22" t="s">
        <v>101</v>
      </c>
      <c r="H929" s="22" t="s">
        <v>39</v>
      </c>
      <c r="I929" s="22" t="s">
        <v>20</v>
      </c>
      <c r="J929" s="22" t="s">
        <v>45</v>
      </c>
      <c r="K929" s="22" t="s">
        <v>1622</v>
      </c>
      <c r="L929" s="22" t="s">
        <v>23</v>
      </c>
      <c r="M929" s="22" t="s">
        <v>34</v>
      </c>
      <c r="N929" s="22">
        <v>27</v>
      </c>
      <c r="O929" s="26">
        <v>1599</v>
      </c>
      <c r="P929" s="22">
        <v>0.2</v>
      </c>
      <c r="Q929" s="30">
        <v>920</v>
      </c>
      <c r="R929" s="33">
        <f>Table1_1[[#This Row],[Units Sold]]*Table1_1[[#This Row],[Unit Price]]*1-Table1_1[[#This Row],[Discount]]</f>
        <v>43172.800000000003</v>
      </c>
      <c r="S929" s="33">
        <f>Table1_1[[#This Row],[Units Sold]]*Table1_1[[#This Row],[Unit Cost]]</f>
        <v>24840</v>
      </c>
      <c r="T929" s="33">
        <f>Table1_1[[#This Row],[Sales Amount]]-S929</f>
        <v>18332.800000000003</v>
      </c>
      <c r="U929" s="32">
        <f>IFERROR(Table1_1[[#This Row],[Profit/loss]]/Table1_1[[#This Row],[Sales Amount]],0)</f>
        <v>0.42463773487010342</v>
      </c>
    </row>
    <row r="930" spans="1:21" ht="18" x14ac:dyDescent="0.35">
      <c r="A930" s="21" t="s">
        <v>1037</v>
      </c>
      <c r="B930" s="36">
        <v>45741</v>
      </c>
      <c r="C930" s="22">
        <f>YEAR(Table1_1[[#This Row],[Order Date]])</f>
        <v>2025</v>
      </c>
      <c r="D930" s="22" t="str">
        <f>TEXT(Table1_1[[#This Row],[Order Date]],"MMMM")</f>
        <v>March</v>
      </c>
      <c r="E930" s="22" t="s">
        <v>48</v>
      </c>
      <c r="F930" s="22" t="s">
        <v>93</v>
      </c>
      <c r="G930" s="22" t="s">
        <v>101</v>
      </c>
      <c r="H930" s="22" t="s">
        <v>39</v>
      </c>
      <c r="I930" s="22" t="s">
        <v>20</v>
      </c>
      <c r="J930" s="22" t="s">
        <v>45</v>
      </c>
      <c r="K930" s="22" t="s">
        <v>196</v>
      </c>
      <c r="L930" s="22" t="s">
        <v>23</v>
      </c>
      <c r="M930" s="22" t="s">
        <v>78</v>
      </c>
      <c r="N930" s="22">
        <v>34</v>
      </c>
      <c r="O930" s="26">
        <v>2499</v>
      </c>
      <c r="P930" s="22">
        <v>0.1</v>
      </c>
      <c r="Q930" s="30">
        <v>1510</v>
      </c>
      <c r="R930" s="33">
        <f>Table1_1[[#This Row],[Units Sold]]*Table1_1[[#This Row],[Unit Price]]*1-Table1_1[[#This Row],[Discount]]</f>
        <v>84965.9</v>
      </c>
      <c r="S930" s="33">
        <f>Table1_1[[#This Row],[Units Sold]]*Table1_1[[#This Row],[Unit Cost]]</f>
        <v>51340</v>
      </c>
      <c r="T930" s="33">
        <f>Table1_1[[#This Row],[Sales Amount]]-S930</f>
        <v>33625.899999999994</v>
      </c>
      <c r="U930" s="32">
        <f>IFERROR(Table1_1[[#This Row],[Profit/loss]]/Table1_1[[#This Row],[Sales Amount]],0)</f>
        <v>0.39575759216344436</v>
      </c>
    </row>
    <row r="931" spans="1:21" ht="18" x14ac:dyDescent="0.35">
      <c r="A931" s="21" t="s">
        <v>1038</v>
      </c>
      <c r="B931" s="36">
        <v>45741</v>
      </c>
      <c r="C931" s="22">
        <f>YEAR(Table1_1[[#This Row],[Order Date]])</f>
        <v>2025</v>
      </c>
      <c r="D931" s="22" t="str">
        <f>TEXT(Table1_1[[#This Row],[Order Date]],"MMMM")</f>
        <v>March</v>
      </c>
      <c r="E931" s="22" t="s">
        <v>26</v>
      </c>
      <c r="F931" s="22" t="s">
        <v>53</v>
      </c>
      <c r="G931" s="22" t="s">
        <v>60</v>
      </c>
      <c r="H931" s="22" t="s">
        <v>39</v>
      </c>
      <c r="I931" s="22" t="s">
        <v>54</v>
      </c>
      <c r="J931" s="22" t="s">
        <v>129</v>
      </c>
      <c r="K931" s="22" t="s">
        <v>130</v>
      </c>
      <c r="L931" s="22" t="s">
        <v>33</v>
      </c>
      <c r="M931" s="22" t="s">
        <v>24</v>
      </c>
      <c r="N931" s="22">
        <v>8</v>
      </c>
      <c r="O931" s="26">
        <v>27890</v>
      </c>
      <c r="P931" s="22">
        <v>0.2</v>
      </c>
      <c r="Q931" s="30">
        <v>18800</v>
      </c>
      <c r="R931" s="33">
        <f>Table1_1[[#This Row],[Units Sold]]*Table1_1[[#This Row],[Unit Price]]*1-Table1_1[[#This Row],[Discount]]</f>
        <v>223119.8</v>
      </c>
      <c r="S931" s="33">
        <f>Table1_1[[#This Row],[Units Sold]]*Table1_1[[#This Row],[Unit Cost]]</f>
        <v>150400</v>
      </c>
      <c r="T931" s="33">
        <f>Table1_1[[#This Row],[Sales Amount]]-S931</f>
        <v>72719.799999999988</v>
      </c>
      <c r="U931" s="32">
        <f>IFERROR(Table1_1[[#This Row],[Profit/loss]]/Table1_1[[#This Row],[Sales Amount]],0)</f>
        <v>0.32592266576072582</v>
      </c>
    </row>
    <row r="932" spans="1:21" ht="18" x14ac:dyDescent="0.35">
      <c r="A932" s="21" t="s">
        <v>1039</v>
      </c>
      <c r="B932" s="36">
        <v>45742</v>
      </c>
      <c r="C932" s="22">
        <f>YEAR(Table1_1[[#This Row],[Order Date]])</f>
        <v>2025</v>
      </c>
      <c r="D932" s="22" t="str">
        <f>TEXT(Table1_1[[#This Row],[Order Date]],"MMMM")</f>
        <v>March</v>
      </c>
      <c r="E932" s="22" t="s">
        <v>16</v>
      </c>
      <c r="F932" s="22" t="s">
        <v>98</v>
      </c>
      <c r="G932" s="22" t="s">
        <v>101</v>
      </c>
      <c r="H932" s="22" t="s">
        <v>19</v>
      </c>
      <c r="I932" s="22" t="s">
        <v>30</v>
      </c>
      <c r="J932" s="22" t="s">
        <v>61</v>
      </c>
      <c r="K932" s="22" t="s">
        <v>62</v>
      </c>
      <c r="L932" s="22" t="s">
        <v>33</v>
      </c>
      <c r="M932" s="22" t="s">
        <v>24</v>
      </c>
      <c r="N932" s="22">
        <v>16</v>
      </c>
      <c r="O932" s="26">
        <v>12490</v>
      </c>
      <c r="P932" s="22">
        <v>0.05</v>
      </c>
      <c r="Q932" s="30">
        <v>7900</v>
      </c>
      <c r="R932" s="33">
        <f>Table1_1[[#This Row],[Units Sold]]*Table1_1[[#This Row],[Unit Price]]*1-Table1_1[[#This Row],[Discount]]</f>
        <v>199839.95</v>
      </c>
      <c r="S932" s="33">
        <f>Table1_1[[#This Row],[Units Sold]]*Table1_1[[#This Row],[Unit Cost]]</f>
        <v>126400</v>
      </c>
      <c r="T932" s="33">
        <f>Table1_1[[#This Row],[Sales Amount]]-S932</f>
        <v>73439.950000000012</v>
      </c>
      <c r="U932" s="32">
        <f>IFERROR(Table1_1[[#This Row],[Profit/loss]]/Table1_1[[#This Row],[Sales Amount]],0)</f>
        <v>0.36749383694301369</v>
      </c>
    </row>
    <row r="933" spans="1:21" ht="18" x14ac:dyDescent="0.35">
      <c r="A933" s="21" t="s">
        <v>1040</v>
      </c>
      <c r="B933" s="36">
        <v>45742</v>
      </c>
      <c r="C933" s="22">
        <f>YEAR(Table1_1[[#This Row],[Order Date]])</f>
        <v>2025</v>
      </c>
      <c r="D933" s="22" t="str">
        <f>TEXT(Table1_1[[#This Row],[Order Date]],"MMMM")</f>
        <v>March</v>
      </c>
      <c r="E933" s="22" t="s">
        <v>48</v>
      </c>
      <c r="F933" s="22" t="s">
        <v>68</v>
      </c>
      <c r="G933" s="22" t="s">
        <v>60</v>
      </c>
      <c r="H933" s="22" t="s">
        <v>29</v>
      </c>
      <c r="I933" s="22" t="s">
        <v>30</v>
      </c>
      <c r="J933" s="22" t="s">
        <v>31</v>
      </c>
      <c r="K933" s="22" t="s">
        <v>85</v>
      </c>
      <c r="L933" s="22" t="s">
        <v>23</v>
      </c>
      <c r="M933" s="22" t="s">
        <v>34</v>
      </c>
      <c r="N933" s="22">
        <v>8</v>
      </c>
      <c r="O933" s="26">
        <v>43500</v>
      </c>
      <c r="P933" s="22">
        <v>0.05</v>
      </c>
      <c r="Q933" s="30">
        <v>29520</v>
      </c>
      <c r="R933" s="33">
        <f>Table1_1[[#This Row],[Units Sold]]*Table1_1[[#This Row],[Unit Price]]*1-Table1_1[[#This Row],[Discount]]</f>
        <v>347999.95</v>
      </c>
      <c r="S933" s="33">
        <f>Table1_1[[#This Row],[Units Sold]]*Table1_1[[#This Row],[Unit Cost]]</f>
        <v>236160</v>
      </c>
      <c r="T933" s="33">
        <f>Table1_1[[#This Row],[Sales Amount]]-S933</f>
        <v>111839.95000000001</v>
      </c>
      <c r="U933" s="32">
        <f>IFERROR(Table1_1[[#This Row],[Profit/loss]]/Table1_1[[#This Row],[Sales Amount]],0)</f>
        <v>0.32137921284184096</v>
      </c>
    </row>
    <row r="934" spans="1:21" ht="18" x14ac:dyDescent="0.35">
      <c r="A934" s="21" t="s">
        <v>1041</v>
      </c>
      <c r="B934" s="36">
        <v>45743</v>
      </c>
      <c r="C934" s="22">
        <f>YEAR(Table1_1[[#This Row],[Order Date]])</f>
        <v>2025</v>
      </c>
      <c r="D934" s="22" t="str">
        <f>TEXT(Table1_1[[#This Row],[Order Date]],"MMMM")</f>
        <v>March</v>
      </c>
      <c r="E934" s="22" t="s">
        <v>16</v>
      </c>
      <c r="F934" s="22" t="s">
        <v>17</v>
      </c>
      <c r="G934" s="22" t="s">
        <v>38</v>
      </c>
      <c r="H934" s="22" t="s">
        <v>39</v>
      </c>
      <c r="I934" s="22" t="s">
        <v>20</v>
      </c>
      <c r="J934" s="22" t="s">
        <v>21</v>
      </c>
      <c r="K934" s="22" t="s">
        <v>22</v>
      </c>
      <c r="L934" s="22" t="s">
        <v>33</v>
      </c>
      <c r="M934" s="22" t="s">
        <v>34</v>
      </c>
      <c r="N934" s="22">
        <v>40</v>
      </c>
      <c r="O934" s="26">
        <v>4499</v>
      </c>
      <c r="P934" s="22">
        <v>0.05</v>
      </c>
      <c r="Q934" s="30">
        <v>2910</v>
      </c>
      <c r="R934" s="33">
        <f>Table1_1[[#This Row],[Units Sold]]*Table1_1[[#This Row],[Unit Price]]*1-Table1_1[[#This Row],[Discount]]</f>
        <v>179959.95</v>
      </c>
      <c r="S934" s="33">
        <f>Table1_1[[#This Row],[Units Sold]]*Table1_1[[#This Row],[Unit Cost]]</f>
        <v>116400</v>
      </c>
      <c r="T934" s="33">
        <f>Table1_1[[#This Row],[Sales Amount]]-S934</f>
        <v>63559.950000000012</v>
      </c>
      <c r="U934" s="32">
        <f>IFERROR(Table1_1[[#This Row],[Profit/loss]]/Table1_1[[#This Row],[Sales Amount]],0)</f>
        <v>0.35318941797883369</v>
      </c>
    </row>
    <row r="935" spans="1:21" ht="18" x14ac:dyDescent="0.35">
      <c r="A935" s="21" t="s">
        <v>1042</v>
      </c>
      <c r="B935" s="36">
        <v>45744</v>
      </c>
      <c r="C935" s="22">
        <f>YEAR(Table1_1[[#This Row],[Order Date]])</f>
        <v>2025</v>
      </c>
      <c r="D935" s="22" t="str">
        <f>TEXT(Table1_1[[#This Row],[Order Date]],"MMMM")</f>
        <v>March</v>
      </c>
      <c r="E935" s="22" t="s">
        <v>48</v>
      </c>
      <c r="F935" s="22" t="s">
        <v>68</v>
      </c>
      <c r="G935" s="22" t="s">
        <v>101</v>
      </c>
      <c r="H935" s="22" t="s">
        <v>29</v>
      </c>
      <c r="I935" s="22" t="s">
        <v>20</v>
      </c>
      <c r="J935" s="22" t="s">
        <v>45</v>
      </c>
      <c r="K935" s="22" t="s">
        <v>1618</v>
      </c>
      <c r="L935" s="22" t="s">
        <v>23</v>
      </c>
      <c r="M935" s="22" t="s">
        <v>34</v>
      </c>
      <c r="N935" s="22">
        <v>28</v>
      </c>
      <c r="O935" s="26">
        <v>1899</v>
      </c>
      <c r="P935" s="22">
        <v>0.15</v>
      </c>
      <c r="Q935" s="30">
        <v>1080</v>
      </c>
      <c r="R935" s="33">
        <f>Table1_1[[#This Row],[Units Sold]]*Table1_1[[#This Row],[Unit Price]]*1-Table1_1[[#This Row],[Discount]]</f>
        <v>53171.85</v>
      </c>
      <c r="S935" s="33">
        <f>Table1_1[[#This Row],[Units Sold]]*Table1_1[[#This Row],[Unit Cost]]</f>
        <v>30240</v>
      </c>
      <c r="T935" s="33">
        <f>Table1_1[[#This Row],[Sales Amount]]-S935</f>
        <v>22931.85</v>
      </c>
      <c r="U935" s="32">
        <f>IFERROR(Table1_1[[#This Row],[Profit/loss]]/Table1_1[[#This Row],[Sales Amount]],0)</f>
        <v>0.43127801646924074</v>
      </c>
    </row>
    <row r="936" spans="1:21" ht="18" x14ac:dyDescent="0.35">
      <c r="A936" s="21" t="s">
        <v>1043</v>
      </c>
      <c r="B936" s="36">
        <v>45745</v>
      </c>
      <c r="C936" s="22">
        <f>YEAR(Table1_1[[#This Row],[Order Date]])</f>
        <v>2025</v>
      </c>
      <c r="D936" s="22" t="str">
        <f>TEXT(Table1_1[[#This Row],[Order Date]],"MMMM")</f>
        <v>March</v>
      </c>
      <c r="E936" s="22" t="s">
        <v>82</v>
      </c>
      <c r="F936" s="22" t="s">
        <v>100</v>
      </c>
      <c r="G936" s="22" t="s">
        <v>75</v>
      </c>
      <c r="H936" s="22" t="s">
        <v>19</v>
      </c>
      <c r="I936" s="22" t="s">
        <v>20</v>
      </c>
      <c r="J936" s="22" t="s">
        <v>21</v>
      </c>
      <c r="K936" s="22" t="s">
        <v>51</v>
      </c>
      <c r="L936" s="22" t="s">
        <v>57</v>
      </c>
      <c r="M936" s="22" t="s">
        <v>24</v>
      </c>
      <c r="N936" s="22">
        <v>8</v>
      </c>
      <c r="O936" s="26">
        <v>5999</v>
      </c>
      <c r="P936" s="22">
        <v>0.12</v>
      </c>
      <c r="Q936" s="30">
        <v>3890</v>
      </c>
      <c r="R936" s="33">
        <f>Table1_1[[#This Row],[Units Sold]]*Table1_1[[#This Row],[Unit Price]]*1-Table1_1[[#This Row],[Discount]]</f>
        <v>47991.88</v>
      </c>
      <c r="S936" s="33">
        <f>Table1_1[[#This Row],[Units Sold]]*Table1_1[[#This Row],[Unit Cost]]</f>
        <v>31120</v>
      </c>
      <c r="T936" s="33">
        <f>Table1_1[[#This Row],[Sales Amount]]-S936</f>
        <v>16871.879999999997</v>
      </c>
      <c r="U936" s="32">
        <f>IFERROR(Table1_1[[#This Row],[Profit/loss]]/Table1_1[[#This Row],[Sales Amount]],0)</f>
        <v>0.35155697172104944</v>
      </c>
    </row>
    <row r="937" spans="1:21" ht="18" x14ac:dyDescent="0.35">
      <c r="A937" s="21" t="s">
        <v>1044</v>
      </c>
      <c r="B937" s="36">
        <v>45746</v>
      </c>
      <c r="C937" s="22">
        <f>YEAR(Table1_1[[#This Row],[Order Date]])</f>
        <v>2025</v>
      </c>
      <c r="D937" s="22" t="str">
        <f>TEXT(Table1_1[[#This Row],[Order Date]],"MMMM")</f>
        <v>March</v>
      </c>
      <c r="E937" s="22" t="s">
        <v>16</v>
      </c>
      <c r="F937" s="22" t="s">
        <v>126</v>
      </c>
      <c r="G937" s="22" t="s">
        <v>75</v>
      </c>
      <c r="H937" s="22" t="s">
        <v>19</v>
      </c>
      <c r="I937" s="22" t="s">
        <v>40</v>
      </c>
      <c r="J937" s="22" t="s">
        <v>41</v>
      </c>
      <c r="K937" s="22" t="s">
        <v>1628</v>
      </c>
      <c r="L937" s="22" t="s">
        <v>23</v>
      </c>
      <c r="M937" s="22" t="s">
        <v>24</v>
      </c>
      <c r="N937" s="22">
        <v>39</v>
      </c>
      <c r="O937" s="26">
        <v>48500</v>
      </c>
      <c r="P937" s="22">
        <v>0.2</v>
      </c>
      <c r="Q937" s="30">
        <v>30200</v>
      </c>
      <c r="R937" s="33">
        <f>Table1_1[[#This Row],[Units Sold]]*Table1_1[[#This Row],[Unit Price]]*1-Table1_1[[#This Row],[Discount]]</f>
        <v>1891499.8</v>
      </c>
      <c r="S937" s="33">
        <f>Table1_1[[#This Row],[Units Sold]]*Table1_1[[#This Row],[Unit Cost]]</f>
        <v>1177800</v>
      </c>
      <c r="T937" s="33">
        <f>Table1_1[[#This Row],[Sales Amount]]-S937</f>
        <v>713699.8</v>
      </c>
      <c r="U937" s="32">
        <f>IFERROR(Table1_1[[#This Row],[Profit/loss]]/Table1_1[[#This Row],[Sales Amount]],0)</f>
        <v>0.37731952178900574</v>
      </c>
    </row>
    <row r="938" spans="1:21" ht="18" x14ac:dyDescent="0.35">
      <c r="A938" s="21" t="s">
        <v>1045</v>
      </c>
      <c r="B938" s="36">
        <v>45746</v>
      </c>
      <c r="C938" s="22">
        <f>YEAR(Table1_1[[#This Row],[Order Date]])</f>
        <v>2025</v>
      </c>
      <c r="D938" s="22" t="str">
        <f>TEXT(Table1_1[[#This Row],[Order Date]],"MMMM")</f>
        <v>March</v>
      </c>
      <c r="E938" s="22" t="s">
        <v>16</v>
      </c>
      <c r="F938" s="22" t="s">
        <v>111</v>
      </c>
      <c r="G938" s="22" t="s">
        <v>75</v>
      </c>
      <c r="H938" s="22" t="s">
        <v>39</v>
      </c>
      <c r="I938" s="22" t="s">
        <v>40</v>
      </c>
      <c r="J938" s="22" t="s">
        <v>64</v>
      </c>
      <c r="K938" s="22" t="s">
        <v>1629</v>
      </c>
      <c r="L938" s="22" t="s">
        <v>23</v>
      </c>
      <c r="M938" s="22" t="s">
        <v>66</v>
      </c>
      <c r="N938" s="22">
        <v>30</v>
      </c>
      <c r="O938" s="26">
        <v>3299</v>
      </c>
      <c r="P938" s="22">
        <v>0.12</v>
      </c>
      <c r="Q938" s="30">
        <v>2050</v>
      </c>
      <c r="R938" s="33">
        <f>Table1_1[[#This Row],[Units Sold]]*Table1_1[[#This Row],[Unit Price]]*1-Table1_1[[#This Row],[Discount]]</f>
        <v>98969.88</v>
      </c>
      <c r="S938" s="33">
        <f>Table1_1[[#This Row],[Units Sold]]*Table1_1[[#This Row],[Unit Cost]]</f>
        <v>61500</v>
      </c>
      <c r="T938" s="33">
        <f>Table1_1[[#This Row],[Sales Amount]]-S938</f>
        <v>37469.880000000005</v>
      </c>
      <c r="U938" s="32">
        <f>IFERROR(Table1_1[[#This Row],[Profit/loss]]/Table1_1[[#This Row],[Sales Amount]],0)</f>
        <v>0.37859882218711394</v>
      </c>
    </row>
    <row r="939" spans="1:21" ht="18" x14ac:dyDescent="0.35">
      <c r="A939" s="21" t="s">
        <v>1046</v>
      </c>
      <c r="B939" s="36">
        <v>45746</v>
      </c>
      <c r="C939" s="22">
        <f>YEAR(Table1_1[[#This Row],[Order Date]])</f>
        <v>2025</v>
      </c>
      <c r="D939" s="22" t="str">
        <f>TEXT(Table1_1[[#This Row],[Order Date]],"MMMM")</f>
        <v>March</v>
      </c>
      <c r="E939" s="22" t="s">
        <v>48</v>
      </c>
      <c r="F939" s="22" t="s">
        <v>68</v>
      </c>
      <c r="G939" s="22" t="s">
        <v>60</v>
      </c>
      <c r="H939" s="22" t="s">
        <v>19</v>
      </c>
      <c r="I939" s="22" t="s">
        <v>20</v>
      </c>
      <c r="J939" s="22" t="s">
        <v>45</v>
      </c>
      <c r="K939" s="22" t="s">
        <v>1618</v>
      </c>
      <c r="L939" s="22" t="s">
        <v>57</v>
      </c>
      <c r="M939" s="22" t="s">
        <v>24</v>
      </c>
      <c r="N939" s="22">
        <v>10</v>
      </c>
      <c r="O939" s="26">
        <v>1899</v>
      </c>
      <c r="P939" s="22">
        <v>0.08</v>
      </c>
      <c r="Q939" s="30">
        <v>1080</v>
      </c>
      <c r="R939" s="33">
        <f>Table1_1[[#This Row],[Units Sold]]*Table1_1[[#This Row],[Unit Price]]*1-Table1_1[[#This Row],[Discount]]</f>
        <v>18989.919999999998</v>
      </c>
      <c r="S939" s="33">
        <f>Table1_1[[#This Row],[Units Sold]]*Table1_1[[#This Row],[Unit Cost]]</f>
        <v>10800</v>
      </c>
      <c r="T939" s="33">
        <f>Table1_1[[#This Row],[Sales Amount]]-S939</f>
        <v>8189.9199999999983</v>
      </c>
      <c r="U939" s="32">
        <f>IFERROR(Table1_1[[#This Row],[Profit/loss]]/Table1_1[[#This Row],[Sales Amount]],0)</f>
        <v>0.43127722496987869</v>
      </c>
    </row>
    <row r="940" spans="1:21" ht="18" x14ac:dyDescent="0.35">
      <c r="A940" s="21" t="s">
        <v>1047</v>
      </c>
      <c r="B940" s="36">
        <v>45747</v>
      </c>
      <c r="C940" s="22">
        <f>YEAR(Table1_1[[#This Row],[Order Date]])</f>
        <v>2025</v>
      </c>
      <c r="D940" s="22" t="str">
        <f>TEXT(Table1_1[[#This Row],[Order Date]],"MMMM")</f>
        <v>March</v>
      </c>
      <c r="E940" s="22" t="s">
        <v>36</v>
      </c>
      <c r="F940" s="22" t="s">
        <v>44</v>
      </c>
      <c r="G940" s="22" t="s">
        <v>60</v>
      </c>
      <c r="H940" s="22" t="s">
        <v>39</v>
      </c>
      <c r="I940" s="22" t="s">
        <v>54</v>
      </c>
      <c r="J940" s="22" t="s">
        <v>129</v>
      </c>
      <c r="K940" s="22" t="s">
        <v>130</v>
      </c>
      <c r="L940" s="22" t="s">
        <v>23</v>
      </c>
      <c r="M940" s="22" t="s">
        <v>66</v>
      </c>
      <c r="N940" s="22">
        <v>39</v>
      </c>
      <c r="O940" s="26">
        <v>27890</v>
      </c>
      <c r="P940" s="22">
        <v>0.15</v>
      </c>
      <c r="Q940" s="30">
        <v>18800</v>
      </c>
      <c r="R940" s="33">
        <f>Table1_1[[#This Row],[Units Sold]]*Table1_1[[#This Row],[Unit Price]]*1-Table1_1[[#This Row],[Discount]]</f>
        <v>1087709.8500000001</v>
      </c>
      <c r="S940" s="33">
        <f>Table1_1[[#This Row],[Units Sold]]*Table1_1[[#This Row],[Unit Cost]]</f>
        <v>733200</v>
      </c>
      <c r="T940" s="33">
        <f>Table1_1[[#This Row],[Sales Amount]]-S940</f>
        <v>354509.85000000009</v>
      </c>
      <c r="U940" s="32">
        <f>IFERROR(Table1_1[[#This Row],[Profit/loss]]/Table1_1[[#This Row],[Sales Amount]],0)</f>
        <v>0.32592317703108054</v>
      </c>
    </row>
    <row r="941" spans="1:21" ht="18" x14ac:dyDescent="0.35">
      <c r="A941" s="21" t="s">
        <v>1048</v>
      </c>
      <c r="B941" s="36">
        <v>45747</v>
      </c>
      <c r="C941" s="22">
        <f>YEAR(Table1_1[[#This Row],[Order Date]])</f>
        <v>2025</v>
      </c>
      <c r="D941" s="22" t="str">
        <f>TEXT(Table1_1[[#This Row],[Order Date]],"MMMM")</f>
        <v>March</v>
      </c>
      <c r="E941" s="22" t="s">
        <v>36</v>
      </c>
      <c r="F941" s="22" t="s">
        <v>37</v>
      </c>
      <c r="G941" s="22" t="s">
        <v>84</v>
      </c>
      <c r="H941" s="22" t="s">
        <v>19</v>
      </c>
      <c r="I941" s="22" t="s">
        <v>20</v>
      </c>
      <c r="J941" s="22" t="s">
        <v>45</v>
      </c>
      <c r="K941" s="22" t="s">
        <v>196</v>
      </c>
      <c r="L941" s="22" t="s">
        <v>23</v>
      </c>
      <c r="M941" s="22" t="s">
        <v>24</v>
      </c>
      <c r="N941" s="22">
        <v>26</v>
      </c>
      <c r="O941" s="26">
        <v>2499</v>
      </c>
      <c r="P941" s="22">
        <v>0.15</v>
      </c>
      <c r="Q941" s="30">
        <v>1510</v>
      </c>
      <c r="R941" s="33">
        <f>Table1_1[[#This Row],[Units Sold]]*Table1_1[[#This Row],[Unit Price]]*1-Table1_1[[#This Row],[Discount]]</f>
        <v>64973.85</v>
      </c>
      <c r="S941" s="33">
        <f>Table1_1[[#This Row],[Units Sold]]*Table1_1[[#This Row],[Unit Cost]]</f>
        <v>39260</v>
      </c>
      <c r="T941" s="33">
        <f>Table1_1[[#This Row],[Sales Amount]]-S941</f>
        <v>25713.85</v>
      </c>
      <c r="U941" s="32">
        <f>IFERROR(Table1_1[[#This Row],[Profit/loss]]/Table1_1[[#This Row],[Sales Amount]],0)</f>
        <v>0.39575690835620791</v>
      </c>
    </row>
    <row r="942" spans="1:21" ht="18" x14ac:dyDescent="0.35">
      <c r="A942" s="21" t="s">
        <v>1049</v>
      </c>
      <c r="B942" s="36">
        <v>45747</v>
      </c>
      <c r="C942" s="22">
        <f>YEAR(Table1_1[[#This Row],[Order Date]])</f>
        <v>2025</v>
      </c>
      <c r="D942" s="22" t="str">
        <f>TEXT(Table1_1[[#This Row],[Order Date]],"MMMM")</f>
        <v>March</v>
      </c>
      <c r="E942" s="22" t="s">
        <v>36</v>
      </c>
      <c r="F942" s="22" t="s">
        <v>121</v>
      </c>
      <c r="G942" s="22" t="s">
        <v>101</v>
      </c>
      <c r="H942" s="22" t="s">
        <v>29</v>
      </c>
      <c r="I942" s="22" t="s">
        <v>70</v>
      </c>
      <c r="J942" s="22" t="s">
        <v>71</v>
      </c>
      <c r="K942" s="22" t="s">
        <v>88</v>
      </c>
      <c r="L942" s="22" t="s">
        <v>23</v>
      </c>
      <c r="M942" s="22" t="s">
        <v>34</v>
      </c>
      <c r="N942" s="22">
        <v>9</v>
      </c>
      <c r="O942" s="26">
        <v>999</v>
      </c>
      <c r="P942" s="22">
        <v>0.1</v>
      </c>
      <c r="Q942" s="30">
        <v>540</v>
      </c>
      <c r="R942" s="33">
        <f>Table1_1[[#This Row],[Units Sold]]*Table1_1[[#This Row],[Unit Price]]*1-Table1_1[[#This Row],[Discount]]</f>
        <v>8990.9</v>
      </c>
      <c r="S942" s="33">
        <f>Table1_1[[#This Row],[Units Sold]]*Table1_1[[#This Row],[Unit Cost]]</f>
        <v>4860</v>
      </c>
      <c r="T942" s="33">
        <f>Table1_1[[#This Row],[Sales Amount]]-S942</f>
        <v>4130.8999999999996</v>
      </c>
      <c r="U942" s="32">
        <f>IFERROR(Table1_1[[#This Row],[Profit/loss]]/Table1_1[[#This Row],[Sales Amount]],0)</f>
        <v>0.45945344737456761</v>
      </c>
    </row>
    <row r="943" spans="1:21" ht="18" x14ac:dyDescent="0.35">
      <c r="A943" s="21" t="s">
        <v>1050</v>
      </c>
      <c r="B943" s="36">
        <v>45747</v>
      </c>
      <c r="C943" s="22">
        <f>YEAR(Table1_1[[#This Row],[Order Date]])</f>
        <v>2025</v>
      </c>
      <c r="D943" s="22" t="str">
        <f>TEXT(Table1_1[[#This Row],[Order Date]],"MMMM")</f>
        <v>March</v>
      </c>
      <c r="E943" s="22" t="s">
        <v>26</v>
      </c>
      <c r="F943" s="22" t="s">
        <v>163</v>
      </c>
      <c r="G943" s="22" t="s">
        <v>18</v>
      </c>
      <c r="H943" s="22" t="s">
        <v>39</v>
      </c>
      <c r="I943" s="22" t="s">
        <v>70</v>
      </c>
      <c r="J943" s="22" t="s">
        <v>71</v>
      </c>
      <c r="K943" s="22" t="s">
        <v>88</v>
      </c>
      <c r="L943" s="22" t="s">
        <v>57</v>
      </c>
      <c r="M943" s="22" t="s">
        <v>24</v>
      </c>
      <c r="N943" s="22">
        <v>34</v>
      </c>
      <c r="O943" s="26">
        <v>999</v>
      </c>
      <c r="P943" s="22">
        <v>0.08</v>
      </c>
      <c r="Q943" s="30">
        <v>540</v>
      </c>
      <c r="R943" s="33">
        <f>Table1_1[[#This Row],[Units Sold]]*Table1_1[[#This Row],[Unit Price]]*1-Table1_1[[#This Row],[Discount]]</f>
        <v>33965.919999999998</v>
      </c>
      <c r="S943" s="33">
        <f>Table1_1[[#This Row],[Units Sold]]*Table1_1[[#This Row],[Unit Cost]]</f>
        <v>18360</v>
      </c>
      <c r="T943" s="33">
        <f>Table1_1[[#This Row],[Sales Amount]]-S943</f>
        <v>15605.919999999998</v>
      </c>
      <c r="U943" s="32">
        <f>IFERROR(Table1_1[[#This Row],[Profit/loss]]/Table1_1[[#This Row],[Sales Amount]],0)</f>
        <v>0.45945818632323221</v>
      </c>
    </row>
    <row r="944" spans="1:21" ht="18" x14ac:dyDescent="0.35">
      <c r="A944" s="21" t="s">
        <v>1051</v>
      </c>
      <c r="B944" s="36">
        <v>45748</v>
      </c>
      <c r="C944" s="22">
        <f>YEAR(Table1_1[[#This Row],[Order Date]])</f>
        <v>2025</v>
      </c>
      <c r="D944" s="22" t="str">
        <f>TEXT(Table1_1[[#This Row],[Order Date]],"MMMM")</f>
        <v>April</v>
      </c>
      <c r="E944" s="22" t="s">
        <v>48</v>
      </c>
      <c r="F944" s="22" t="s">
        <v>49</v>
      </c>
      <c r="G944" s="22" t="s">
        <v>84</v>
      </c>
      <c r="H944" s="22" t="s">
        <v>39</v>
      </c>
      <c r="I944" s="22" t="s">
        <v>20</v>
      </c>
      <c r="J944" s="22" t="s">
        <v>45</v>
      </c>
      <c r="K944" s="22" t="s">
        <v>196</v>
      </c>
      <c r="L944" s="22" t="s">
        <v>57</v>
      </c>
      <c r="M944" s="22" t="s">
        <v>66</v>
      </c>
      <c r="N944" s="22">
        <v>28</v>
      </c>
      <c r="O944" s="26">
        <v>2499</v>
      </c>
      <c r="P944" s="22">
        <v>0.08</v>
      </c>
      <c r="Q944" s="30">
        <v>1510</v>
      </c>
      <c r="R944" s="33">
        <f>Table1_1[[#This Row],[Units Sold]]*Table1_1[[#This Row],[Unit Price]]*1-Table1_1[[#This Row],[Discount]]</f>
        <v>69971.92</v>
      </c>
      <c r="S944" s="33">
        <f>Table1_1[[#This Row],[Units Sold]]*Table1_1[[#This Row],[Unit Cost]]</f>
        <v>42280</v>
      </c>
      <c r="T944" s="33">
        <f>Table1_1[[#This Row],[Sales Amount]]-S944</f>
        <v>27691.919999999998</v>
      </c>
      <c r="U944" s="32">
        <f>IFERROR(Table1_1[[#This Row],[Profit/loss]]/Table1_1[[#This Row],[Sales Amount]],0)</f>
        <v>0.39575761248226432</v>
      </c>
    </row>
    <row r="945" spans="1:21" ht="18" x14ac:dyDescent="0.35">
      <c r="A945" s="21" t="s">
        <v>1052</v>
      </c>
      <c r="B945" s="36">
        <v>45748</v>
      </c>
      <c r="C945" s="22">
        <f>YEAR(Table1_1[[#This Row],[Order Date]])</f>
        <v>2025</v>
      </c>
      <c r="D945" s="22" t="str">
        <f>TEXT(Table1_1[[#This Row],[Order Date]],"MMMM")</f>
        <v>April</v>
      </c>
      <c r="E945" s="22" t="s">
        <v>82</v>
      </c>
      <c r="F945" s="22" t="s">
        <v>100</v>
      </c>
      <c r="G945" s="22" t="s">
        <v>18</v>
      </c>
      <c r="H945" s="22" t="s">
        <v>39</v>
      </c>
      <c r="I945" s="22" t="s">
        <v>20</v>
      </c>
      <c r="J945" s="22" t="s">
        <v>21</v>
      </c>
      <c r="K945" s="22" t="s">
        <v>22</v>
      </c>
      <c r="L945" s="22" t="s">
        <v>57</v>
      </c>
      <c r="M945" s="22" t="s">
        <v>24</v>
      </c>
      <c r="N945" s="22">
        <v>20</v>
      </c>
      <c r="O945" s="26">
        <v>4499</v>
      </c>
      <c r="P945" s="22">
        <v>0.08</v>
      </c>
      <c r="Q945" s="30">
        <v>2910</v>
      </c>
      <c r="R945" s="33">
        <f>Table1_1[[#This Row],[Units Sold]]*Table1_1[[#This Row],[Unit Price]]*1-Table1_1[[#This Row],[Discount]]</f>
        <v>89979.92</v>
      </c>
      <c r="S945" s="33">
        <f>Table1_1[[#This Row],[Units Sold]]*Table1_1[[#This Row],[Unit Cost]]</f>
        <v>58200</v>
      </c>
      <c r="T945" s="33">
        <f>Table1_1[[#This Row],[Sales Amount]]-S945</f>
        <v>31779.919999999998</v>
      </c>
      <c r="U945" s="32">
        <f>IFERROR(Table1_1[[#This Row],[Profit/loss]]/Table1_1[[#This Row],[Sales Amount]],0)</f>
        <v>0.35318902261749063</v>
      </c>
    </row>
    <row r="946" spans="1:21" ht="18" x14ac:dyDescent="0.35">
      <c r="A946" s="21" t="s">
        <v>1053</v>
      </c>
      <c r="B946" s="36">
        <v>45749</v>
      </c>
      <c r="C946" s="22">
        <f>YEAR(Table1_1[[#This Row],[Order Date]])</f>
        <v>2025</v>
      </c>
      <c r="D946" s="22" t="str">
        <f>TEXT(Table1_1[[#This Row],[Order Date]],"MMMM")</f>
        <v>April</v>
      </c>
      <c r="E946" s="22" t="s">
        <v>26</v>
      </c>
      <c r="F946" s="22" t="s">
        <v>163</v>
      </c>
      <c r="G946" s="22" t="s">
        <v>75</v>
      </c>
      <c r="H946" s="22" t="s">
        <v>39</v>
      </c>
      <c r="I946" s="22" t="s">
        <v>70</v>
      </c>
      <c r="J946" s="22" t="s">
        <v>71</v>
      </c>
      <c r="K946" s="22" t="s">
        <v>72</v>
      </c>
      <c r="L946" s="22" t="s">
        <v>57</v>
      </c>
      <c r="M946" s="22" t="s">
        <v>34</v>
      </c>
      <c r="N946" s="22">
        <v>21</v>
      </c>
      <c r="O946" s="26">
        <v>3499</v>
      </c>
      <c r="P946" s="22">
        <v>0.2</v>
      </c>
      <c r="Q946" s="30">
        <v>2190</v>
      </c>
      <c r="R946" s="33">
        <f>Table1_1[[#This Row],[Units Sold]]*Table1_1[[#This Row],[Unit Price]]*1-Table1_1[[#This Row],[Discount]]</f>
        <v>73478.8</v>
      </c>
      <c r="S946" s="33">
        <f>Table1_1[[#This Row],[Units Sold]]*Table1_1[[#This Row],[Unit Cost]]</f>
        <v>45990</v>
      </c>
      <c r="T946" s="33">
        <f>Table1_1[[#This Row],[Sales Amount]]-S946</f>
        <v>27488.800000000003</v>
      </c>
      <c r="U946" s="32">
        <f>IFERROR(Table1_1[[#This Row],[Profit/loss]]/Table1_1[[#This Row],[Sales Amount]],0)</f>
        <v>0.37410518408030619</v>
      </c>
    </row>
    <row r="947" spans="1:21" ht="18" x14ac:dyDescent="0.35">
      <c r="A947" s="21" t="s">
        <v>1054</v>
      </c>
      <c r="B947" s="36">
        <v>45749</v>
      </c>
      <c r="C947" s="22">
        <f>YEAR(Table1_1[[#This Row],[Order Date]])</f>
        <v>2025</v>
      </c>
      <c r="D947" s="22" t="str">
        <f>TEXT(Table1_1[[#This Row],[Order Date]],"MMMM")</f>
        <v>April</v>
      </c>
      <c r="E947" s="22" t="s">
        <v>16</v>
      </c>
      <c r="F947" s="22" t="s">
        <v>126</v>
      </c>
      <c r="G947" s="22" t="s">
        <v>105</v>
      </c>
      <c r="H947" s="22" t="s">
        <v>39</v>
      </c>
      <c r="I947" s="22" t="s">
        <v>20</v>
      </c>
      <c r="J947" s="22" t="s">
        <v>21</v>
      </c>
      <c r="K947" s="22" t="s">
        <v>22</v>
      </c>
      <c r="L947" s="22" t="s">
        <v>23</v>
      </c>
      <c r="M947" s="22" t="s">
        <v>24</v>
      </c>
      <c r="N947" s="22">
        <v>25</v>
      </c>
      <c r="O947" s="26">
        <v>4499</v>
      </c>
      <c r="P947" s="22">
        <v>0.1</v>
      </c>
      <c r="Q947" s="30">
        <v>2910</v>
      </c>
      <c r="R947" s="33">
        <f>Table1_1[[#This Row],[Units Sold]]*Table1_1[[#This Row],[Unit Price]]*1-Table1_1[[#This Row],[Discount]]</f>
        <v>112474.9</v>
      </c>
      <c r="S947" s="33">
        <f>Table1_1[[#This Row],[Units Sold]]*Table1_1[[#This Row],[Unit Cost]]</f>
        <v>72750</v>
      </c>
      <c r="T947" s="33">
        <f>Table1_1[[#This Row],[Sales Amount]]-S947</f>
        <v>39724.899999999994</v>
      </c>
      <c r="U947" s="32">
        <f>IFERROR(Table1_1[[#This Row],[Profit/loss]]/Table1_1[[#This Row],[Sales Amount]],0)</f>
        <v>0.35318902261749063</v>
      </c>
    </row>
    <row r="948" spans="1:21" ht="18" x14ac:dyDescent="0.35">
      <c r="A948" s="21" t="s">
        <v>1055</v>
      </c>
      <c r="B948" s="36">
        <v>45749</v>
      </c>
      <c r="C948" s="22">
        <f>YEAR(Table1_1[[#This Row],[Order Date]])</f>
        <v>2025</v>
      </c>
      <c r="D948" s="22" t="str">
        <f>TEXT(Table1_1[[#This Row],[Order Date]],"MMMM")</f>
        <v>April</v>
      </c>
      <c r="E948" s="22" t="s">
        <v>82</v>
      </c>
      <c r="F948" s="22" t="s">
        <v>87</v>
      </c>
      <c r="G948" s="22" t="s">
        <v>60</v>
      </c>
      <c r="H948" s="22" t="s">
        <v>19</v>
      </c>
      <c r="I948" s="22" t="s">
        <v>30</v>
      </c>
      <c r="J948" s="22" t="s">
        <v>31</v>
      </c>
      <c r="K948" s="22" t="s">
        <v>106</v>
      </c>
      <c r="L948" s="22" t="s">
        <v>57</v>
      </c>
      <c r="M948" s="22" t="s">
        <v>24</v>
      </c>
      <c r="N948" s="22">
        <v>17</v>
      </c>
      <c r="O948" s="26">
        <v>52990</v>
      </c>
      <c r="P948" s="22">
        <v>0.12</v>
      </c>
      <c r="Q948" s="30">
        <v>35100</v>
      </c>
      <c r="R948" s="33">
        <f>Table1_1[[#This Row],[Units Sold]]*Table1_1[[#This Row],[Unit Price]]*1-Table1_1[[#This Row],[Discount]]</f>
        <v>900829.88</v>
      </c>
      <c r="S948" s="33">
        <f>Table1_1[[#This Row],[Units Sold]]*Table1_1[[#This Row],[Unit Cost]]</f>
        <v>596700</v>
      </c>
      <c r="T948" s="33">
        <f>Table1_1[[#This Row],[Sales Amount]]-S948</f>
        <v>304129.88</v>
      </c>
      <c r="U948" s="32">
        <f>IFERROR(Table1_1[[#This Row],[Profit/loss]]/Table1_1[[#This Row],[Sales Amount]],0)</f>
        <v>0.33761078173827891</v>
      </c>
    </row>
    <row r="949" spans="1:21" ht="18" x14ac:dyDescent="0.35">
      <c r="A949" s="21" t="s">
        <v>1056</v>
      </c>
      <c r="B949" s="36">
        <v>45750</v>
      </c>
      <c r="C949" s="22">
        <f>YEAR(Table1_1[[#This Row],[Order Date]])</f>
        <v>2025</v>
      </c>
      <c r="D949" s="22" t="str">
        <f>TEXT(Table1_1[[#This Row],[Order Date]],"MMMM")</f>
        <v>April</v>
      </c>
      <c r="E949" s="22" t="s">
        <v>48</v>
      </c>
      <c r="F949" s="22" t="s">
        <v>68</v>
      </c>
      <c r="G949" s="22" t="s">
        <v>84</v>
      </c>
      <c r="H949" s="22" t="s">
        <v>29</v>
      </c>
      <c r="I949" s="22" t="s">
        <v>70</v>
      </c>
      <c r="J949" s="22" t="s">
        <v>71</v>
      </c>
      <c r="K949" s="22" t="s">
        <v>80</v>
      </c>
      <c r="L949" s="22" t="s">
        <v>57</v>
      </c>
      <c r="M949" s="22" t="s">
        <v>78</v>
      </c>
      <c r="N949" s="22">
        <v>22</v>
      </c>
      <c r="O949" s="26">
        <v>1299</v>
      </c>
      <c r="P949" s="22">
        <v>0.15</v>
      </c>
      <c r="Q949" s="30">
        <v>720</v>
      </c>
      <c r="R949" s="33">
        <f>Table1_1[[#This Row],[Units Sold]]*Table1_1[[#This Row],[Unit Price]]*1-Table1_1[[#This Row],[Discount]]</f>
        <v>28577.85</v>
      </c>
      <c r="S949" s="33">
        <f>Table1_1[[#This Row],[Units Sold]]*Table1_1[[#This Row],[Unit Cost]]</f>
        <v>15840</v>
      </c>
      <c r="T949" s="33">
        <f>Table1_1[[#This Row],[Sales Amount]]-S949</f>
        <v>12737.849999999999</v>
      </c>
      <c r="U949" s="32">
        <f>IFERROR(Table1_1[[#This Row],[Profit/loss]]/Table1_1[[#This Row],[Sales Amount]],0)</f>
        <v>0.44572457340212784</v>
      </c>
    </row>
    <row r="950" spans="1:21" ht="18" x14ac:dyDescent="0.35">
      <c r="A950" s="21" t="s">
        <v>1057</v>
      </c>
      <c r="B950" s="36">
        <v>45751</v>
      </c>
      <c r="C950" s="22">
        <f>YEAR(Table1_1[[#This Row],[Order Date]])</f>
        <v>2025</v>
      </c>
      <c r="D950" s="22" t="str">
        <f>TEXT(Table1_1[[#This Row],[Order Date]],"MMMM")</f>
        <v>April</v>
      </c>
      <c r="E950" s="22" t="s">
        <v>36</v>
      </c>
      <c r="F950" s="22" t="s">
        <v>59</v>
      </c>
      <c r="G950" s="22" t="s">
        <v>69</v>
      </c>
      <c r="H950" s="22" t="s">
        <v>19</v>
      </c>
      <c r="I950" s="22" t="s">
        <v>40</v>
      </c>
      <c r="J950" s="22" t="s">
        <v>41</v>
      </c>
      <c r="K950" s="22" t="s">
        <v>1628</v>
      </c>
      <c r="L950" s="22" t="s">
        <v>23</v>
      </c>
      <c r="M950" s="22" t="s">
        <v>24</v>
      </c>
      <c r="N950" s="22">
        <v>19</v>
      </c>
      <c r="O950" s="26">
        <v>48500</v>
      </c>
      <c r="P950" s="22">
        <v>0.08</v>
      </c>
      <c r="Q950" s="30">
        <v>30200</v>
      </c>
      <c r="R950" s="33">
        <f>Table1_1[[#This Row],[Units Sold]]*Table1_1[[#This Row],[Unit Price]]*1-Table1_1[[#This Row],[Discount]]</f>
        <v>921499.92</v>
      </c>
      <c r="S950" s="33">
        <f>Table1_1[[#This Row],[Units Sold]]*Table1_1[[#This Row],[Unit Cost]]</f>
        <v>573800</v>
      </c>
      <c r="T950" s="33">
        <f>Table1_1[[#This Row],[Sales Amount]]-S950</f>
        <v>347699.92000000004</v>
      </c>
      <c r="U950" s="32">
        <f>IFERROR(Table1_1[[#This Row],[Profit/loss]]/Table1_1[[#This Row],[Sales Amount]],0)</f>
        <v>0.3773195335708765</v>
      </c>
    </row>
    <row r="951" spans="1:21" ht="18" x14ac:dyDescent="0.35">
      <c r="A951" s="21" t="s">
        <v>1058</v>
      </c>
      <c r="B951" s="36">
        <v>45751</v>
      </c>
      <c r="C951" s="22">
        <f>YEAR(Table1_1[[#This Row],[Order Date]])</f>
        <v>2025</v>
      </c>
      <c r="D951" s="22" t="str">
        <f>TEXT(Table1_1[[#This Row],[Order Date]],"MMMM")</f>
        <v>April</v>
      </c>
      <c r="E951" s="22" t="s">
        <v>36</v>
      </c>
      <c r="F951" s="22" t="s">
        <v>59</v>
      </c>
      <c r="G951" s="22" t="s">
        <v>84</v>
      </c>
      <c r="H951" s="22" t="s">
        <v>19</v>
      </c>
      <c r="I951" s="22" t="s">
        <v>20</v>
      </c>
      <c r="J951" s="22" t="s">
        <v>21</v>
      </c>
      <c r="K951" s="22" t="s">
        <v>22</v>
      </c>
      <c r="L951" s="22" t="s">
        <v>57</v>
      </c>
      <c r="M951" s="22" t="s">
        <v>24</v>
      </c>
      <c r="N951" s="22">
        <v>8</v>
      </c>
      <c r="O951" s="26">
        <v>4499</v>
      </c>
      <c r="P951" s="22">
        <v>0.05</v>
      </c>
      <c r="Q951" s="30">
        <v>2910</v>
      </c>
      <c r="R951" s="33">
        <f>Table1_1[[#This Row],[Units Sold]]*Table1_1[[#This Row],[Unit Price]]*1-Table1_1[[#This Row],[Discount]]</f>
        <v>35991.949999999997</v>
      </c>
      <c r="S951" s="33">
        <f>Table1_1[[#This Row],[Units Sold]]*Table1_1[[#This Row],[Unit Cost]]</f>
        <v>23280</v>
      </c>
      <c r="T951" s="33">
        <f>Table1_1[[#This Row],[Sales Amount]]-S951</f>
        <v>12711.949999999997</v>
      </c>
      <c r="U951" s="32">
        <f>IFERROR(Table1_1[[#This Row],[Profit/loss]]/Table1_1[[#This Row],[Sales Amount]],0)</f>
        <v>0.35318869913966866</v>
      </c>
    </row>
    <row r="952" spans="1:21" ht="18" x14ac:dyDescent="0.35">
      <c r="A952" s="21" t="s">
        <v>1059</v>
      </c>
      <c r="B952" s="36">
        <v>45753</v>
      </c>
      <c r="C952" s="22">
        <f>YEAR(Table1_1[[#This Row],[Order Date]])</f>
        <v>2025</v>
      </c>
      <c r="D952" s="22" t="str">
        <f>TEXT(Table1_1[[#This Row],[Order Date]],"MMMM")</f>
        <v>April</v>
      </c>
      <c r="E952" s="22" t="s">
        <v>16</v>
      </c>
      <c r="F952" s="22" t="s">
        <v>111</v>
      </c>
      <c r="G952" s="22" t="s">
        <v>84</v>
      </c>
      <c r="H952" s="22" t="s">
        <v>39</v>
      </c>
      <c r="I952" s="22" t="s">
        <v>40</v>
      </c>
      <c r="J952" s="22" t="s">
        <v>64</v>
      </c>
      <c r="K952" s="22" t="s">
        <v>1629</v>
      </c>
      <c r="L952" s="22" t="s">
        <v>57</v>
      </c>
      <c r="M952" s="22" t="s">
        <v>78</v>
      </c>
      <c r="N952" s="22">
        <v>32</v>
      </c>
      <c r="O952" s="26">
        <v>3299</v>
      </c>
      <c r="P952" s="22">
        <v>0.18</v>
      </c>
      <c r="Q952" s="30">
        <v>2050</v>
      </c>
      <c r="R952" s="33">
        <f>Table1_1[[#This Row],[Units Sold]]*Table1_1[[#This Row],[Unit Price]]*1-Table1_1[[#This Row],[Discount]]</f>
        <v>105567.82</v>
      </c>
      <c r="S952" s="33">
        <f>Table1_1[[#This Row],[Units Sold]]*Table1_1[[#This Row],[Unit Cost]]</f>
        <v>65600</v>
      </c>
      <c r="T952" s="33">
        <f>Table1_1[[#This Row],[Sales Amount]]-S952</f>
        <v>39967.820000000007</v>
      </c>
      <c r="U952" s="32">
        <f>IFERROR(Table1_1[[#This Row],[Profit/loss]]/Table1_1[[#This Row],[Sales Amount]],0)</f>
        <v>0.37859851610083456</v>
      </c>
    </row>
    <row r="953" spans="1:21" ht="18" x14ac:dyDescent="0.35">
      <c r="A953" s="21" t="s">
        <v>1060</v>
      </c>
      <c r="B953" s="36">
        <v>45754</v>
      </c>
      <c r="C953" s="22">
        <f>YEAR(Table1_1[[#This Row],[Order Date]])</f>
        <v>2025</v>
      </c>
      <c r="D953" s="22" t="str">
        <f>TEXT(Table1_1[[#This Row],[Order Date]],"MMMM")</f>
        <v>April</v>
      </c>
      <c r="E953" s="22" t="s">
        <v>26</v>
      </c>
      <c r="F953" s="22" t="s">
        <v>53</v>
      </c>
      <c r="G953" s="22" t="s">
        <v>38</v>
      </c>
      <c r="H953" s="22" t="s">
        <v>29</v>
      </c>
      <c r="I953" s="22" t="s">
        <v>40</v>
      </c>
      <c r="J953" s="22" t="s">
        <v>41</v>
      </c>
      <c r="K953" s="22" t="s">
        <v>1628</v>
      </c>
      <c r="L953" s="22" t="s">
        <v>57</v>
      </c>
      <c r="M953" s="22" t="s">
        <v>24</v>
      </c>
      <c r="N953" s="22">
        <v>35</v>
      </c>
      <c r="O953" s="26">
        <v>48500</v>
      </c>
      <c r="P953" s="22">
        <v>0.15</v>
      </c>
      <c r="Q953" s="30">
        <v>30200</v>
      </c>
      <c r="R953" s="33">
        <f>Table1_1[[#This Row],[Units Sold]]*Table1_1[[#This Row],[Unit Price]]*1-Table1_1[[#This Row],[Discount]]</f>
        <v>1697499.85</v>
      </c>
      <c r="S953" s="33">
        <f>Table1_1[[#This Row],[Units Sold]]*Table1_1[[#This Row],[Unit Cost]]</f>
        <v>1057000</v>
      </c>
      <c r="T953" s="33">
        <f>Table1_1[[#This Row],[Sales Amount]]-S953</f>
        <v>640499.85000000009</v>
      </c>
      <c r="U953" s="32">
        <f>IFERROR(Table1_1[[#This Row],[Profit/loss]]/Table1_1[[#This Row],[Sales Amount]],0)</f>
        <v>0.37731953260555517</v>
      </c>
    </row>
    <row r="954" spans="1:21" ht="18" x14ac:dyDescent="0.35">
      <c r="A954" s="21" t="s">
        <v>1061</v>
      </c>
      <c r="B954" s="36">
        <v>45754</v>
      </c>
      <c r="C954" s="22">
        <f>YEAR(Table1_1[[#This Row],[Order Date]])</f>
        <v>2025</v>
      </c>
      <c r="D954" s="22" t="str">
        <f>TEXT(Table1_1[[#This Row],[Order Date]],"MMMM")</f>
        <v>April</v>
      </c>
      <c r="E954" s="22" t="s">
        <v>48</v>
      </c>
      <c r="F954" s="22" t="s">
        <v>68</v>
      </c>
      <c r="G954" s="22" t="s">
        <v>101</v>
      </c>
      <c r="H954" s="22" t="s">
        <v>39</v>
      </c>
      <c r="I954" s="22" t="s">
        <v>20</v>
      </c>
      <c r="J954" s="22" t="s">
        <v>21</v>
      </c>
      <c r="K954" s="22" t="s">
        <v>51</v>
      </c>
      <c r="L954" s="22" t="s">
        <v>33</v>
      </c>
      <c r="M954" s="22" t="s">
        <v>66</v>
      </c>
      <c r="N954" s="22">
        <v>18</v>
      </c>
      <c r="O954" s="26">
        <v>5999</v>
      </c>
      <c r="P954" s="22">
        <v>0.2</v>
      </c>
      <c r="Q954" s="30">
        <v>3890</v>
      </c>
      <c r="R954" s="33">
        <f>Table1_1[[#This Row],[Units Sold]]*Table1_1[[#This Row],[Unit Price]]*1-Table1_1[[#This Row],[Discount]]</f>
        <v>107981.8</v>
      </c>
      <c r="S954" s="33">
        <f>Table1_1[[#This Row],[Units Sold]]*Table1_1[[#This Row],[Unit Cost]]</f>
        <v>70020</v>
      </c>
      <c r="T954" s="33">
        <f>Table1_1[[#This Row],[Sales Amount]]-S954</f>
        <v>37961.800000000003</v>
      </c>
      <c r="U954" s="32">
        <f>IFERROR(Table1_1[[#This Row],[Profit/loss]]/Table1_1[[#This Row],[Sales Amount]],0)</f>
        <v>0.35155739207903558</v>
      </c>
    </row>
    <row r="955" spans="1:21" ht="18" x14ac:dyDescent="0.35">
      <c r="A955" s="21" t="s">
        <v>1062</v>
      </c>
      <c r="B955" s="36">
        <v>45755</v>
      </c>
      <c r="C955" s="22">
        <f>YEAR(Table1_1[[#This Row],[Order Date]])</f>
        <v>2025</v>
      </c>
      <c r="D955" s="22" t="str">
        <f>TEXT(Table1_1[[#This Row],[Order Date]],"MMMM")</f>
        <v>April</v>
      </c>
      <c r="E955" s="22" t="s">
        <v>48</v>
      </c>
      <c r="F955" s="22" t="s">
        <v>68</v>
      </c>
      <c r="G955" s="22" t="s">
        <v>69</v>
      </c>
      <c r="H955" s="22" t="s">
        <v>39</v>
      </c>
      <c r="I955" s="22" t="s">
        <v>70</v>
      </c>
      <c r="J955" s="22" t="s">
        <v>71</v>
      </c>
      <c r="K955" s="22" t="s">
        <v>72</v>
      </c>
      <c r="L955" s="22" t="s">
        <v>33</v>
      </c>
      <c r="M955" s="22" t="s">
        <v>66</v>
      </c>
      <c r="N955" s="22">
        <v>34</v>
      </c>
      <c r="O955" s="26">
        <v>3499</v>
      </c>
      <c r="P955" s="22">
        <v>0.12</v>
      </c>
      <c r="Q955" s="30">
        <v>2190</v>
      </c>
      <c r="R955" s="33">
        <f>Table1_1[[#This Row],[Units Sold]]*Table1_1[[#This Row],[Unit Price]]*1-Table1_1[[#This Row],[Discount]]</f>
        <v>118965.88</v>
      </c>
      <c r="S955" s="33">
        <f>Table1_1[[#This Row],[Units Sold]]*Table1_1[[#This Row],[Unit Cost]]</f>
        <v>74460</v>
      </c>
      <c r="T955" s="33">
        <f>Table1_1[[#This Row],[Sales Amount]]-S955</f>
        <v>44505.880000000005</v>
      </c>
      <c r="U955" s="32">
        <f>IFERROR(Table1_1[[#This Row],[Profit/loss]]/Table1_1[[#This Row],[Sales Amount]],0)</f>
        <v>0.37410625634845895</v>
      </c>
    </row>
    <row r="956" spans="1:21" ht="18" x14ac:dyDescent="0.35">
      <c r="A956" s="21" t="s">
        <v>1063</v>
      </c>
      <c r="B956" s="36">
        <v>45756</v>
      </c>
      <c r="C956" s="22">
        <f>YEAR(Table1_1[[#This Row],[Order Date]])</f>
        <v>2025</v>
      </c>
      <c r="D956" s="22" t="str">
        <f>TEXT(Table1_1[[#This Row],[Order Date]],"MMMM")</f>
        <v>April</v>
      </c>
      <c r="E956" s="22" t="s">
        <v>82</v>
      </c>
      <c r="F956" s="22" t="s">
        <v>100</v>
      </c>
      <c r="G956" s="22" t="s">
        <v>105</v>
      </c>
      <c r="H956" s="22" t="s">
        <v>29</v>
      </c>
      <c r="I956" s="22" t="s">
        <v>54</v>
      </c>
      <c r="J956" s="22" t="s">
        <v>55</v>
      </c>
      <c r="K956" s="22" t="s">
        <v>148</v>
      </c>
      <c r="L956" s="22" t="s">
        <v>57</v>
      </c>
      <c r="M956" s="22" t="s">
        <v>24</v>
      </c>
      <c r="N956" s="22">
        <v>1</v>
      </c>
      <c r="O956" s="26">
        <v>4680</v>
      </c>
      <c r="P956" s="22">
        <v>0.1</v>
      </c>
      <c r="Q956" s="30">
        <v>3250</v>
      </c>
      <c r="R956" s="33">
        <f>Table1_1[[#This Row],[Units Sold]]*Table1_1[[#This Row],[Unit Price]]*1-Table1_1[[#This Row],[Discount]]</f>
        <v>4679.8999999999996</v>
      </c>
      <c r="S956" s="33">
        <f>Table1_1[[#This Row],[Units Sold]]*Table1_1[[#This Row],[Unit Cost]]</f>
        <v>3250</v>
      </c>
      <c r="T956" s="33">
        <f>Table1_1[[#This Row],[Sales Amount]]-S956</f>
        <v>1429.8999999999996</v>
      </c>
      <c r="U956" s="32">
        <f>IFERROR(Table1_1[[#This Row],[Profit/loss]]/Table1_1[[#This Row],[Sales Amount]],0)</f>
        <v>0.30554071668198035</v>
      </c>
    </row>
    <row r="957" spans="1:21" ht="18" x14ac:dyDescent="0.35">
      <c r="A957" s="21" t="s">
        <v>1064</v>
      </c>
      <c r="B957" s="36">
        <v>45756</v>
      </c>
      <c r="C957" s="22">
        <f>YEAR(Table1_1[[#This Row],[Order Date]])</f>
        <v>2025</v>
      </c>
      <c r="D957" s="22" t="str">
        <f>TEXT(Table1_1[[#This Row],[Order Date]],"MMMM")</f>
        <v>April</v>
      </c>
      <c r="E957" s="22" t="s">
        <v>82</v>
      </c>
      <c r="F957" s="22" t="s">
        <v>87</v>
      </c>
      <c r="G957" s="22" t="s">
        <v>38</v>
      </c>
      <c r="H957" s="22" t="s">
        <v>19</v>
      </c>
      <c r="I957" s="22" t="s">
        <v>54</v>
      </c>
      <c r="J957" s="22" t="s">
        <v>90</v>
      </c>
      <c r="K957" s="22" t="s">
        <v>1621</v>
      </c>
      <c r="L957" s="22" t="s">
        <v>33</v>
      </c>
      <c r="M957" s="22" t="s">
        <v>24</v>
      </c>
      <c r="N957" s="22">
        <v>32</v>
      </c>
      <c r="O957" s="26">
        <v>31990</v>
      </c>
      <c r="P957" s="22">
        <v>0.05</v>
      </c>
      <c r="Q957" s="30">
        <v>21800</v>
      </c>
      <c r="R957" s="33">
        <f>Table1_1[[#This Row],[Units Sold]]*Table1_1[[#This Row],[Unit Price]]*1-Table1_1[[#This Row],[Discount]]</f>
        <v>1023679.95</v>
      </c>
      <c r="S957" s="33">
        <f>Table1_1[[#This Row],[Units Sold]]*Table1_1[[#This Row],[Unit Cost]]</f>
        <v>697600</v>
      </c>
      <c r="T957" s="33">
        <f>Table1_1[[#This Row],[Sales Amount]]-S957</f>
        <v>326079.94999999995</v>
      </c>
      <c r="U957" s="32">
        <f>IFERROR(Table1_1[[#This Row],[Profit/loss]]/Table1_1[[#This Row],[Sales Amount]],0)</f>
        <v>0.3185370095409214</v>
      </c>
    </row>
    <row r="958" spans="1:21" ht="18" x14ac:dyDescent="0.35">
      <c r="A958" s="21" t="s">
        <v>1065</v>
      </c>
      <c r="B958" s="36">
        <v>45756</v>
      </c>
      <c r="C958" s="22">
        <f>YEAR(Table1_1[[#This Row],[Order Date]])</f>
        <v>2025</v>
      </c>
      <c r="D958" s="22" t="str">
        <f>TEXT(Table1_1[[#This Row],[Order Date]],"MMMM")</f>
        <v>April</v>
      </c>
      <c r="E958" s="22" t="s">
        <v>48</v>
      </c>
      <c r="F958" s="22" t="s">
        <v>68</v>
      </c>
      <c r="G958" s="22" t="s">
        <v>105</v>
      </c>
      <c r="H958" s="22" t="s">
        <v>19</v>
      </c>
      <c r="I958" s="22" t="s">
        <v>70</v>
      </c>
      <c r="J958" s="22" t="s">
        <v>71</v>
      </c>
      <c r="K958" s="22" t="s">
        <v>80</v>
      </c>
      <c r="L958" s="22" t="s">
        <v>23</v>
      </c>
      <c r="M958" s="22" t="s">
        <v>66</v>
      </c>
      <c r="N958" s="22">
        <v>17</v>
      </c>
      <c r="O958" s="26">
        <v>1299</v>
      </c>
      <c r="P958" s="22">
        <v>0.05</v>
      </c>
      <c r="Q958" s="30">
        <v>720</v>
      </c>
      <c r="R958" s="33">
        <f>Table1_1[[#This Row],[Units Sold]]*Table1_1[[#This Row],[Unit Price]]*1-Table1_1[[#This Row],[Discount]]</f>
        <v>22082.95</v>
      </c>
      <c r="S958" s="33">
        <f>Table1_1[[#This Row],[Units Sold]]*Table1_1[[#This Row],[Unit Cost]]</f>
        <v>12240</v>
      </c>
      <c r="T958" s="33">
        <f>Table1_1[[#This Row],[Sales Amount]]-S958</f>
        <v>9842.9500000000007</v>
      </c>
      <c r="U958" s="32">
        <f>IFERROR(Table1_1[[#This Row],[Profit/loss]]/Table1_1[[#This Row],[Sales Amount]],0)</f>
        <v>0.44572622770055631</v>
      </c>
    </row>
    <row r="959" spans="1:21" ht="18" x14ac:dyDescent="0.35">
      <c r="A959" s="21" t="s">
        <v>1066</v>
      </c>
      <c r="B959" s="36">
        <v>45757</v>
      </c>
      <c r="C959" s="22">
        <f>YEAR(Table1_1[[#This Row],[Order Date]])</f>
        <v>2025</v>
      </c>
      <c r="D959" s="22" t="str">
        <f>TEXT(Table1_1[[#This Row],[Order Date]],"MMMM")</f>
        <v>April</v>
      </c>
      <c r="E959" s="22" t="s">
        <v>26</v>
      </c>
      <c r="F959" s="22" t="s">
        <v>74</v>
      </c>
      <c r="G959" s="22" t="s">
        <v>105</v>
      </c>
      <c r="H959" s="22" t="s">
        <v>19</v>
      </c>
      <c r="I959" s="22" t="s">
        <v>20</v>
      </c>
      <c r="J959" s="22" t="s">
        <v>21</v>
      </c>
      <c r="K959" s="22" t="s">
        <v>22</v>
      </c>
      <c r="L959" s="22" t="s">
        <v>23</v>
      </c>
      <c r="M959" s="22" t="s">
        <v>24</v>
      </c>
      <c r="N959" s="22">
        <v>19</v>
      </c>
      <c r="O959" s="26">
        <v>4499</v>
      </c>
      <c r="P959" s="22">
        <v>0.18</v>
      </c>
      <c r="Q959" s="30">
        <v>2910</v>
      </c>
      <c r="R959" s="33">
        <f>Table1_1[[#This Row],[Units Sold]]*Table1_1[[#This Row],[Unit Price]]*1-Table1_1[[#This Row],[Discount]]</f>
        <v>85480.82</v>
      </c>
      <c r="S959" s="33">
        <f>Table1_1[[#This Row],[Units Sold]]*Table1_1[[#This Row],[Unit Cost]]</f>
        <v>55290</v>
      </c>
      <c r="T959" s="33">
        <f>Table1_1[[#This Row],[Sales Amount]]-S959</f>
        <v>30190.820000000007</v>
      </c>
      <c r="U959" s="32">
        <f>IFERROR(Table1_1[[#This Row],[Profit/loss]]/Table1_1[[#This Row],[Sales Amount]],0)</f>
        <v>0.35318823567672847</v>
      </c>
    </row>
    <row r="960" spans="1:21" ht="18" x14ac:dyDescent="0.35">
      <c r="A960" s="21" t="s">
        <v>1067</v>
      </c>
      <c r="B960" s="36">
        <v>45757</v>
      </c>
      <c r="C960" s="22">
        <f>YEAR(Table1_1[[#This Row],[Order Date]])</f>
        <v>2025</v>
      </c>
      <c r="D960" s="22" t="str">
        <f>TEXT(Table1_1[[#This Row],[Order Date]],"MMMM")</f>
        <v>April</v>
      </c>
      <c r="E960" s="22" t="s">
        <v>26</v>
      </c>
      <c r="F960" s="22" t="s">
        <v>27</v>
      </c>
      <c r="G960" s="22" t="s">
        <v>75</v>
      </c>
      <c r="H960" s="22" t="s">
        <v>19</v>
      </c>
      <c r="I960" s="22" t="s">
        <v>40</v>
      </c>
      <c r="J960" s="22" t="s">
        <v>76</v>
      </c>
      <c r="K960" s="22" t="s">
        <v>1626</v>
      </c>
      <c r="L960" s="22" t="s">
        <v>57</v>
      </c>
      <c r="M960" s="22" t="s">
        <v>24</v>
      </c>
      <c r="N960" s="22">
        <v>26</v>
      </c>
      <c r="O960" s="26">
        <v>25999</v>
      </c>
      <c r="P960" s="22">
        <v>0.15</v>
      </c>
      <c r="Q960" s="30">
        <v>17800</v>
      </c>
      <c r="R960" s="33">
        <f>Table1_1[[#This Row],[Units Sold]]*Table1_1[[#This Row],[Unit Price]]*1-Table1_1[[#This Row],[Discount]]</f>
        <v>675973.85</v>
      </c>
      <c r="S960" s="33">
        <f>Table1_1[[#This Row],[Units Sold]]*Table1_1[[#This Row],[Unit Cost]]</f>
        <v>462800</v>
      </c>
      <c r="T960" s="33">
        <f>Table1_1[[#This Row],[Sales Amount]]-S960</f>
        <v>213173.84999999998</v>
      </c>
      <c r="U960" s="32">
        <f>IFERROR(Table1_1[[#This Row],[Profit/loss]]/Table1_1[[#This Row],[Sales Amount]],0)</f>
        <v>0.31535813108746735</v>
      </c>
    </row>
    <row r="961" spans="1:21" ht="18" x14ac:dyDescent="0.35">
      <c r="A961" s="21" t="s">
        <v>1068</v>
      </c>
      <c r="B961" s="36">
        <v>45757</v>
      </c>
      <c r="C961" s="22">
        <f>YEAR(Table1_1[[#This Row],[Order Date]])</f>
        <v>2025</v>
      </c>
      <c r="D961" s="22" t="str">
        <f>TEXT(Table1_1[[#This Row],[Order Date]],"MMMM")</f>
        <v>April</v>
      </c>
      <c r="E961" s="22" t="s">
        <v>48</v>
      </c>
      <c r="F961" s="22" t="s">
        <v>93</v>
      </c>
      <c r="G961" s="22" t="s">
        <v>84</v>
      </c>
      <c r="H961" s="22" t="s">
        <v>29</v>
      </c>
      <c r="I961" s="22" t="s">
        <v>20</v>
      </c>
      <c r="J961" s="22" t="s">
        <v>21</v>
      </c>
      <c r="K961" s="22" t="s">
        <v>51</v>
      </c>
      <c r="L961" s="22" t="s">
        <v>33</v>
      </c>
      <c r="M961" s="22" t="s">
        <v>78</v>
      </c>
      <c r="N961" s="22">
        <v>18</v>
      </c>
      <c r="O961" s="26">
        <v>5999</v>
      </c>
      <c r="P961" s="22">
        <v>0.2</v>
      </c>
      <c r="Q961" s="30">
        <v>3890</v>
      </c>
      <c r="R961" s="33">
        <f>Table1_1[[#This Row],[Units Sold]]*Table1_1[[#This Row],[Unit Price]]*1-Table1_1[[#This Row],[Discount]]</f>
        <v>107981.8</v>
      </c>
      <c r="S961" s="33">
        <f>Table1_1[[#This Row],[Units Sold]]*Table1_1[[#This Row],[Unit Cost]]</f>
        <v>70020</v>
      </c>
      <c r="T961" s="33">
        <f>Table1_1[[#This Row],[Sales Amount]]-S961</f>
        <v>37961.800000000003</v>
      </c>
      <c r="U961" s="32">
        <f>IFERROR(Table1_1[[#This Row],[Profit/loss]]/Table1_1[[#This Row],[Sales Amount]],0)</f>
        <v>0.35155739207903558</v>
      </c>
    </row>
    <row r="962" spans="1:21" ht="18" x14ac:dyDescent="0.35">
      <c r="A962" s="21" t="s">
        <v>1069</v>
      </c>
      <c r="B962" s="36">
        <v>45758</v>
      </c>
      <c r="C962" s="22">
        <f>YEAR(Table1_1[[#This Row],[Order Date]])</f>
        <v>2025</v>
      </c>
      <c r="D962" s="22" t="str">
        <f>TEXT(Table1_1[[#This Row],[Order Date]],"MMMM")</f>
        <v>April</v>
      </c>
      <c r="E962" s="22" t="s">
        <v>48</v>
      </c>
      <c r="F962" s="22" t="s">
        <v>68</v>
      </c>
      <c r="G962" s="22" t="s">
        <v>18</v>
      </c>
      <c r="H962" s="22" t="s">
        <v>29</v>
      </c>
      <c r="I962" s="22" t="s">
        <v>40</v>
      </c>
      <c r="J962" s="22" t="s">
        <v>41</v>
      </c>
      <c r="K962" s="22" t="s">
        <v>42</v>
      </c>
      <c r="L962" s="22" t="s">
        <v>33</v>
      </c>
      <c r="M962" s="22" t="s">
        <v>78</v>
      </c>
      <c r="N962" s="22">
        <v>13</v>
      </c>
      <c r="O962" s="26">
        <v>55230</v>
      </c>
      <c r="P962" s="22">
        <v>0.1</v>
      </c>
      <c r="Q962" s="30">
        <v>33800</v>
      </c>
      <c r="R962" s="33">
        <f>Table1_1[[#This Row],[Units Sold]]*Table1_1[[#This Row],[Unit Price]]*1-Table1_1[[#This Row],[Discount]]</f>
        <v>717989.9</v>
      </c>
      <c r="S962" s="33">
        <f>Table1_1[[#This Row],[Units Sold]]*Table1_1[[#This Row],[Unit Cost]]</f>
        <v>439400</v>
      </c>
      <c r="T962" s="33">
        <f>Table1_1[[#This Row],[Sales Amount]]-S962</f>
        <v>278589.90000000002</v>
      </c>
      <c r="U962" s="32">
        <f>IFERROR(Table1_1[[#This Row],[Profit/loss]]/Table1_1[[#This Row],[Sales Amount]],0)</f>
        <v>0.38801367540128351</v>
      </c>
    </row>
    <row r="963" spans="1:21" ht="18" x14ac:dyDescent="0.35">
      <c r="A963" s="21" t="s">
        <v>1070</v>
      </c>
      <c r="B963" s="36">
        <v>45758</v>
      </c>
      <c r="C963" s="22">
        <f>YEAR(Table1_1[[#This Row],[Order Date]])</f>
        <v>2025</v>
      </c>
      <c r="D963" s="22" t="str">
        <f>TEXT(Table1_1[[#This Row],[Order Date]],"MMMM")</f>
        <v>April</v>
      </c>
      <c r="E963" s="22" t="s">
        <v>82</v>
      </c>
      <c r="F963" s="22" t="s">
        <v>83</v>
      </c>
      <c r="G963" s="22" t="s">
        <v>101</v>
      </c>
      <c r="H963" s="22" t="s">
        <v>39</v>
      </c>
      <c r="I963" s="22" t="s">
        <v>70</v>
      </c>
      <c r="J963" s="22" t="s">
        <v>71</v>
      </c>
      <c r="K963" s="22" t="s">
        <v>80</v>
      </c>
      <c r="L963" s="22" t="s">
        <v>23</v>
      </c>
      <c r="M963" s="22" t="s">
        <v>24</v>
      </c>
      <c r="N963" s="22">
        <v>10</v>
      </c>
      <c r="O963" s="26">
        <v>1299</v>
      </c>
      <c r="P963" s="22">
        <v>0.18</v>
      </c>
      <c r="Q963" s="30">
        <v>720</v>
      </c>
      <c r="R963" s="33">
        <f>Table1_1[[#This Row],[Units Sold]]*Table1_1[[#This Row],[Unit Price]]*1-Table1_1[[#This Row],[Discount]]</f>
        <v>12989.82</v>
      </c>
      <c r="S963" s="33">
        <f>Table1_1[[#This Row],[Units Sold]]*Table1_1[[#This Row],[Unit Cost]]</f>
        <v>7200</v>
      </c>
      <c r="T963" s="33">
        <f>Table1_1[[#This Row],[Sales Amount]]-S963</f>
        <v>5789.82</v>
      </c>
      <c r="U963" s="32">
        <f>IFERROR(Table1_1[[#This Row],[Profit/loss]]/Table1_1[[#This Row],[Sales Amount]],0)</f>
        <v>0.44571980212196932</v>
      </c>
    </row>
    <row r="964" spans="1:21" ht="18" x14ac:dyDescent="0.35">
      <c r="A964" s="21" t="s">
        <v>1071</v>
      </c>
      <c r="B964" s="36">
        <v>45759</v>
      </c>
      <c r="C964" s="22">
        <f>YEAR(Table1_1[[#This Row],[Order Date]])</f>
        <v>2025</v>
      </c>
      <c r="D964" s="22" t="str">
        <f>TEXT(Table1_1[[#This Row],[Order Date]],"MMMM")</f>
        <v>April</v>
      </c>
      <c r="E964" s="22" t="s">
        <v>36</v>
      </c>
      <c r="F964" s="22" t="s">
        <v>59</v>
      </c>
      <c r="G964" s="22" t="s">
        <v>28</v>
      </c>
      <c r="H964" s="22" t="s">
        <v>39</v>
      </c>
      <c r="I964" s="22" t="s">
        <v>20</v>
      </c>
      <c r="J964" s="22" t="s">
        <v>45</v>
      </c>
      <c r="K964" s="22" t="s">
        <v>196</v>
      </c>
      <c r="L964" s="22" t="s">
        <v>57</v>
      </c>
      <c r="M964" s="22" t="s">
        <v>24</v>
      </c>
      <c r="N964" s="22">
        <v>17</v>
      </c>
      <c r="O964" s="26">
        <v>2499</v>
      </c>
      <c r="P964" s="22">
        <v>0.08</v>
      </c>
      <c r="Q964" s="30">
        <v>1510</v>
      </c>
      <c r="R964" s="33">
        <f>Table1_1[[#This Row],[Units Sold]]*Table1_1[[#This Row],[Unit Price]]*1-Table1_1[[#This Row],[Discount]]</f>
        <v>42482.92</v>
      </c>
      <c r="S964" s="33">
        <f>Table1_1[[#This Row],[Units Sold]]*Table1_1[[#This Row],[Unit Cost]]</f>
        <v>25670</v>
      </c>
      <c r="T964" s="33">
        <f>Table1_1[[#This Row],[Sales Amount]]-S964</f>
        <v>16812.919999999998</v>
      </c>
      <c r="U964" s="32">
        <f>IFERROR(Table1_1[[#This Row],[Profit/loss]]/Table1_1[[#This Row],[Sales Amount]],0)</f>
        <v>0.3957571654679104</v>
      </c>
    </row>
    <row r="965" spans="1:21" ht="18" x14ac:dyDescent="0.35">
      <c r="A965" s="21" t="s">
        <v>1072</v>
      </c>
      <c r="B965" s="36">
        <v>45759</v>
      </c>
      <c r="C965" s="22">
        <f>YEAR(Table1_1[[#This Row],[Order Date]])</f>
        <v>2025</v>
      </c>
      <c r="D965" s="22" t="str">
        <f>TEXT(Table1_1[[#This Row],[Order Date]],"MMMM")</f>
        <v>April</v>
      </c>
      <c r="E965" s="22" t="s">
        <v>82</v>
      </c>
      <c r="F965" s="22" t="s">
        <v>100</v>
      </c>
      <c r="G965" s="22" t="s">
        <v>101</v>
      </c>
      <c r="H965" s="22" t="s">
        <v>19</v>
      </c>
      <c r="I965" s="22" t="s">
        <v>54</v>
      </c>
      <c r="J965" s="22" t="s">
        <v>90</v>
      </c>
      <c r="K965" s="22" t="s">
        <v>1625</v>
      </c>
      <c r="L965" s="22" t="s">
        <v>23</v>
      </c>
      <c r="M965" s="22" t="s">
        <v>34</v>
      </c>
      <c r="N965" s="22">
        <v>19</v>
      </c>
      <c r="O965" s="26">
        <v>32800</v>
      </c>
      <c r="P965" s="22">
        <v>0.08</v>
      </c>
      <c r="Q965" s="30">
        <v>23100</v>
      </c>
      <c r="R965" s="33">
        <f>Table1_1[[#This Row],[Units Sold]]*Table1_1[[#This Row],[Unit Price]]*1-Table1_1[[#This Row],[Discount]]</f>
        <v>623199.92000000004</v>
      </c>
      <c r="S965" s="33">
        <f>Table1_1[[#This Row],[Units Sold]]*Table1_1[[#This Row],[Unit Cost]]</f>
        <v>438900</v>
      </c>
      <c r="T965" s="33">
        <f>Table1_1[[#This Row],[Sales Amount]]-S965</f>
        <v>184299.92000000004</v>
      </c>
      <c r="U965" s="32">
        <f>IFERROR(Table1_1[[#This Row],[Profit/loss]]/Table1_1[[#This Row],[Sales Amount]],0)</f>
        <v>0.29573161691034883</v>
      </c>
    </row>
    <row r="966" spans="1:21" ht="18" x14ac:dyDescent="0.35">
      <c r="A966" s="21" t="s">
        <v>1073</v>
      </c>
      <c r="B966" s="36">
        <v>45761</v>
      </c>
      <c r="C966" s="22">
        <f>YEAR(Table1_1[[#This Row],[Order Date]])</f>
        <v>2025</v>
      </c>
      <c r="D966" s="22" t="str">
        <f>TEXT(Table1_1[[#This Row],[Order Date]],"MMMM")</f>
        <v>April</v>
      </c>
      <c r="E966" s="22" t="s">
        <v>48</v>
      </c>
      <c r="F966" s="22" t="s">
        <v>49</v>
      </c>
      <c r="G966" s="22" t="s">
        <v>60</v>
      </c>
      <c r="H966" s="22" t="s">
        <v>29</v>
      </c>
      <c r="I966" s="22" t="s">
        <v>20</v>
      </c>
      <c r="J966" s="22" t="s">
        <v>45</v>
      </c>
      <c r="K966" s="22" t="s">
        <v>1622</v>
      </c>
      <c r="L966" s="22" t="s">
        <v>33</v>
      </c>
      <c r="M966" s="22" t="s">
        <v>34</v>
      </c>
      <c r="N966" s="22">
        <v>38</v>
      </c>
      <c r="O966" s="26">
        <v>1599</v>
      </c>
      <c r="P966" s="22">
        <v>0.08</v>
      </c>
      <c r="Q966" s="30">
        <v>920</v>
      </c>
      <c r="R966" s="33">
        <f>Table1_1[[#This Row],[Units Sold]]*Table1_1[[#This Row],[Unit Price]]*1-Table1_1[[#This Row],[Discount]]</f>
        <v>60761.919999999998</v>
      </c>
      <c r="S966" s="33">
        <f>Table1_1[[#This Row],[Units Sold]]*Table1_1[[#This Row],[Unit Cost]]</f>
        <v>34960</v>
      </c>
      <c r="T966" s="33">
        <f>Table1_1[[#This Row],[Sales Amount]]-S966</f>
        <v>25801.919999999998</v>
      </c>
      <c r="U966" s="32">
        <f>IFERROR(Table1_1[[#This Row],[Profit/loss]]/Table1_1[[#This Row],[Sales Amount]],0)</f>
        <v>0.42463964272360055</v>
      </c>
    </row>
    <row r="967" spans="1:21" ht="18" x14ac:dyDescent="0.35">
      <c r="A967" s="21" t="s">
        <v>1074</v>
      </c>
      <c r="B967" s="36">
        <v>45761</v>
      </c>
      <c r="C967" s="22">
        <f>YEAR(Table1_1[[#This Row],[Order Date]])</f>
        <v>2025</v>
      </c>
      <c r="D967" s="22" t="str">
        <f>TEXT(Table1_1[[#This Row],[Order Date]],"MMMM")</f>
        <v>April</v>
      </c>
      <c r="E967" s="22" t="s">
        <v>16</v>
      </c>
      <c r="F967" s="22" t="s">
        <v>126</v>
      </c>
      <c r="G967" s="22" t="s">
        <v>38</v>
      </c>
      <c r="H967" s="22" t="s">
        <v>19</v>
      </c>
      <c r="I967" s="22" t="s">
        <v>40</v>
      </c>
      <c r="J967" s="22" t="s">
        <v>41</v>
      </c>
      <c r="K967" s="22" t="s">
        <v>1624</v>
      </c>
      <c r="L967" s="22" t="s">
        <v>57</v>
      </c>
      <c r="M967" s="22" t="s">
        <v>24</v>
      </c>
      <c r="N967" s="22">
        <v>9</v>
      </c>
      <c r="O967" s="26">
        <v>48990</v>
      </c>
      <c r="P967" s="22">
        <v>0.05</v>
      </c>
      <c r="Q967" s="30">
        <v>30100</v>
      </c>
      <c r="R967" s="33">
        <f>Table1_1[[#This Row],[Units Sold]]*Table1_1[[#This Row],[Unit Price]]*1-Table1_1[[#This Row],[Discount]]</f>
        <v>440909.95</v>
      </c>
      <c r="S967" s="33">
        <f>Table1_1[[#This Row],[Units Sold]]*Table1_1[[#This Row],[Unit Cost]]</f>
        <v>270900</v>
      </c>
      <c r="T967" s="33">
        <f>Table1_1[[#This Row],[Sales Amount]]-S967</f>
        <v>170009.95</v>
      </c>
      <c r="U967" s="32">
        <f>IFERROR(Table1_1[[#This Row],[Profit/loss]]/Table1_1[[#This Row],[Sales Amount]],0)</f>
        <v>0.38558882601764827</v>
      </c>
    </row>
    <row r="968" spans="1:21" ht="18" x14ac:dyDescent="0.35">
      <c r="A968" s="21" t="s">
        <v>1075</v>
      </c>
      <c r="B968" s="36">
        <v>45761</v>
      </c>
      <c r="C968" s="22">
        <f>YEAR(Table1_1[[#This Row],[Order Date]])</f>
        <v>2025</v>
      </c>
      <c r="D968" s="22" t="str">
        <f>TEXT(Table1_1[[#This Row],[Order Date]],"MMMM")</f>
        <v>April</v>
      </c>
      <c r="E968" s="22" t="s">
        <v>16</v>
      </c>
      <c r="F968" s="22" t="s">
        <v>126</v>
      </c>
      <c r="G968" s="22" t="s">
        <v>84</v>
      </c>
      <c r="H968" s="22" t="s">
        <v>19</v>
      </c>
      <c r="I968" s="22" t="s">
        <v>54</v>
      </c>
      <c r="J968" s="22" t="s">
        <v>90</v>
      </c>
      <c r="K968" s="22" t="s">
        <v>1631</v>
      </c>
      <c r="L968" s="22" t="s">
        <v>57</v>
      </c>
      <c r="M968" s="22" t="s">
        <v>34</v>
      </c>
      <c r="N968" s="22">
        <v>8</v>
      </c>
      <c r="O968" s="26">
        <v>29010</v>
      </c>
      <c r="P968" s="22">
        <v>0.05</v>
      </c>
      <c r="Q968" s="30">
        <v>19150</v>
      </c>
      <c r="R968" s="33">
        <f>Table1_1[[#This Row],[Units Sold]]*Table1_1[[#This Row],[Unit Price]]*1-Table1_1[[#This Row],[Discount]]</f>
        <v>232079.95</v>
      </c>
      <c r="S968" s="33">
        <f>Table1_1[[#This Row],[Units Sold]]*Table1_1[[#This Row],[Unit Cost]]</f>
        <v>153200</v>
      </c>
      <c r="T968" s="33">
        <f>Table1_1[[#This Row],[Sales Amount]]-S968</f>
        <v>78879.950000000012</v>
      </c>
      <c r="U968" s="32">
        <f>IFERROR(Table1_1[[#This Row],[Profit/loss]]/Table1_1[[#This Row],[Sales Amount]],0)</f>
        <v>0.33988265681718738</v>
      </c>
    </row>
    <row r="969" spans="1:21" ht="18" x14ac:dyDescent="0.35">
      <c r="A969" s="21" t="s">
        <v>1076</v>
      </c>
      <c r="B969" s="36">
        <v>45761</v>
      </c>
      <c r="C969" s="22">
        <f>YEAR(Table1_1[[#This Row],[Order Date]])</f>
        <v>2025</v>
      </c>
      <c r="D969" s="22" t="str">
        <f>TEXT(Table1_1[[#This Row],[Order Date]],"MMMM")</f>
        <v>April</v>
      </c>
      <c r="E969" s="22" t="s">
        <v>26</v>
      </c>
      <c r="F969" s="22" t="s">
        <v>53</v>
      </c>
      <c r="G969" s="22" t="s">
        <v>50</v>
      </c>
      <c r="H969" s="22" t="s">
        <v>39</v>
      </c>
      <c r="I969" s="22" t="s">
        <v>30</v>
      </c>
      <c r="J969" s="22" t="s">
        <v>61</v>
      </c>
      <c r="K969" s="22" t="s">
        <v>62</v>
      </c>
      <c r="L969" s="22" t="s">
        <v>23</v>
      </c>
      <c r="M969" s="22" t="s">
        <v>66</v>
      </c>
      <c r="N969" s="22">
        <v>30</v>
      </c>
      <c r="O969" s="26">
        <v>12490</v>
      </c>
      <c r="P969" s="22">
        <v>0.1</v>
      </c>
      <c r="Q969" s="30">
        <v>7900</v>
      </c>
      <c r="R969" s="33">
        <f>Table1_1[[#This Row],[Units Sold]]*Table1_1[[#This Row],[Unit Price]]*1-Table1_1[[#This Row],[Discount]]</f>
        <v>374699.9</v>
      </c>
      <c r="S969" s="33">
        <f>Table1_1[[#This Row],[Units Sold]]*Table1_1[[#This Row],[Unit Cost]]</f>
        <v>237000</v>
      </c>
      <c r="T969" s="33">
        <f>Table1_1[[#This Row],[Sales Amount]]-S969</f>
        <v>137699.90000000002</v>
      </c>
      <c r="U969" s="32">
        <f>IFERROR(Table1_1[[#This Row],[Profit/loss]]/Table1_1[[#This Row],[Sales Amount]],0)</f>
        <v>0.36749382639280131</v>
      </c>
    </row>
    <row r="970" spans="1:21" ht="18" x14ac:dyDescent="0.35">
      <c r="A970" s="21" t="s">
        <v>1077</v>
      </c>
      <c r="B970" s="36">
        <v>45762</v>
      </c>
      <c r="C970" s="22">
        <f>YEAR(Table1_1[[#This Row],[Order Date]])</f>
        <v>2025</v>
      </c>
      <c r="D970" s="22" t="str">
        <f>TEXT(Table1_1[[#This Row],[Order Date]],"MMMM")</f>
        <v>April</v>
      </c>
      <c r="E970" s="22" t="s">
        <v>26</v>
      </c>
      <c r="F970" s="22" t="s">
        <v>74</v>
      </c>
      <c r="G970" s="22" t="s">
        <v>69</v>
      </c>
      <c r="H970" s="22" t="s">
        <v>29</v>
      </c>
      <c r="I970" s="22" t="s">
        <v>54</v>
      </c>
      <c r="J970" s="22" t="s">
        <v>129</v>
      </c>
      <c r="K970" s="22" t="s">
        <v>130</v>
      </c>
      <c r="L970" s="22" t="s">
        <v>57</v>
      </c>
      <c r="M970" s="22" t="s">
        <v>34</v>
      </c>
      <c r="N970" s="22">
        <v>14</v>
      </c>
      <c r="O970" s="26">
        <v>27890</v>
      </c>
      <c r="P970" s="22">
        <v>0.08</v>
      </c>
      <c r="Q970" s="30">
        <v>18800</v>
      </c>
      <c r="R970" s="33">
        <f>Table1_1[[#This Row],[Units Sold]]*Table1_1[[#This Row],[Unit Price]]*1-Table1_1[[#This Row],[Discount]]</f>
        <v>390459.92</v>
      </c>
      <c r="S970" s="33">
        <f>Table1_1[[#This Row],[Units Sold]]*Table1_1[[#This Row],[Unit Cost]]</f>
        <v>263200</v>
      </c>
      <c r="T970" s="33">
        <f>Table1_1[[#This Row],[Sales Amount]]-S970</f>
        <v>127259.91999999998</v>
      </c>
      <c r="U970" s="32">
        <f>IFERROR(Table1_1[[#This Row],[Profit/loss]]/Table1_1[[#This Row],[Sales Amount]],0)</f>
        <v>0.32592313187996347</v>
      </c>
    </row>
    <row r="971" spans="1:21" ht="18" x14ac:dyDescent="0.35">
      <c r="A971" s="21" t="s">
        <v>1078</v>
      </c>
      <c r="B971" s="36">
        <v>45763</v>
      </c>
      <c r="C971" s="22">
        <f>YEAR(Table1_1[[#This Row],[Order Date]])</f>
        <v>2025</v>
      </c>
      <c r="D971" s="22" t="str">
        <f>TEXT(Table1_1[[#This Row],[Order Date]],"MMMM")</f>
        <v>April</v>
      </c>
      <c r="E971" s="22" t="s">
        <v>36</v>
      </c>
      <c r="F971" s="22" t="s">
        <v>37</v>
      </c>
      <c r="G971" s="22" t="s">
        <v>60</v>
      </c>
      <c r="H971" s="22" t="s">
        <v>19</v>
      </c>
      <c r="I971" s="22" t="s">
        <v>70</v>
      </c>
      <c r="J971" s="22" t="s">
        <v>71</v>
      </c>
      <c r="K971" s="22" t="s">
        <v>88</v>
      </c>
      <c r="L971" s="22" t="s">
        <v>57</v>
      </c>
      <c r="M971" s="22" t="s">
        <v>34</v>
      </c>
      <c r="N971" s="22">
        <v>39</v>
      </c>
      <c r="O971" s="26">
        <v>999</v>
      </c>
      <c r="P971" s="22">
        <v>0.1</v>
      </c>
      <c r="Q971" s="30">
        <v>540</v>
      </c>
      <c r="R971" s="33">
        <f>Table1_1[[#This Row],[Units Sold]]*Table1_1[[#This Row],[Unit Price]]*1-Table1_1[[#This Row],[Discount]]</f>
        <v>38960.9</v>
      </c>
      <c r="S971" s="33">
        <f>Table1_1[[#This Row],[Units Sold]]*Table1_1[[#This Row],[Unit Cost]]</f>
        <v>21060</v>
      </c>
      <c r="T971" s="33">
        <f>Table1_1[[#This Row],[Sales Amount]]-S971</f>
        <v>17900.900000000001</v>
      </c>
      <c r="U971" s="32">
        <f>IFERROR(Table1_1[[#This Row],[Profit/loss]]/Table1_1[[#This Row],[Sales Amount]],0)</f>
        <v>0.45945807206712375</v>
      </c>
    </row>
    <row r="972" spans="1:21" ht="18" x14ac:dyDescent="0.35">
      <c r="A972" s="21" t="s">
        <v>1079</v>
      </c>
      <c r="B972" s="36">
        <v>45763</v>
      </c>
      <c r="C972" s="22">
        <f>YEAR(Table1_1[[#This Row],[Order Date]])</f>
        <v>2025</v>
      </c>
      <c r="D972" s="22" t="str">
        <f>TEXT(Table1_1[[#This Row],[Order Date]],"MMMM")</f>
        <v>April</v>
      </c>
      <c r="E972" s="22" t="s">
        <v>48</v>
      </c>
      <c r="F972" s="22" t="s">
        <v>68</v>
      </c>
      <c r="G972" s="22" t="s">
        <v>50</v>
      </c>
      <c r="H972" s="22" t="s">
        <v>19</v>
      </c>
      <c r="I972" s="22" t="s">
        <v>20</v>
      </c>
      <c r="J972" s="22" t="s">
        <v>21</v>
      </c>
      <c r="K972" s="22" t="s">
        <v>51</v>
      </c>
      <c r="L972" s="22" t="s">
        <v>57</v>
      </c>
      <c r="M972" s="22" t="s">
        <v>34</v>
      </c>
      <c r="N972" s="22">
        <v>3</v>
      </c>
      <c r="O972" s="26">
        <v>5999</v>
      </c>
      <c r="P972" s="22">
        <v>0.08</v>
      </c>
      <c r="Q972" s="30">
        <v>3890</v>
      </c>
      <c r="R972" s="33">
        <f>Table1_1[[#This Row],[Units Sold]]*Table1_1[[#This Row],[Unit Price]]*1-Table1_1[[#This Row],[Discount]]</f>
        <v>17996.919999999998</v>
      </c>
      <c r="S972" s="33">
        <f>Table1_1[[#This Row],[Units Sold]]*Table1_1[[#This Row],[Unit Cost]]</f>
        <v>11670</v>
      </c>
      <c r="T972" s="33">
        <f>Table1_1[[#This Row],[Sales Amount]]-S972</f>
        <v>6326.9199999999983</v>
      </c>
      <c r="U972" s="32">
        <f>IFERROR(Table1_1[[#This Row],[Profit/loss]]/Table1_1[[#This Row],[Sales Amount]],0)</f>
        <v>0.35155571064382124</v>
      </c>
    </row>
    <row r="973" spans="1:21" ht="18" x14ac:dyDescent="0.35">
      <c r="A973" s="21" t="s">
        <v>1080</v>
      </c>
      <c r="B973" s="36">
        <v>45764</v>
      </c>
      <c r="C973" s="22">
        <f>YEAR(Table1_1[[#This Row],[Order Date]])</f>
        <v>2025</v>
      </c>
      <c r="D973" s="22" t="str">
        <f>TEXT(Table1_1[[#This Row],[Order Date]],"MMMM")</f>
        <v>April</v>
      </c>
      <c r="E973" s="22" t="s">
        <v>36</v>
      </c>
      <c r="F973" s="22" t="s">
        <v>37</v>
      </c>
      <c r="G973" s="22" t="s">
        <v>105</v>
      </c>
      <c r="H973" s="22" t="s">
        <v>29</v>
      </c>
      <c r="I973" s="22" t="s">
        <v>40</v>
      </c>
      <c r="J973" s="22" t="s">
        <v>64</v>
      </c>
      <c r="K973" s="22" t="s">
        <v>1629</v>
      </c>
      <c r="L973" s="22" t="s">
        <v>57</v>
      </c>
      <c r="M973" s="22" t="s">
        <v>34</v>
      </c>
      <c r="N973" s="22">
        <v>11</v>
      </c>
      <c r="O973" s="26">
        <v>3299</v>
      </c>
      <c r="P973" s="22">
        <v>0.1</v>
      </c>
      <c r="Q973" s="30">
        <v>2050</v>
      </c>
      <c r="R973" s="33">
        <f>Table1_1[[#This Row],[Units Sold]]*Table1_1[[#This Row],[Unit Price]]*1-Table1_1[[#This Row],[Discount]]</f>
        <v>36288.9</v>
      </c>
      <c r="S973" s="33">
        <f>Table1_1[[#This Row],[Units Sold]]*Table1_1[[#This Row],[Unit Cost]]</f>
        <v>22550</v>
      </c>
      <c r="T973" s="33">
        <f>Table1_1[[#This Row],[Sales Amount]]-S973</f>
        <v>13738.900000000001</v>
      </c>
      <c r="U973" s="32">
        <f>IFERROR(Table1_1[[#This Row],[Profit/loss]]/Table1_1[[#This Row],[Sales Amount]],0)</f>
        <v>0.37859786325846195</v>
      </c>
    </row>
    <row r="974" spans="1:21" ht="18" x14ac:dyDescent="0.35">
      <c r="A974" s="21" t="s">
        <v>1081</v>
      </c>
      <c r="B974" s="36">
        <v>45764</v>
      </c>
      <c r="C974" s="22">
        <f>YEAR(Table1_1[[#This Row],[Order Date]])</f>
        <v>2025</v>
      </c>
      <c r="D974" s="22" t="str">
        <f>TEXT(Table1_1[[#This Row],[Order Date]],"MMMM")</f>
        <v>April</v>
      </c>
      <c r="E974" s="22" t="s">
        <v>16</v>
      </c>
      <c r="F974" s="22" t="s">
        <v>126</v>
      </c>
      <c r="G974" s="22" t="s">
        <v>60</v>
      </c>
      <c r="H974" s="22" t="s">
        <v>19</v>
      </c>
      <c r="I974" s="22" t="s">
        <v>30</v>
      </c>
      <c r="J974" s="22" t="s">
        <v>31</v>
      </c>
      <c r="K974" s="22" t="s">
        <v>106</v>
      </c>
      <c r="L974" s="22" t="s">
        <v>57</v>
      </c>
      <c r="M974" s="22" t="s">
        <v>24</v>
      </c>
      <c r="N974" s="22">
        <v>25</v>
      </c>
      <c r="O974" s="26">
        <v>52990</v>
      </c>
      <c r="P974" s="22">
        <v>0.08</v>
      </c>
      <c r="Q974" s="30">
        <v>35100</v>
      </c>
      <c r="R974" s="33">
        <f>Table1_1[[#This Row],[Units Sold]]*Table1_1[[#This Row],[Unit Price]]*1-Table1_1[[#This Row],[Discount]]</f>
        <v>1324749.92</v>
      </c>
      <c r="S974" s="33">
        <f>Table1_1[[#This Row],[Units Sold]]*Table1_1[[#This Row],[Unit Cost]]</f>
        <v>877500</v>
      </c>
      <c r="T974" s="33">
        <f>Table1_1[[#This Row],[Sales Amount]]-S974</f>
        <v>447249.91999999993</v>
      </c>
      <c r="U974" s="32">
        <f>IFERROR(Table1_1[[#This Row],[Profit/loss]]/Table1_1[[#This Row],[Sales Amount]],0)</f>
        <v>0.33761082997461134</v>
      </c>
    </row>
    <row r="975" spans="1:21" ht="18" x14ac:dyDescent="0.35">
      <c r="A975" s="21" t="s">
        <v>1082</v>
      </c>
      <c r="B975" s="36">
        <v>45765</v>
      </c>
      <c r="C975" s="22">
        <f>YEAR(Table1_1[[#This Row],[Order Date]])</f>
        <v>2025</v>
      </c>
      <c r="D975" s="22" t="str">
        <f>TEXT(Table1_1[[#This Row],[Order Date]],"MMMM")</f>
        <v>April</v>
      </c>
      <c r="E975" s="22" t="s">
        <v>82</v>
      </c>
      <c r="F975" s="22" t="s">
        <v>100</v>
      </c>
      <c r="G975" s="22" t="s">
        <v>18</v>
      </c>
      <c r="H975" s="22" t="s">
        <v>29</v>
      </c>
      <c r="I975" s="22" t="s">
        <v>70</v>
      </c>
      <c r="J975" s="22" t="s">
        <v>71</v>
      </c>
      <c r="K975" s="22" t="s">
        <v>80</v>
      </c>
      <c r="L975" s="22" t="s">
        <v>57</v>
      </c>
      <c r="M975" s="22" t="s">
        <v>34</v>
      </c>
      <c r="N975" s="22">
        <v>20</v>
      </c>
      <c r="O975" s="26">
        <v>1299</v>
      </c>
      <c r="P975" s="22">
        <v>0.08</v>
      </c>
      <c r="Q975" s="30">
        <v>720</v>
      </c>
      <c r="R975" s="33">
        <f>Table1_1[[#This Row],[Units Sold]]*Table1_1[[#This Row],[Unit Price]]*1-Table1_1[[#This Row],[Discount]]</f>
        <v>25979.919999999998</v>
      </c>
      <c r="S975" s="33">
        <f>Table1_1[[#This Row],[Units Sold]]*Table1_1[[#This Row],[Unit Cost]]</f>
        <v>14400</v>
      </c>
      <c r="T975" s="33">
        <f>Table1_1[[#This Row],[Sales Amount]]-S975</f>
        <v>11579.919999999998</v>
      </c>
      <c r="U975" s="32">
        <f>IFERROR(Table1_1[[#This Row],[Profit/loss]]/Table1_1[[#This Row],[Sales Amount]],0)</f>
        <v>0.44572577590693119</v>
      </c>
    </row>
    <row r="976" spans="1:21" ht="18" x14ac:dyDescent="0.35">
      <c r="A976" s="21" t="s">
        <v>1083</v>
      </c>
      <c r="B976" s="36">
        <v>45765</v>
      </c>
      <c r="C976" s="22">
        <f>YEAR(Table1_1[[#This Row],[Order Date]])</f>
        <v>2025</v>
      </c>
      <c r="D976" s="22" t="str">
        <f>TEXT(Table1_1[[#This Row],[Order Date]],"MMMM")</f>
        <v>April</v>
      </c>
      <c r="E976" s="22" t="s">
        <v>82</v>
      </c>
      <c r="F976" s="22" t="s">
        <v>83</v>
      </c>
      <c r="G976" s="22" t="s">
        <v>75</v>
      </c>
      <c r="H976" s="22" t="s">
        <v>39</v>
      </c>
      <c r="I976" s="22" t="s">
        <v>54</v>
      </c>
      <c r="J976" s="22" t="s">
        <v>90</v>
      </c>
      <c r="K976" s="22" t="s">
        <v>1625</v>
      </c>
      <c r="L976" s="22" t="s">
        <v>57</v>
      </c>
      <c r="M976" s="22" t="s">
        <v>24</v>
      </c>
      <c r="N976" s="22">
        <v>16</v>
      </c>
      <c r="O976" s="26">
        <v>32800</v>
      </c>
      <c r="P976" s="22">
        <v>0.2</v>
      </c>
      <c r="Q976" s="30">
        <v>23100</v>
      </c>
      <c r="R976" s="33">
        <f>Table1_1[[#This Row],[Units Sold]]*Table1_1[[#This Row],[Unit Price]]*1-Table1_1[[#This Row],[Discount]]</f>
        <v>524799.80000000005</v>
      </c>
      <c r="S976" s="33">
        <f>Table1_1[[#This Row],[Units Sold]]*Table1_1[[#This Row],[Unit Cost]]</f>
        <v>369600</v>
      </c>
      <c r="T976" s="33">
        <f>Table1_1[[#This Row],[Sales Amount]]-S976</f>
        <v>155199.80000000005</v>
      </c>
      <c r="U976" s="32">
        <f>IFERROR(Table1_1[[#This Row],[Profit/loss]]/Table1_1[[#This Row],[Sales Amount]],0)</f>
        <v>0.29573143892204234</v>
      </c>
    </row>
    <row r="977" spans="1:21" ht="18" x14ac:dyDescent="0.35">
      <c r="A977" s="21" t="s">
        <v>1084</v>
      </c>
      <c r="B977" s="36">
        <v>45766</v>
      </c>
      <c r="C977" s="22">
        <f>YEAR(Table1_1[[#This Row],[Order Date]])</f>
        <v>2025</v>
      </c>
      <c r="D977" s="22" t="str">
        <f>TEXT(Table1_1[[#This Row],[Order Date]],"MMMM")</f>
        <v>April</v>
      </c>
      <c r="E977" s="22" t="s">
        <v>82</v>
      </c>
      <c r="F977" s="22" t="s">
        <v>100</v>
      </c>
      <c r="G977" s="22" t="s">
        <v>28</v>
      </c>
      <c r="H977" s="22" t="s">
        <v>39</v>
      </c>
      <c r="I977" s="22" t="s">
        <v>20</v>
      </c>
      <c r="J977" s="22" t="s">
        <v>21</v>
      </c>
      <c r="K977" s="22" t="s">
        <v>22</v>
      </c>
      <c r="L977" s="22" t="s">
        <v>23</v>
      </c>
      <c r="M977" s="22" t="s">
        <v>78</v>
      </c>
      <c r="N977" s="22">
        <v>8</v>
      </c>
      <c r="O977" s="26">
        <v>4499</v>
      </c>
      <c r="P977" s="22">
        <v>0.18</v>
      </c>
      <c r="Q977" s="30">
        <v>2910</v>
      </c>
      <c r="R977" s="33">
        <f>Table1_1[[#This Row],[Units Sold]]*Table1_1[[#This Row],[Unit Price]]*1-Table1_1[[#This Row],[Discount]]</f>
        <v>35991.82</v>
      </c>
      <c r="S977" s="33">
        <f>Table1_1[[#This Row],[Units Sold]]*Table1_1[[#This Row],[Unit Cost]]</f>
        <v>23280</v>
      </c>
      <c r="T977" s="33">
        <f>Table1_1[[#This Row],[Sales Amount]]-S977</f>
        <v>12711.82</v>
      </c>
      <c r="U977" s="32">
        <f>IFERROR(Table1_1[[#This Row],[Profit/loss]]/Table1_1[[#This Row],[Sales Amount]],0)</f>
        <v>0.35318636290134814</v>
      </c>
    </row>
    <row r="978" spans="1:21" ht="18" x14ac:dyDescent="0.35">
      <c r="A978" s="21" t="s">
        <v>1085</v>
      </c>
      <c r="B978" s="36">
        <v>45766</v>
      </c>
      <c r="C978" s="22">
        <f>YEAR(Table1_1[[#This Row],[Order Date]])</f>
        <v>2025</v>
      </c>
      <c r="D978" s="22" t="str">
        <f>TEXT(Table1_1[[#This Row],[Order Date]],"MMMM")</f>
        <v>April</v>
      </c>
      <c r="E978" s="22" t="s">
        <v>16</v>
      </c>
      <c r="F978" s="22" t="s">
        <v>17</v>
      </c>
      <c r="G978" s="22" t="s">
        <v>60</v>
      </c>
      <c r="H978" s="22" t="s">
        <v>29</v>
      </c>
      <c r="I978" s="22" t="s">
        <v>20</v>
      </c>
      <c r="J978" s="22" t="s">
        <v>21</v>
      </c>
      <c r="K978" s="22" t="s">
        <v>22</v>
      </c>
      <c r="L978" s="22" t="s">
        <v>33</v>
      </c>
      <c r="M978" s="22" t="s">
        <v>34</v>
      </c>
      <c r="N978" s="22">
        <v>37</v>
      </c>
      <c r="O978" s="26">
        <v>4499</v>
      </c>
      <c r="P978" s="22">
        <v>0.2</v>
      </c>
      <c r="Q978" s="30">
        <v>2910</v>
      </c>
      <c r="R978" s="33">
        <f>Table1_1[[#This Row],[Units Sold]]*Table1_1[[#This Row],[Unit Price]]*1-Table1_1[[#This Row],[Discount]]</f>
        <v>166462.79999999999</v>
      </c>
      <c r="S978" s="33">
        <f>Table1_1[[#This Row],[Units Sold]]*Table1_1[[#This Row],[Unit Cost]]</f>
        <v>107670</v>
      </c>
      <c r="T978" s="33">
        <f>Table1_1[[#This Row],[Sales Amount]]-S978</f>
        <v>58792.799999999988</v>
      </c>
      <c r="U978" s="32">
        <f>IFERROR(Table1_1[[#This Row],[Profit/loss]]/Table1_1[[#This Row],[Sales Amount]],0)</f>
        <v>0.35318882056531548</v>
      </c>
    </row>
    <row r="979" spans="1:21" ht="18" x14ac:dyDescent="0.35">
      <c r="A979" s="21" t="s">
        <v>1086</v>
      </c>
      <c r="B979" s="36">
        <v>45766</v>
      </c>
      <c r="C979" s="22">
        <f>YEAR(Table1_1[[#This Row],[Order Date]])</f>
        <v>2025</v>
      </c>
      <c r="D979" s="22" t="str">
        <f>TEXT(Table1_1[[#This Row],[Order Date]],"MMMM")</f>
        <v>April</v>
      </c>
      <c r="E979" s="22" t="s">
        <v>26</v>
      </c>
      <c r="F979" s="22" t="s">
        <v>74</v>
      </c>
      <c r="G979" s="22" t="s">
        <v>84</v>
      </c>
      <c r="H979" s="22" t="s">
        <v>29</v>
      </c>
      <c r="I979" s="22" t="s">
        <v>40</v>
      </c>
      <c r="J979" s="22" t="s">
        <v>76</v>
      </c>
      <c r="K979" s="22" t="s">
        <v>1626</v>
      </c>
      <c r="L979" s="22" t="s">
        <v>23</v>
      </c>
      <c r="M979" s="22" t="s">
        <v>78</v>
      </c>
      <c r="N979" s="22">
        <v>3</v>
      </c>
      <c r="O979" s="26">
        <v>25999</v>
      </c>
      <c r="P979" s="22">
        <v>0.05</v>
      </c>
      <c r="Q979" s="30">
        <v>17800</v>
      </c>
      <c r="R979" s="33">
        <f>Table1_1[[#This Row],[Units Sold]]*Table1_1[[#This Row],[Unit Price]]*1-Table1_1[[#This Row],[Discount]]</f>
        <v>77996.95</v>
      </c>
      <c r="S979" s="33">
        <f>Table1_1[[#This Row],[Units Sold]]*Table1_1[[#This Row],[Unit Cost]]</f>
        <v>53400</v>
      </c>
      <c r="T979" s="33">
        <f>Table1_1[[#This Row],[Sales Amount]]-S979</f>
        <v>24596.949999999997</v>
      </c>
      <c r="U979" s="32">
        <f>IFERROR(Table1_1[[#This Row],[Profit/loss]]/Table1_1[[#This Row],[Sales Amount]],0)</f>
        <v>0.31535784412082779</v>
      </c>
    </row>
    <row r="980" spans="1:21" ht="18" x14ac:dyDescent="0.35">
      <c r="A980" s="21" t="s">
        <v>1087</v>
      </c>
      <c r="B980" s="36">
        <v>45766</v>
      </c>
      <c r="C980" s="22">
        <f>YEAR(Table1_1[[#This Row],[Order Date]])</f>
        <v>2025</v>
      </c>
      <c r="D980" s="22" t="str">
        <f>TEXT(Table1_1[[#This Row],[Order Date]],"MMMM")</f>
        <v>April</v>
      </c>
      <c r="E980" s="22" t="s">
        <v>36</v>
      </c>
      <c r="F980" s="22" t="s">
        <v>59</v>
      </c>
      <c r="G980" s="22" t="s">
        <v>75</v>
      </c>
      <c r="H980" s="22" t="s">
        <v>19</v>
      </c>
      <c r="I980" s="22" t="s">
        <v>54</v>
      </c>
      <c r="J980" s="22" t="s">
        <v>90</v>
      </c>
      <c r="K980" s="22" t="s">
        <v>1625</v>
      </c>
      <c r="L980" s="22" t="s">
        <v>57</v>
      </c>
      <c r="M980" s="22" t="s">
        <v>78</v>
      </c>
      <c r="N980" s="22">
        <v>26</v>
      </c>
      <c r="O980" s="26">
        <v>32800</v>
      </c>
      <c r="P980" s="22">
        <v>0.18</v>
      </c>
      <c r="Q980" s="30">
        <v>23100</v>
      </c>
      <c r="R980" s="33">
        <f>Table1_1[[#This Row],[Units Sold]]*Table1_1[[#This Row],[Unit Price]]*1-Table1_1[[#This Row],[Discount]]</f>
        <v>852799.82</v>
      </c>
      <c r="S980" s="33">
        <f>Table1_1[[#This Row],[Units Sold]]*Table1_1[[#This Row],[Unit Cost]]</f>
        <v>600600</v>
      </c>
      <c r="T980" s="33">
        <f>Table1_1[[#This Row],[Sales Amount]]-S980</f>
        <v>252199.81999999995</v>
      </c>
      <c r="U980" s="32">
        <f>IFERROR(Table1_1[[#This Row],[Profit/loss]]/Table1_1[[#This Row],[Sales Amount]],0)</f>
        <v>0.2957315586675428</v>
      </c>
    </row>
    <row r="981" spans="1:21" ht="18" x14ac:dyDescent="0.35">
      <c r="A981" s="21" t="s">
        <v>1088</v>
      </c>
      <c r="B981" s="36">
        <v>45767</v>
      </c>
      <c r="C981" s="22">
        <f>YEAR(Table1_1[[#This Row],[Order Date]])</f>
        <v>2025</v>
      </c>
      <c r="D981" s="22" t="str">
        <f>TEXT(Table1_1[[#This Row],[Order Date]],"MMMM")</f>
        <v>April</v>
      </c>
      <c r="E981" s="22" t="s">
        <v>26</v>
      </c>
      <c r="F981" s="22" t="s">
        <v>27</v>
      </c>
      <c r="G981" s="22" t="s">
        <v>28</v>
      </c>
      <c r="H981" s="22" t="s">
        <v>29</v>
      </c>
      <c r="I981" s="22" t="s">
        <v>40</v>
      </c>
      <c r="J981" s="22" t="s">
        <v>64</v>
      </c>
      <c r="K981" s="22" t="s">
        <v>1619</v>
      </c>
      <c r="L981" s="22" t="s">
        <v>23</v>
      </c>
      <c r="M981" s="22" t="s">
        <v>24</v>
      </c>
      <c r="N981" s="22">
        <v>30</v>
      </c>
      <c r="O981" s="26">
        <v>1930</v>
      </c>
      <c r="P981" s="22">
        <v>0.15</v>
      </c>
      <c r="Q981" s="30">
        <v>1120</v>
      </c>
      <c r="R981" s="33">
        <f>Table1_1[[#This Row],[Units Sold]]*Table1_1[[#This Row],[Unit Price]]*1-Table1_1[[#This Row],[Discount]]</f>
        <v>57899.85</v>
      </c>
      <c r="S981" s="33">
        <f>Table1_1[[#This Row],[Units Sold]]*Table1_1[[#This Row],[Unit Cost]]</f>
        <v>33600</v>
      </c>
      <c r="T981" s="33">
        <f>Table1_1[[#This Row],[Sales Amount]]-S981</f>
        <v>24299.85</v>
      </c>
      <c r="U981" s="32">
        <f>IFERROR(Table1_1[[#This Row],[Profit/loss]]/Table1_1[[#This Row],[Sales Amount]],0)</f>
        <v>0.41968761577102531</v>
      </c>
    </row>
    <row r="982" spans="1:21" ht="18" x14ac:dyDescent="0.35">
      <c r="A982" s="21" t="s">
        <v>1089</v>
      </c>
      <c r="B982" s="36">
        <v>45768</v>
      </c>
      <c r="C982" s="22">
        <f>YEAR(Table1_1[[#This Row],[Order Date]])</f>
        <v>2025</v>
      </c>
      <c r="D982" s="22" t="str">
        <f>TEXT(Table1_1[[#This Row],[Order Date]],"MMMM")</f>
        <v>April</v>
      </c>
      <c r="E982" s="22" t="s">
        <v>26</v>
      </c>
      <c r="F982" s="22" t="s">
        <v>27</v>
      </c>
      <c r="G982" s="22" t="s">
        <v>75</v>
      </c>
      <c r="H982" s="22" t="s">
        <v>29</v>
      </c>
      <c r="I982" s="22" t="s">
        <v>54</v>
      </c>
      <c r="J982" s="22" t="s">
        <v>90</v>
      </c>
      <c r="K982" s="22" t="s">
        <v>1621</v>
      </c>
      <c r="L982" s="22" t="s">
        <v>23</v>
      </c>
      <c r="M982" s="22" t="s">
        <v>24</v>
      </c>
      <c r="N982" s="22">
        <v>39</v>
      </c>
      <c r="O982" s="26">
        <v>31990</v>
      </c>
      <c r="P982" s="22">
        <v>0.12</v>
      </c>
      <c r="Q982" s="30">
        <v>21800</v>
      </c>
      <c r="R982" s="33">
        <f>Table1_1[[#This Row],[Units Sold]]*Table1_1[[#This Row],[Unit Price]]*1-Table1_1[[#This Row],[Discount]]</f>
        <v>1247609.8799999999</v>
      </c>
      <c r="S982" s="33">
        <f>Table1_1[[#This Row],[Units Sold]]*Table1_1[[#This Row],[Unit Cost]]</f>
        <v>850200</v>
      </c>
      <c r="T982" s="33">
        <f>Table1_1[[#This Row],[Sales Amount]]-S982</f>
        <v>397409.87999999989</v>
      </c>
      <c r="U982" s="32">
        <f>IFERROR(Table1_1[[#This Row],[Profit/loss]]/Table1_1[[#This Row],[Sales Amount]],0)</f>
        <v>0.31853697728010932</v>
      </c>
    </row>
    <row r="983" spans="1:21" ht="18" x14ac:dyDescent="0.35">
      <c r="A983" s="21" t="s">
        <v>1090</v>
      </c>
      <c r="B983" s="36">
        <v>45768</v>
      </c>
      <c r="C983" s="22">
        <f>YEAR(Table1_1[[#This Row],[Order Date]])</f>
        <v>2025</v>
      </c>
      <c r="D983" s="22" t="str">
        <f>TEXT(Table1_1[[#This Row],[Order Date]],"MMMM")</f>
        <v>April</v>
      </c>
      <c r="E983" s="22" t="s">
        <v>16</v>
      </c>
      <c r="F983" s="22" t="s">
        <v>126</v>
      </c>
      <c r="G983" s="22" t="s">
        <v>101</v>
      </c>
      <c r="H983" s="22" t="s">
        <v>39</v>
      </c>
      <c r="I983" s="22" t="s">
        <v>70</v>
      </c>
      <c r="J983" s="22" t="s">
        <v>71</v>
      </c>
      <c r="K983" s="22" t="s">
        <v>80</v>
      </c>
      <c r="L983" s="22" t="s">
        <v>23</v>
      </c>
      <c r="M983" s="22" t="s">
        <v>24</v>
      </c>
      <c r="N983" s="22">
        <v>7</v>
      </c>
      <c r="O983" s="26">
        <v>1299</v>
      </c>
      <c r="P983" s="22">
        <v>0.18</v>
      </c>
      <c r="Q983" s="30">
        <v>720</v>
      </c>
      <c r="R983" s="33">
        <f>Table1_1[[#This Row],[Units Sold]]*Table1_1[[#This Row],[Unit Price]]*1-Table1_1[[#This Row],[Discount]]</f>
        <v>9092.82</v>
      </c>
      <c r="S983" s="33">
        <f>Table1_1[[#This Row],[Units Sold]]*Table1_1[[#This Row],[Unit Cost]]</f>
        <v>5040</v>
      </c>
      <c r="T983" s="33">
        <f>Table1_1[[#This Row],[Sales Amount]]-S983</f>
        <v>4052.8199999999997</v>
      </c>
      <c r="U983" s="32">
        <f>IFERROR(Table1_1[[#This Row],[Profit/loss]]/Table1_1[[#This Row],[Sales Amount]],0)</f>
        <v>0.4457165103895161</v>
      </c>
    </row>
    <row r="984" spans="1:21" ht="18" x14ac:dyDescent="0.35">
      <c r="A984" s="21" t="s">
        <v>1091</v>
      </c>
      <c r="B984" s="36">
        <v>45768</v>
      </c>
      <c r="C984" s="22">
        <f>YEAR(Table1_1[[#This Row],[Order Date]])</f>
        <v>2025</v>
      </c>
      <c r="D984" s="22" t="str">
        <f>TEXT(Table1_1[[#This Row],[Order Date]],"MMMM")</f>
        <v>April</v>
      </c>
      <c r="E984" s="22" t="s">
        <v>82</v>
      </c>
      <c r="F984" s="22" t="s">
        <v>83</v>
      </c>
      <c r="G984" s="22" t="s">
        <v>75</v>
      </c>
      <c r="H984" s="22" t="s">
        <v>19</v>
      </c>
      <c r="I984" s="22" t="s">
        <v>54</v>
      </c>
      <c r="J984" s="22" t="s">
        <v>129</v>
      </c>
      <c r="K984" s="22" t="s">
        <v>1630</v>
      </c>
      <c r="L984" s="22" t="s">
        <v>33</v>
      </c>
      <c r="M984" s="22" t="s">
        <v>24</v>
      </c>
      <c r="N984" s="22">
        <v>29</v>
      </c>
      <c r="O984" s="26">
        <v>29010</v>
      </c>
      <c r="P984" s="22">
        <v>0.18</v>
      </c>
      <c r="Q984" s="30">
        <v>19100</v>
      </c>
      <c r="R984" s="33">
        <f>Table1_1[[#This Row],[Units Sold]]*Table1_1[[#This Row],[Unit Price]]*1-Table1_1[[#This Row],[Discount]]</f>
        <v>841289.82</v>
      </c>
      <c r="S984" s="33">
        <f>Table1_1[[#This Row],[Units Sold]]*Table1_1[[#This Row],[Unit Cost]]</f>
        <v>553900</v>
      </c>
      <c r="T984" s="33">
        <f>Table1_1[[#This Row],[Sales Amount]]-S984</f>
        <v>287389.81999999995</v>
      </c>
      <c r="U984" s="32">
        <f>IFERROR(Table1_1[[#This Row],[Profit/loss]]/Table1_1[[#This Row],[Sales Amount]],0)</f>
        <v>0.34160620177241652</v>
      </c>
    </row>
    <row r="985" spans="1:21" ht="18" x14ac:dyDescent="0.35">
      <c r="A985" s="21" t="s">
        <v>1092</v>
      </c>
      <c r="B985" s="36">
        <v>45768</v>
      </c>
      <c r="C985" s="22">
        <f>YEAR(Table1_1[[#This Row],[Order Date]])</f>
        <v>2025</v>
      </c>
      <c r="D985" s="22" t="str">
        <f>TEXT(Table1_1[[#This Row],[Order Date]],"MMMM")</f>
        <v>April</v>
      </c>
      <c r="E985" s="22" t="s">
        <v>16</v>
      </c>
      <c r="F985" s="22" t="s">
        <v>98</v>
      </c>
      <c r="G985" s="22" t="s">
        <v>84</v>
      </c>
      <c r="H985" s="22" t="s">
        <v>19</v>
      </c>
      <c r="I985" s="22" t="s">
        <v>20</v>
      </c>
      <c r="J985" s="22" t="s">
        <v>45</v>
      </c>
      <c r="K985" s="22" t="s">
        <v>1618</v>
      </c>
      <c r="L985" s="22" t="s">
        <v>33</v>
      </c>
      <c r="M985" s="22" t="s">
        <v>78</v>
      </c>
      <c r="N985" s="22">
        <v>32</v>
      </c>
      <c r="O985" s="26">
        <v>1899</v>
      </c>
      <c r="P985" s="22">
        <v>0.2</v>
      </c>
      <c r="Q985" s="30">
        <v>1080</v>
      </c>
      <c r="R985" s="33">
        <f>Table1_1[[#This Row],[Units Sold]]*Table1_1[[#This Row],[Unit Price]]*1-Table1_1[[#This Row],[Discount]]</f>
        <v>60767.8</v>
      </c>
      <c r="S985" s="33">
        <f>Table1_1[[#This Row],[Units Sold]]*Table1_1[[#This Row],[Unit Cost]]</f>
        <v>34560</v>
      </c>
      <c r="T985" s="33">
        <f>Table1_1[[#This Row],[Sales Amount]]-S985</f>
        <v>26207.800000000003</v>
      </c>
      <c r="U985" s="32">
        <f>IFERROR(Table1_1[[#This Row],[Profit/loss]]/Table1_1[[#This Row],[Sales Amount]],0)</f>
        <v>0.4312777490710541</v>
      </c>
    </row>
    <row r="986" spans="1:21" ht="18" x14ac:dyDescent="0.35">
      <c r="A986" s="21" t="s">
        <v>1093</v>
      </c>
      <c r="B986" s="36">
        <v>45769</v>
      </c>
      <c r="C986" s="22">
        <f>YEAR(Table1_1[[#This Row],[Order Date]])</f>
        <v>2025</v>
      </c>
      <c r="D986" s="22" t="str">
        <f>TEXT(Table1_1[[#This Row],[Order Date]],"MMMM")</f>
        <v>April</v>
      </c>
      <c r="E986" s="22" t="s">
        <v>26</v>
      </c>
      <c r="F986" s="22" t="s">
        <v>53</v>
      </c>
      <c r="G986" s="22" t="s">
        <v>69</v>
      </c>
      <c r="H986" s="22" t="s">
        <v>19</v>
      </c>
      <c r="I986" s="22" t="s">
        <v>40</v>
      </c>
      <c r="J986" s="22" t="s">
        <v>76</v>
      </c>
      <c r="K986" s="22" t="s">
        <v>1620</v>
      </c>
      <c r="L986" s="22" t="s">
        <v>33</v>
      </c>
      <c r="M986" s="22" t="s">
        <v>24</v>
      </c>
      <c r="N986" s="22">
        <v>38</v>
      </c>
      <c r="O986" s="26">
        <v>52990</v>
      </c>
      <c r="P986" s="22">
        <v>0.08</v>
      </c>
      <c r="Q986" s="30">
        <v>39500</v>
      </c>
      <c r="R986" s="33">
        <f>Table1_1[[#This Row],[Units Sold]]*Table1_1[[#This Row],[Unit Price]]*1-Table1_1[[#This Row],[Discount]]</f>
        <v>2013619.92</v>
      </c>
      <c r="S986" s="33">
        <f>Table1_1[[#This Row],[Units Sold]]*Table1_1[[#This Row],[Unit Cost]]</f>
        <v>1501000</v>
      </c>
      <c r="T986" s="33">
        <f>Table1_1[[#This Row],[Sales Amount]]-S986</f>
        <v>512619.91999999993</v>
      </c>
      <c r="U986" s="32">
        <f>IFERROR(Table1_1[[#This Row],[Profit/loss]]/Table1_1[[#This Row],[Sales Amount]],0)</f>
        <v>0.25457630554230909</v>
      </c>
    </row>
    <row r="987" spans="1:21" ht="18" x14ac:dyDescent="0.35">
      <c r="A987" s="21" t="s">
        <v>1094</v>
      </c>
      <c r="B987" s="36">
        <v>45770</v>
      </c>
      <c r="C987" s="22">
        <f>YEAR(Table1_1[[#This Row],[Order Date]])</f>
        <v>2025</v>
      </c>
      <c r="D987" s="22" t="str">
        <f>TEXT(Table1_1[[#This Row],[Order Date]],"MMMM")</f>
        <v>April</v>
      </c>
      <c r="E987" s="22" t="s">
        <v>26</v>
      </c>
      <c r="F987" s="22" t="s">
        <v>74</v>
      </c>
      <c r="G987" s="22" t="s">
        <v>28</v>
      </c>
      <c r="H987" s="22" t="s">
        <v>19</v>
      </c>
      <c r="I987" s="22" t="s">
        <v>70</v>
      </c>
      <c r="J987" s="22" t="s">
        <v>71</v>
      </c>
      <c r="K987" s="22" t="s">
        <v>88</v>
      </c>
      <c r="L987" s="22" t="s">
        <v>23</v>
      </c>
      <c r="M987" s="22" t="s">
        <v>66</v>
      </c>
      <c r="N987" s="22">
        <v>3</v>
      </c>
      <c r="O987" s="26">
        <v>999</v>
      </c>
      <c r="P987" s="22">
        <v>0.08</v>
      </c>
      <c r="Q987" s="30">
        <v>540</v>
      </c>
      <c r="R987" s="33">
        <f>Table1_1[[#This Row],[Units Sold]]*Table1_1[[#This Row],[Unit Price]]*1-Table1_1[[#This Row],[Discount]]</f>
        <v>2996.92</v>
      </c>
      <c r="S987" s="33">
        <f>Table1_1[[#This Row],[Units Sold]]*Table1_1[[#This Row],[Unit Cost]]</f>
        <v>1620</v>
      </c>
      <c r="T987" s="33">
        <f>Table1_1[[#This Row],[Sales Amount]]-S987</f>
        <v>1376.92</v>
      </c>
      <c r="U987" s="32">
        <f>IFERROR(Table1_1[[#This Row],[Profit/loss]]/Table1_1[[#This Row],[Sales Amount]],0)</f>
        <v>0.45944503023103722</v>
      </c>
    </row>
    <row r="988" spans="1:21" ht="18" x14ac:dyDescent="0.35">
      <c r="A988" s="21" t="s">
        <v>1095</v>
      </c>
      <c r="B988" s="36">
        <v>45770</v>
      </c>
      <c r="C988" s="22">
        <f>YEAR(Table1_1[[#This Row],[Order Date]])</f>
        <v>2025</v>
      </c>
      <c r="D988" s="22" t="str">
        <f>TEXT(Table1_1[[#This Row],[Order Date]],"MMMM")</f>
        <v>April</v>
      </c>
      <c r="E988" s="22" t="s">
        <v>36</v>
      </c>
      <c r="F988" s="22" t="s">
        <v>59</v>
      </c>
      <c r="G988" s="22" t="s">
        <v>50</v>
      </c>
      <c r="H988" s="22" t="s">
        <v>39</v>
      </c>
      <c r="I988" s="22" t="s">
        <v>40</v>
      </c>
      <c r="J988" s="22" t="s">
        <v>76</v>
      </c>
      <c r="K988" s="22" t="s">
        <v>113</v>
      </c>
      <c r="L988" s="22" t="s">
        <v>23</v>
      </c>
      <c r="M988" s="22" t="s">
        <v>78</v>
      </c>
      <c r="N988" s="22">
        <v>13</v>
      </c>
      <c r="O988" s="26">
        <v>22999</v>
      </c>
      <c r="P988" s="22">
        <v>0.08</v>
      </c>
      <c r="Q988" s="30">
        <v>15100</v>
      </c>
      <c r="R988" s="33">
        <f>Table1_1[[#This Row],[Units Sold]]*Table1_1[[#This Row],[Unit Price]]*1-Table1_1[[#This Row],[Discount]]</f>
        <v>298986.92</v>
      </c>
      <c r="S988" s="33">
        <f>Table1_1[[#This Row],[Units Sold]]*Table1_1[[#This Row],[Unit Cost]]</f>
        <v>196300</v>
      </c>
      <c r="T988" s="33">
        <f>Table1_1[[#This Row],[Sales Amount]]-S988</f>
        <v>102686.91999999998</v>
      </c>
      <c r="U988" s="32">
        <f>IFERROR(Table1_1[[#This Row],[Profit/loss]]/Table1_1[[#This Row],[Sales Amount]],0)</f>
        <v>0.34344953953169588</v>
      </c>
    </row>
    <row r="989" spans="1:21" ht="18" x14ac:dyDescent="0.35">
      <c r="A989" s="21" t="s">
        <v>1096</v>
      </c>
      <c r="B989" s="36">
        <v>45771</v>
      </c>
      <c r="C989" s="22">
        <f>YEAR(Table1_1[[#This Row],[Order Date]])</f>
        <v>2025</v>
      </c>
      <c r="D989" s="22" t="str">
        <f>TEXT(Table1_1[[#This Row],[Order Date]],"MMMM")</f>
        <v>April</v>
      </c>
      <c r="E989" s="22" t="s">
        <v>36</v>
      </c>
      <c r="F989" s="22" t="s">
        <v>59</v>
      </c>
      <c r="G989" s="22" t="s">
        <v>69</v>
      </c>
      <c r="H989" s="22" t="s">
        <v>29</v>
      </c>
      <c r="I989" s="22" t="s">
        <v>40</v>
      </c>
      <c r="J989" s="22" t="s">
        <v>41</v>
      </c>
      <c r="K989" s="22" t="s">
        <v>42</v>
      </c>
      <c r="L989" s="22" t="s">
        <v>57</v>
      </c>
      <c r="M989" s="22" t="s">
        <v>24</v>
      </c>
      <c r="N989" s="22">
        <v>29</v>
      </c>
      <c r="O989" s="26">
        <v>55230</v>
      </c>
      <c r="P989" s="22">
        <v>0.05</v>
      </c>
      <c r="Q989" s="30">
        <v>33800</v>
      </c>
      <c r="R989" s="33">
        <f>Table1_1[[#This Row],[Units Sold]]*Table1_1[[#This Row],[Unit Price]]*1-Table1_1[[#This Row],[Discount]]</f>
        <v>1601669.95</v>
      </c>
      <c r="S989" s="33">
        <f>Table1_1[[#This Row],[Units Sold]]*Table1_1[[#This Row],[Unit Cost]]</f>
        <v>980200</v>
      </c>
      <c r="T989" s="33">
        <f>Table1_1[[#This Row],[Sales Amount]]-S989</f>
        <v>621469.94999999995</v>
      </c>
      <c r="U989" s="32">
        <f>IFERROR(Table1_1[[#This Row],[Profit/loss]]/Table1_1[[#This Row],[Sales Amount]],0)</f>
        <v>0.38801374153270463</v>
      </c>
    </row>
    <row r="990" spans="1:21" ht="18" x14ac:dyDescent="0.35">
      <c r="A990" s="21" t="s">
        <v>1097</v>
      </c>
      <c r="B990" s="36">
        <v>45771</v>
      </c>
      <c r="C990" s="22">
        <f>YEAR(Table1_1[[#This Row],[Order Date]])</f>
        <v>2025</v>
      </c>
      <c r="D990" s="22" t="str">
        <f>TEXT(Table1_1[[#This Row],[Order Date]],"MMMM")</f>
        <v>April</v>
      </c>
      <c r="E990" s="22" t="s">
        <v>36</v>
      </c>
      <c r="F990" s="22" t="s">
        <v>121</v>
      </c>
      <c r="G990" s="22" t="s">
        <v>69</v>
      </c>
      <c r="H990" s="22" t="s">
        <v>19</v>
      </c>
      <c r="I990" s="22" t="s">
        <v>30</v>
      </c>
      <c r="J990" s="22" t="s">
        <v>31</v>
      </c>
      <c r="K990" s="22" t="s">
        <v>106</v>
      </c>
      <c r="L990" s="22" t="s">
        <v>33</v>
      </c>
      <c r="M990" s="22" t="s">
        <v>78</v>
      </c>
      <c r="N990" s="22">
        <v>39</v>
      </c>
      <c r="O990" s="26">
        <v>52990</v>
      </c>
      <c r="P990" s="22">
        <v>0.15</v>
      </c>
      <c r="Q990" s="30">
        <v>35100</v>
      </c>
      <c r="R990" s="33">
        <f>Table1_1[[#This Row],[Units Sold]]*Table1_1[[#This Row],[Unit Price]]*1-Table1_1[[#This Row],[Discount]]</f>
        <v>2066609.85</v>
      </c>
      <c r="S990" s="33">
        <f>Table1_1[[#This Row],[Units Sold]]*Table1_1[[#This Row],[Unit Cost]]</f>
        <v>1368900</v>
      </c>
      <c r="T990" s="33">
        <f>Table1_1[[#This Row],[Sales Amount]]-S990</f>
        <v>697709.85000000009</v>
      </c>
      <c r="U990" s="32">
        <f>IFERROR(Table1_1[[#This Row],[Profit/loss]]/Table1_1[[#This Row],[Sales Amount]],0)</f>
        <v>0.33761082189751496</v>
      </c>
    </row>
    <row r="991" spans="1:21" ht="18" x14ac:dyDescent="0.35">
      <c r="A991" s="21" t="s">
        <v>1098</v>
      </c>
      <c r="B991" s="36">
        <v>45771</v>
      </c>
      <c r="C991" s="22">
        <f>YEAR(Table1_1[[#This Row],[Order Date]])</f>
        <v>2025</v>
      </c>
      <c r="D991" s="22" t="str">
        <f>TEXT(Table1_1[[#This Row],[Order Date]],"MMMM")</f>
        <v>April</v>
      </c>
      <c r="E991" s="22" t="s">
        <v>16</v>
      </c>
      <c r="F991" s="22" t="s">
        <v>126</v>
      </c>
      <c r="G991" s="22" t="s">
        <v>50</v>
      </c>
      <c r="H991" s="22" t="s">
        <v>19</v>
      </c>
      <c r="I991" s="22" t="s">
        <v>70</v>
      </c>
      <c r="J991" s="22" t="s">
        <v>71</v>
      </c>
      <c r="K991" s="22" t="s">
        <v>72</v>
      </c>
      <c r="L991" s="22" t="s">
        <v>57</v>
      </c>
      <c r="M991" s="22" t="s">
        <v>66</v>
      </c>
      <c r="N991" s="22">
        <v>38</v>
      </c>
      <c r="O991" s="26">
        <v>3499</v>
      </c>
      <c r="P991" s="22">
        <v>0.05</v>
      </c>
      <c r="Q991" s="30">
        <v>2190</v>
      </c>
      <c r="R991" s="33">
        <f>Table1_1[[#This Row],[Units Sold]]*Table1_1[[#This Row],[Unit Price]]*1-Table1_1[[#This Row],[Discount]]</f>
        <v>132961.95000000001</v>
      </c>
      <c r="S991" s="33">
        <f>Table1_1[[#This Row],[Units Sold]]*Table1_1[[#This Row],[Unit Cost]]</f>
        <v>83220</v>
      </c>
      <c r="T991" s="33">
        <f>Table1_1[[#This Row],[Sales Amount]]-S991</f>
        <v>49741.950000000012</v>
      </c>
      <c r="U991" s="32">
        <f>IFERROR(Table1_1[[#This Row],[Profit/loss]]/Table1_1[[#This Row],[Sales Amount]],0)</f>
        <v>0.37410665231669665</v>
      </c>
    </row>
    <row r="992" spans="1:21" ht="18" x14ac:dyDescent="0.35">
      <c r="A992" s="21" t="s">
        <v>1099</v>
      </c>
      <c r="B992" s="36">
        <v>45772</v>
      </c>
      <c r="C992" s="22">
        <f>YEAR(Table1_1[[#This Row],[Order Date]])</f>
        <v>2025</v>
      </c>
      <c r="D992" s="22" t="str">
        <f>TEXT(Table1_1[[#This Row],[Order Date]],"MMMM")</f>
        <v>April</v>
      </c>
      <c r="E992" s="22" t="s">
        <v>26</v>
      </c>
      <c r="F992" s="22" t="s">
        <v>74</v>
      </c>
      <c r="G992" s="22" t="s">
        <v>101</v>
      </c>
      <c r="H992" s="22" t="s">
        <v>29</v>
      </c>
      <c r="I992" s="22" t="s">
        <v>70</v>
      </c>
      <c r="J992" s="22" t="s">
        <v>71</v>
      </c>
      <c r="K992" s="22" t="s">
        <v>72</v>
      </c>
      <c r="L992" s="22" t="s">
        <v>57</v>
      </c>
      <c r="M992" s="22" t="s">
        <v>78</v>
      </c>
      <c r="N992" s="22">
        <v>3</v>
      </c>
      <c r="O992" s="26">
        <v>3499</v>
      </c>
      <c r="P992" s="22">
        <v>0.18</v>
      </c>
      <c r="Q992" s="30">
        <v>2190</v>
      </c>
      <c r="R992" s="33">
        <f>Table1_1[[#This Row],[Units Sold]]*Table1_1[[#This Row],[Unit Price]]*1-Table1_1[[#This Row],[Discount]]</f>
        <v>10496.82</v>
      </c>
      <c r="S992" s="33">
        <f>Table1_1[[#This Row],[Units Sold]]*Table1_1[[#This Row],[Unit Cost]]</f>
        <v>6570</v>
      </c>
      <c r="T992" s="33">
        <f>Table1_1[[#This Row],[Sales Amount]]-S992</f>
        <v>3926.8199999999997</v>
      </c>
      <c r="U992" s="32">
        <f>IFERROR(Table1_1[[#This Row],[Profit/loss]]/Table1_1[[#This Row],[Sales Amount]],0)</f>
        <v>0.37409615483546443</v>
      </c>
    </row>
    <row r="993" spans="1:21" ht="18" x14ac:dyDescent="0.35">
      <c r="A993" s="21" t="s">
        <v>1100</v>
      </c>
      <c r="B993" s="36">
        <v>45772</v>
      </c>
      <c r="C993" s="22">
        <f>YEAR(Table1_1[[#This Row],[Order Date]])</f>
        <v>2025</v>
      </c>
      <c r="D993" s="22" t="str">
        <f>TEXT(Table1_1[[#This Row],[Order Date]],"MMMM")</f>
        <v>April</v>
      </c>
      <c r="E993" s="22" t="s">
        <v>48</v>
      </c>
      <c r="F993" s="22" t="s">
        <v>68</v>
      </c>
      <c r="G993" s="22" t="s">
        <v>105</v>
      </c>
      <c r="H993" s="22" t="s">
        <v>29</v>
      </c>
      <c r="I993" s="22" t="s">
        <v>30</v>
      </c>
      <c r="J993" s="22" t="s">
        <v>31</v>
      </c>
      <c r="K993" s="22" t="s">
        <v>85</v>
      </c>
      <c r="L993" s="22" t="s">
        <v>23</v>
      </c>
      <c r="M993" s="22" t="s">
        <v>34</v>
      </c>
      <c r="N993" s="22">
        <v>16</v>
      </c>
      <c r="O993" s="26">
        <v>43500</v>
      </c>
      <c r="P993" s="22">
        <v>0.08</v>
      </c>
      <c r="Q993" s="30">
        <v>29520</v>
      </c>
      <c r="R993" s="33">
        <f>Table1_1[[#This Row],[Units Sold]]*Table1_1[[#This Row],[Unit Price]]*1-Table1_1[[#This Row],[Discount]]</f>
        <v>695999.92</v>
      </c>
      <c r="S993" s="33">
        <f>Table1_1[[#This Row],[Units Sold]]*Table1_1[[#This Row],[Unit Cost]]</f>
        <v>472320</v>
      </c>
      <c r="T993" s="33">
        <f>Table1_1[[#This Row],[Sales Amount]]-S993</f>
        <v>223679.92000000004</v>
      </c>
      <c r="U993" s="32">
        <f>IFERROR(Table1_1[[#This Row],[Profit/loss]]/Table1_1[[#This Row],[Sales Amount]],0)</f>
        <v>0.32137923234244054</v>
      </c>
    </row>
    <row r="994" spans="1:21" ht="18" x14ac:dyDescent="0.35">
      <c r="A994" s="21" t="s">
        <v>1101</v>
      </c>
      <c r="B994" s="36">
        <v>45772</v>
      </c>
      <c r="C994" s="22">
        <f>YEAR(Table1_1[[#This Row],[Order Date]])</f>
        <v>2025</v>
      </c>
      <c r="D994" s="22" t="str">
        <f>TEXT(Table1_1[[#This Row],[Order Date]],"MMMM")</f>
        <v>April</v>
      </c>
      <c r="E994" s="22" t="s">
        <v>16</v>
      </c>
      <c r="F994" s="22" t="s">
        <v>17</v>
      </c>
      <c r="G994" s="22" t="s">
        <v>69</v>
      </c>
      <c r="H994" s="22" t="s">
        <v>39</v>
      </c>
      <c r="I994" s="22" t="s">
        <v>40</v>
      </c>
      <c r="J994" s="22" t="s">
        <v>64</v>
      </c>
      <c r="K994" s="22" t="s">
        <v>1627</v>
      </c>
      <c r="L994" s="22" t="s">
        <v>33</v>
      </c>
      <c r="M994" s="22" t="s">
        <v>34</v>
      </c>
      <c r="N994" s="22">
        <v>6</v>
      </c>
      <c r="O994" s="26">
        <v>4490</v>
      </c>
      <c r="P994" s="22">
        <v>0.05</v>
      </c>
      <c r="Q994" s="30">
        <v>2950</v>
      </c>
      <c r="R994" s="33">
        <f>Table1_1[[#This Row],[Units Sold]]*Table1_1[[#This Row],[Unit Price]]*1-Table1_1[[#This Row],[Discount]]</f>
        <v>26939.95</v>
      </c>
      <c r="S994" s="33">
        <f>Table1_1[[#This Row],[Units Sold]]*Table1_1[[#This Row],[Unit Cost]]</f>
        <v>17700</v>
      </c>
      <c r="T994" s="33">
        <f>Table1_1[[#This Row],[Sales Amount]]-S994</f>
        <v>9239.9500000000007</v>
      </c>
      <c r="U994" s="32">
        <f>IFERROR(Table1_1[[#This Row],[Profit/loss]]/Table1_1[[#This Row],[Sales Amount]],0)</f>
        <v>0.34298319039196434</v>
      </c>
    </row>
    <row r="995" spans="1:21" ht="18" x14ac:dyDescent="0.35">
      <c r="A995" s="21" t="s">
        <v>1102</v>
      </c>
      <c r="B995" s="36">
        <v>45772</v>
      </c>
      <c r="C995" s="22">
        <f>YEAR(Table1_1[[#This Row],[Order Date]])</f>
        <v>2025</v>
      </c>
      <c r="D995" s="22" t="str">
        <f>TEXT(Table1_1[[#This Row],[Order Date]],"MMMM")</f>
        <v>April</v>
      </c>
      <c r="E995" s="22" t="s">
        <v>82</v>
      </c>
      <c r="F995" s="22" t="s">
        <v>183</v>
      </c>
      <c r="G995" s="22" t="s">
        <v>18</v>
      </c>
      <c r="H995" s="22" t="s">
        <v>29</v>
      </c>
      <c r="I995" s="22" t="s">
        <v>20</v>
      </c>
      <c r="J995" s="22" t="s">
        <v>21</v>
      </c>
      <c r="K995" s="22" t="s">
        <v>22</v>
      </c>
      <c r="L995" s="22" t="s">
        <v>33</v>
      </c>
      <c r="M995" s="22" t="s">
        <v>34</v>
      </c>
      <c r="N995" s="22">
        <v>37</v>
      </c>
      <c r="O995" s="26">
        <v>4499</v>
      </c>
      <c r="P995" s="22">
        <v>0.05</v>
      </c>
      <c r="Q995" s="30">
        <v>2910</v>
      </c>
      <c r="R995" s="33">
        <f>Table1_1[[#This Row],[Units Sold]]*Table1_1[[#This Row],[Unit Price]]*1-Table1_1[[#This Row],[Discount]]</f>
        <v>166462.95000000001</v>
      </c>
      <c r="S995" s="33">
        <f>Table1_1[[#This Row],[Units Sold]]*Table1_1[[#This Row],[Unit Cost]]</f>
        <v>107670</v>
      </c>
      <c r="T995" s="33">
        <f>Table1_1[[#This Row],[Sales Amount]]-S995</f>
        <v>58792.950000000012</v>
      </c>
      <c r="U995" s="32">
        <f>IFERROR(Table1_1[[#This Row],[Profit/loss]]/Table1_1[[#This Row],[Sales Amount]],0)</f>
        <v>0.35318940340778537</v>
      </c>
    </row>
    <row r="996" spans="1:21" ht="18" x14ac:dyDescent="0.35">
      <c r="A996" s="21" t="s">
        <v>1103</v>
      </c>
      <c r="B996" s="36">
        <v>45773</v>
      </c>
      <c r="C996" s="22">
        <f>YEAR(Table1_1[[#This Row],[Order Date]])</f>
        <v>2025</v>
      </c>
      <c r="D996" s="22" t="str">
        <f>TEXT(Table1_1[[#This Row],[Order Date]],"MMMM")</f>
        <v>April</v>
      </c>
      <c r="E996" s="22" t="s">
        <v>36</v>
      </c>
      <c r="F996" s="22" t="s">
        <v>44</v>
      </c>
      <c r="G996" s="22" t="s">
        <v>18</v>
      </c>
      <c r="H996" s="22" t="s">
        <v>19</v>
      </c>
      <c r="I996" s="22" t="s">
        <v>30</v>
      </c>
      <c r="J996" s="22" t="s">
        <v>31</v>
      </c>
      <c r="K996" s="22" t="s">
        <v>85</v>
      </c>
      <c r="L996" s="22" t="s">
        <v>57</v>
      </c>
      <c r="M996" s="22" t="s">
        <v>24</v>
      </c>
      <c r="N996" s="22">
        <v>14</v>
      </c>
      <c r="O996" s="26">
        <v>43500</v>
      </c>
      <c r="P996" s="22">
        <v>0.2</v>
      </c>
      <c r="Q996" s="30">
        <v>29520</v>
      </c>
      <c r="R996" s="33">
        <f>Table1_1[[#This Row],[Units Sold]]*Table1_1[[#This Row],[Unit Price]]*1-Table1_1[[#This Row],[Discount]]</f>
        <v>608999.80000000005</v>
      </c>
      <c r="S996" s="33">
        <f>Table1_1[[#This Row],[Units Sold]]*Table1_1[[#This Row],[Unit Cost]]</f>
        <v>413280</v>
      </c>
      <c r="T996" s="33">
        <f>Table1_1[[#This Row],[Sales Amount]]-S996</f>
        <v>195719.80000000005</v>
      </c>
      <c r="U996" s="32">
        <f>IFERROR(Table1_1[[#This Row],[Profit/loss]]/Table1_1[[#This Row],[Sales Amount]],0)</f>
        <v>0.32137908748081695</v>
      </c>
    </row>
    <row r="997" spans="1:21" ht="18" x14ac:dyDescent="0.35">
      <c r="A997" s="21" t="s">
        <v>1104</v>
      </c>
      <c r="B997" s="36">
        <v>45774</v>
      </c>
      <c r="C997" s="22">
        <f>YEAR(Table1_1[[#This Row],[Order Date]])</f>
        <v>2025</v>
      </c>
      <c r="D997" s="22" t="str">
        <f>TEXT(Table1_1[[#This Row],[Order Date]],"MMMM")</f>
        <v>April</v>
      </c>
      <c r="E997" s="22" t="s">
        <v>26</v>
      </c>
      <c r="F997" s="22" t="s">
        <v>27</v>
      </c>
      <c r="G997" s="22" t="s">
        <v>28</v>
      </c>
      <c r="H997" s="22" t="s">
        <v>29</v>
      </c>
      <c r="I997" s="22" t="s">
        <v>20</v>
      </c>
      <c r="J997" s="22" t="s">
        <v>21</v>
      </c>
      <c r="K997" s="22" t="s">
        <v>115</v>
      </c>
      <c r="L997" s="22" t="s">
        <v>33</v>
      </c>
      <c r="M997" s="22" t="s">
        <v>78</v>
      </c>
      <c r="N997" s="22">
        <v>19</v>
      </c>
      <c r="O997" s="26">
        <v>6499</v>
      </c>
      <c r="P997" s="22">
        <v>0.2</v>
      </c>
      <c r="Q997" s="30">
        <v>4210</v>
      </c>
      <c r="R997" s="33">
        <f>Table1_1[[#This Row],[Units Sold]]*Table1_1[[#This Row],[Unit Price]]*1-Table1_1[[#This Row],[Discount]]</f>
        <v>123480.8</v>
      </c>
      <c r="S997" s="33">
        <f>Table1_1[[#This Row],[Units Sold]]*Table1_1[[#This Row],[Unit Cost]]</f>
        <v>79990</v>
      </c>
      <c r="T997" s="33">
        <f>Table1_1[[#This Row],[Sales Amount]]-S997</f>
        <v>43490.8</v>
      </c>
      <c r="U997" s="32">
        <f>IFERROR(Table1_1[[#This Row],[Profit/loss]]/Table1_1[[#This Row],[Sales Amount]],0)</f>
        <v>0.35220698278598778</v>
      </c>
    </row>
    <row r="998" spans="1:21" ht="18" x14ac:dyDescent="0.35">
      <c r="A998" s="21" t="s">
        <v>1105</v>
      </c>
      <c r="B998" s="36">
        <v>45774</v>
      </c>
      <c r="C998" s="22">
        <f>YEAR(Table1_1[[#This Row],[Order Date]])</f>
        <v>2025</v>
      </c>
      <c r="D998" s="22" t="str">
        <f>TEXT(Table1_1[[#This Row],[Order Date]],"MMMM")</f>
        <v>April</v>
      </c>
      <c r="E998" s="22" t="s">
        <v>48</v>
      </c>
      <c r="F998" s="22" t="s">
        <v>49</v>
      </c>
      <c r="G998" s="22" t="s">
        <v>28</v>
      </c>
      <c r="H998" s="22" t="s">
        <v>39</v>
      </c>
      <c r="I998" s="22" t="s">
        <v>54</v>
      </c>
      <c r="J998" s="22" t="s">
        <v>129</v>
      </c>
      <c r="K998" s="22" t="s">
        <v>145</v>
      </c>
      <c r="L998" s="22" t="s">
        <v>57</v>
      </c>
      <c r="M998" s="22" t="s">
        <v>34</v>
      </c>
      <c r="N998" s="22">
        <v>20</v>
      </c>
      <c r="O998" s="26">
        <v>31490</v>
      </c>
      <c r="P998" s="22">
        <v>0.2</v>
      </c>
      <c r="Q998" s="30">
        <v>21300</v>
      </c>
      <c r="R998" s="33">
        <f>Table1_1[[#This Row],[Units Sold]]*Table1_1[[#This Row],[Unit Price]]*1-Table1_1[[#This Row],[Discount]]</f>
        <v>629799.80000000005</v>
      </c>
      <c r="S998" s="33">
        <f>Table1_1[[#This Row],[Units Sold]]*Table1_1[[#This Row],[Unit Cost]]</f>
        <v>426000</v>
      </c>
      <c r="T998" s="33">
        <f>Table1_1[[#This Row],[Sales Amount]]-S998</f>
        <v>203799.80000000005</v>
      </c>
      <c r="U998" s="32">
        <f>IFERROR(Table1_1[[#This Row],[Profit/loss]]/Table1_1[[#This Row],[Sales Amount]],0)</f>
        <v>0.32359457719738882</v>
      </c>
    </row>
    <row r="999" spans="1:21" ht="18" x14ac:dyDescent="0.35">
      <c r="A999" s="21" t="s">
        <v>1106</v>
      </c>
      <c r="B999" s="36">
        <v>45774</v>
      </c>
      <c r="C999" s="22">
        <f>YEAR(Table1_1[[#This Row],[Order Date]])</f>
        <v>2025</v>
      </c>
      <c r="D999" s="22" t="str">
        <f>TEXT(Table1_1[[#This Row],[Order Date]],"MMMM")</f>
        <v>April</v>
      </c>
      <c r="E999" s="22" t="s">
        <v>82</v>
      </c>
      <c r="F999" s="22" t="s">
        <v>83</v>
      </c>
      <c r="G999" s="22" t="s">
        <v>69</v>
      </c>
      <c r="H999" s="22" t="s">
        <v>19</v>
      </c>
      <c r="I999" s="22" t="s">
        <v>54</v>
      </c>
      <c r="J999" s="22" t="s">
        <v>90</v>
      </c>
      <c r="K999" s="22" t="s">
        <v>1625</v>
      </c>
      <c r="L999" s="22" t="s">
        <v>57</v>
      </c>
      <c r="M999" s="22" t="s">
        <v>24</v>
      </c>
      <c r="N999" s="22">
        <v>40</v>
      </c>
      <c r="O999" s="26">
        <v>32800</v>
      </c>
      <c r="P999" s="22">
        <v>0.15</v>
      </c>
      <c r="Q999" s="30">
        <v>23100</v>
      </c>
      <c r="R999" s="33">
        <f>Table1_1[[#This Row],[Units Sold]]*Table1_1[[#This Row],[Unit Price]]*1-Table1_1[[#This Row],[Discount]]</f>
        <v>1311999.8500000001</v>
      </c>
      <c r="S999" s="33">
        <f>Table1_1[[#This Row],[Units Sold]]*Table1_1[[#This Row],[Unit Cost]]</f>
        <v>924000</v>
      </c>
      <c r="T999" s="33">
        <f>Table1_1[[#This Row],[Sales Amount]]-S999</f>
        <v>387999.85000000009</v>
      </c>
      <c r="U999" s="32">
        <f>IFERROR(Table1_1[[#This Row],[Profit/loss]]/Table1_1[[#This Row],[Sales Amount]],0)</f>
        <v>0.29573162679858545</v>
      </c>
    </row>
    <row r="1000" spans="1:21" ht="18" x14ac:dyDescent="0.35">
      <c r="A1000" s="21" t="s">
        <v>1107</v>
      </c>
      <c r="B1000" s="36">
        <v>45775</v>
      </c>
      <c r="C1000" s="22">
        <f>YEAR(Table1_1[[#This Row],[Order Date]])</f>
        <v>2025</v>
      </c>
      <c r="D1000" s="22" t="str">
        <f>TEXT(Table1_1[[#This Row],[Order Date]],"MMMM")</f>
        <v>April</v>
      </c>
      <c r="E1000" s="22" t="s">
        <v>26</v>
      </c>
      <c r="F1000" s="22" t="s">
        <v>74</v>
      </c>
      <c r="G1000" s="22" t="s">
        <v>60</v>
      </c>
      <c r="H1000" s="22" t="s">
        <v>19</v>
      </c>
      <c r="I1000" s="22" t="s">
        <v>30</v>
      </c>
      <c r="J1000" s="22" t="s">
        <v>31</v>
      </c>
      <c r="K1000" s="22" t="s">
        <v>106</v>
      </c>
      <c r="L1000" s="22" t="s">
        <v>57</v>
      </c>
      <c r="M1000" s="22" t="s">
        <v>24</v>
      </c>
      <c r="N1000" s="22">
        <v>28</v>
      </c>
      <c r="O1000" s="26">
        <v>52990</v>
      </c>
      <c r="P1000" s="22">
        <v>0.15</v>
      </c>
      <c r="Q1000" s="30">
        <v>35100</v>
      </c>
      <c r="R1000" s="33">
        <f>Table1_1[[#This Row],[Units Sold]]*Table1_1[[#This Row],[Unit Price]]*1-Table1_1[[#This Row],[Discount]]</f>
        <v>1483719.85</v>
      </c>
      <c r="S1000" s="33">
        <f>Table1_1[[#This Row],[Units Sold]]*Table1_1[[#This Row],[Unit Cost]]</f>
        <v>982800</v>
      </c>
      <c r="T1000" s="33">
        <f>Table1_1[[#This Row],[Sales Amount]]-S1000</f>
        <v>500919.85000000009</v>
      </c>
      <c r="U1000" s="32">
        <f>IFERROR(Table1_1[[#This Row],[Profit/loss]]/Table1_1[[#This Row],[Sales Amount]],0)</f>
        <v>0.33761080300974611</v>
      </c>
    </row>
    <row r="1001" spans="1:21" ht="18" x14ac:dyDescent="0.35">
      <c r="A1001" s="21" t="s">
        <v>1108</v>
      </c>
      <c r="B1001" s="36">
        <v>45775</v>
      </c>
      <c r="C1001" s="22">
        <f>YEAR(Table1_1[[#This Row],[Order Date]])</f>
        <v>2025</v>
      </c>
      <c r="D1001" s="22" t="str">
        <f>TEXT(Table1_1[[#This Row],[Order Date]],"MMMM")</f>
        <v>April</v>
      </c>
      <c r="E1001" s="22" t="s">
        <v>16</v>
      </c>
      <c r="F1001" s="22" t="s">
        <v>126</v>
      </c>
      <c r="G1001" s="22" t="s">
        <v>75</v>
      </c>
      <c r="H1001" s="22" t="s">
        <v>39</v>
      </c>
      <c r="I1001" s="22" t="s">
        <v>20</v>
      </c>
      <c r="J1001" s="22" t="s">
        <v>21</v>
      </c>
      <c r="K1001" s="22" t="s">
        <v>115</v>
      </c>
      <c r="L1001" s="22" t="s">
        <v>33</v>
      </c>
      <c r="M1001" s="22" t="s">
        <v>78</v>
      </c>
      <c r="N1001" s="22">
        <v>3</v>
      </c>
      <c r="O1001" s="26">
        <v>6499</v>
      </c>
      <c r="P1001" s="22">
        <v>0.08</v>
      </c>
      <c r="Q1001" s="30">
        <v>4210</v>
      </c>
      <c r="R1001" s="33">
        <f>Table1_1[[#This Row],[Units Sold]]*Table1_1[[#This Row],[Unit Price]]*1-Table1_1[[#This Row],[Discount]]</f>
        <v>19496.919999999998</v>
      </c>
      <c r="S1001" s="33">
        <f>Table1_1[[#This Row],[Units Sold]]*Table1_1[[#This Row],[Unit Cost]]</f>
        <v>12630</v>
      </c>
      <c r="T1001" s="33">
        <f>Table1_1[[#This Row],[Sales Amount]]-S1001</f>
        <v>6866.9199999999983</v>
      </c>
      <c r="U1001" s="32">
        <f>IFERROR(Table1_1[[#This Row],[Profit/loss]]/Table1_1[[#This Row],[Sales Amount]],0)</f>
        <v>0.35220537397701784</v>
      </c>
    </row>
    <row r="1002" spans="1:21" ht="18" x14ac:dyDescent="0.35">
      <c r="A1002" s="21" t="s">
        <v>1109</v>
      </c>
      <c r="B1002" s="36">
        <v>45776</v>
      </c>
      <c r="C1002" s="22">
        <f>YEAR(Table1_1[[#This Row],[Order Date]])</f>
        <v>2025</v>
      </c>
      <c r="D1002" s="22" t="str">
        <f>TEXT(Table1_1[[#This Row],[Order Date]],"MMMM")</f>
        <v>April</v>
      </c>
      <c r="E1002" s="22" t="s">
        <v>16</v>
      </c>
      <c r="F1002" s="22" t="s">
        <v>126</v>
      </c>
      <c r="G1002" s="22" t="s">
        <v>50</v>
      </c>
      <c r="H1002" s="22" t="s">
        <v>29</v>
      </c>
      <c r="I1002" s="22" t="s">
        <v>30</v>
      </c>
      <c r="J1002" s="22" t="s">
        <v>31</v>
      </c>
      <c r="K1002" s="22" t="s">
        <v>106</v>
      </c>
      <c r="L1002" s="22" t="s">
        <v>23</v>
      </c>
      <c r="M1002" s="22" t="s">
        <v>24</v>
      </c>
      <c r="N1002" s="22">
        <v>20</v>
      </c>
      <c r="O1002" s="26">
        <v>52990</v>
      </c>
      <c r="P1002" s="22">
        <v>0.2</v>
      </c>
      <c r="Q1002" s="30">
        <v>35100</v>
      </c>
      <c r="R1002" s="33">
        <f>Table1_1[[#This Row],[Units Sold]]*Table1_1[[#This Row],[Unit Price]]*1-Table1_1[[#This Row],[Discount]]</f>
        <v>1059799.8</v>
      </c>
      <c r="S1002" s="33">
        <f>Table1_1[[#This Row],[Units Sold]]*Table1_1[[#This Row],[Unit Cost]]</f>
        <v>702000</v>
      </c>
      <c r="T1002" s="33">
        <f>Table1_1[[#This Row],[Sales Amount]]-S1002</f>
        <v>357799.80000000005</v>
      </c>
      <c r="U1002" s="32">
        <f>IFERROR(Table1_1[[#This Row],[Profit/loss]]/Table1_1[[#This Row],[Sales Amount]],0)</f>
        <v>0.33761074497277699</v>
      </c>
    </row>
    <row r="1003" spans="1:21" ht="18" x14ac:dyDescent="0.35">
      <c r="A1003" s="21" t="s">
        <v>1110</v>
      </c>
      <c r="B1003" s="36">
        <v>45776</v>
      </c>
      <c r="C1003" s="22">
        <f>YEAR(Table1_1[[#This Row],[Order Date]])</f>
        <v>2025</v>
      </c>
      <c r="D1003" s="22" t="str">
        <f>TEXT(Table1_1[[#This Row],[Order Date]],"MMMM")</f>
        <v>April</v>
      </c>
      <c r="E1003" s="22" t="s">
        <v>82</v>
      </c>
      <c r="F1003" s="22" t="s">
        <v>87</v>
      </c>
      <c r="G1003" s="22" t="s">
        <v>75</v>
      </c>
      <c r="H1003" s="22" t="s">
        <v>39</v>
      </c>
      <c r="I1003" s="22" t="s">
        <v>40</v>
      </c>
      <c r="J1003" s="22" t="s">
        <v>64</v>
      </c>
      <c r="K1003" s="22" t="s">
        <v>1629</v>
      </c>
      <c r="L1003" s="22" t="s">
        <v>23</v>
      </c>
      <c r="M1003" s="22" t="s">
        <v>66</v>
      </c>
      <c r="N1003" s="22">
        <v>32</v>
      </c>
      <c r="O1003" s="26">
        <v>3299</v>
      </c>
      <c r="P1003" s="22">
        <v>0.2</v>
      </c>
      <c r="Q1003" s="30">
        <v>2050</v>
      </c>
      <c r="R1003" s="33">
        <f>Table1_1[[#This Row],[Units Sold]]*Table1_1[[#This Row],[Unit Price]]*1-Table1_1[[#This Row],[Discount]]</f>
        <v>105567.8</v>
      </c>
      <c r="S1003" s="33">
        <f>Table1_1[[#This Row],[Units Sold]]*Table1_1[[#This Row],[Unit Cost]]</f>
        <v>65600</v>
      </c>
      <c r="T1003" s="33">
        <f>Table1_1[[#This Row],[Sales Amount]]-S1003</f>
        <v>39967.800000000003</v>
      </c>
      <c r="U1003" s="32">
        <f>IFERROR(Table1_1[[#This Row],[Profit/loss]]/Table1_1[[#This Row],[Sales Amount]],0)</f>
        <v>0.37859839837526216</v>
      </c>
    </row>
    <row r="1004" spans="1:21" ht="18" x14ac:dyDescent="0.35">
      <c r="A1004" s="21" t="s">
        <v>1111</v>
      </c>
      <c r="B1004" s="36">
        <v>45777</v>
      </c>
      <c r="C1004" s="22">
        <f>YEAR(Table1_1[[#This Row],[Order Date]])</f>
        <v>2025</v>
      </c>
      <c r="D1004" s="22" t="str">
        <f>TEXT(Table1_1[[#This Row],[Order Date]],"MMMM")</f>
        <v>April</v>
      </c>
      <c r="E1004" s="22" t="s">
        <v>16</v>
      </c>
      <c r="F1004" s="22" t="s">
        <v>126</v>
      </c>
      <c r="G1004" s="22" t="s">
        <v>84</v>
      </c>
      <c r="H1004" s="22" t="s">
        <v>19</v>
      </c>
      <c r="I1004" s="22" t="s">
        <v>40</v>
      </c>
      <c r="J1004" s="22" t="s">
        <v>64</v>
      </c>
      <c r="K1004" s="22" t="s">
        <v>1627</v>
      </c>
      <c r="L1004" s="22" t="s">
        <v>57</v>
      </c>
      <c r="M1004" s="22" t="s">
        <v>34</v>
      </c>
      <c r="N1004" s="22">
        <v>33</v>
      </c>
      <c r="O1004" s="26">
        <v>4490</v>
      </c>
      <c r="P1004" s="22">
        <v>0.18</v>
      </c>
      <c r="Q1004" s="30">
        <v>2950</v>
      </c>
      <c r="R1004" s="33">
        <f>Table1_1[[#This Row],[Units Sold]]*Table1_1[[#This Row],[Unit Price]]*1-Table1_1[[#This Row],[Discount]]</f>
        <v>148169.82</v>
      </c>
      <c r="S1004" s="33">
        <f>Table1_1[[#This Row],[Units Sold]]*Table1_1[[#This Row],[Unit Cost]]</f>
        <v>97350</v>
      </c>
      <c r="T1004" s="33">
        <f>Table1_1[[#This Row],[Sales Amount]]-S1004</f>
        <v>50819.820000000007</v>
      </c>
      <c r="U1004" s="32">
        <f>IFERROR(Table1_1[[#This Row],[Profit/loss]]/Table1_1[[#This Row],[Sales Amount]],0)</f>
        <v>0.3429836116423709</v>
      </c>
    </row>
    <row r="1005" spans="1:21" ht="18" x14ac:dyDescent="0.35">
      <c r="A1005" s="21" t="s">
        <v>1112</v>
      </c>
      <c r="B1005" s="36">
        <v>45778</v>
      </c>
      <c r="C1005" s="22">
        <f>YEAR(Table1_1[[#This Row],[Order Date]])</f>
        <v>2025</v>
      </c>
      <c r="D1005" s="22" t="str">
        <f>TEXT(Table1_1[[#This Row],[Order Date]],"MMMM")</f>
        <v>May</v>
      </c>
      <c r="E1005" s="22" t="s">
        <v>82</v>
      </c>
      <c r="F1005" s="22" t="s">
        <v>183</v>
      </c>
      <c r="G1005" s="22" t="s">
        <v>101</v>
      </c>
      <c r="H1005" s="22" t="s">
        <v>29</v>
      </c>
      <c r="I1005" s="22" t="s">
        <v>20</v>
      </c>
      <c r="J1005" s="22" t="s">
        <v>21</v>
      </c>
      <c r="K1005" s="22" t="s">
        <v>51</v>
      </c>
      <c r="L1005" s="22" t="s">
        <v>33</v>
      </c>
      <c r="M1005" s="22" t="s">
        <v>24</v>
      </c>
      <c r="N1005" s="22">
        <v>2</v>
      </c>
      <c r="O1005" s="26">
        <v>5999</v>
      </c>
      <c r="P1005" s="22">
        <v>0.15</v>
      </c>
      <c r="Q1005" s="30">
        <v>3890</v>
      </c>
      <c r="R1005" s="33">
        <f>Table1_1[[#This Row],[Units Sold]]*Table1_1[[#This Row],[Unit Price]]*1-Table1_1[[#This Row],[Discount]]</f>
        <v>11997.85</v>
      </c>
      <c r="S1005" s="33">
        <f>Table1_1[[#This Row],[Units Sold]]*Table1_1[[#This Row],[Unit Cost]]</f>
        <v>7780</v>
      </c>
      <c r="T1005" s="33">
        <f>Table1_1[[#This Row],[Sales Amount]]-S1005</f>
        <v>4217.8500000000004</v>
      </c>
      <c r="U1005" s="32">
        <f>IFERROR(Table1_1[[#This Row],[Profit/loss]]/Table1_1[[#This Row],[Sales Amount]],0)</f>
        <v>0.35155048612876477</v>
      </c>
    </row>
    <row r="1006" spans="1:21" ht="18" x14ac:dyDescent="0.35">
      <c r="A1006" s="21" t="s">
        <v>1113</v>
      </c>
      <c r="B1006" s="36">
        <v>45778</v>
      </c>
      <c r="C1006" s="22">
        <f>YEAR(Table1_1[[#This Row],[Order Date]])</f>
        <v>2025</v>
      </c>
      <c r="D1006" s="22" t="str">
        <f>TEXT(Table1_1[[#This Row],[Order Date]],"MMMM")</f>
        <v>May</v>
      </c>
      <c r="E1006" s="22" t="s">
        <v>36</v>
      </c>
      <c r="F1006" s="22" t="s">
        <v>44</v>
      </c>
      <c r="G1006" s="22" t="s">
        <v>75</v>
      </c>
      <c r="H1006" s="22" t="s">
        <v>19</v>
      </c>
      <c r="I1006" s="22" t="s">
        <v>54</v>
      </c>
      <c r="J1006" s="22" t="s">
        <v>129</v>
      </c>
      <c r="K1006" s="22" t="s">
        <v>145</v>
      </c>
      <c r="L1006" s="22" t="s">
        <v>23</v>
      </c>
      <c r="M1006" s="22" t="s">
        <v>34</v>
      </c>
      <c r="N1006" s="22">
        <v>21</v>
      </c>
      <c r="O1006" s="26">
        <v>31490</v>
      </c>
      <c r="P1006" s="22">
        <v>0.18</v>
      </c>
      <c r="Q1006" s="30">
        <v>21300</v>
      </c>
      <c r="R1006" s="33">
        <f>Table1_1[[#This Row],[Units Sold]]*Table1_1[[#This Row],[Unit Price]]*1-Table1_1[[#This Row],[Discount]]</f>
        <v>661289.81999999995</v>
      </c>
      <c r="S1006" s="33">
        <f>Table1_1[[#This Row],[Units Sold]]*Table1_1[[#This Row],[Unit Cost]]</f>
        <v>447300</v>
      </c>
      <c r="T1006" s="33">
        <f>Table1_1[[#This Row],[Sales Amount]]-S1006</f>
        <v>213989.81999999995</v>
      </c>
      <c r="U1006" s="32">
        <f>IFERROR(Table1_1[[#This Row],[Profit/loss]]/Table1_1[[#This Row],[Sales Amount]],0)</f>
        <v>0.32359460788312144</v>
      </c>
    </row>
    <row r="1007" spans="1:21" ht="18" x14ac:dyDescent="0.35">
      <c r="A1007" s="21" t="s">
        <v>1114</v>
      </c>
      <c r="B1007" s="36">
        <v>45778</v>
      </c>
      <c r="C1007" s="22">
        <f>YEAR(Table1_1[[#This Row],[Order Date]])</f>
        <v>2025</v>
      </c>
      <c r="D1007" s="22" t="str">
        <f>TEXT(Table1_1[[#This Row],[Order Date]],"MMMM")</f>
        <v>May</v>
      </c>
      <c r="E1007" s="22" t="s">
        <v>48</v>
      </c>
      <c r="F1007" s="22" t="s">
        <v>136</v>
      </c>
      <c r="G1007" s="22" t="s">
        <v>28</v>
      </c>
      <c r="H1007" s="22" t="s">
        <v>29</v>
      </c>
      <c r="I1007" s="22" t="s">
        <v>40</v>
      </c>
      <c r="J1007" s="22" t="s">
        <v>41</v>
      </c>
      <c r="K1007" s="22" t="s">
        <v>1628</v>
      </c>
      <c r="L1007" s="22" t="s">
        <v>33</v>
      </c>
      <c r="M1007" s="22" t="s">
        <v>78</v>
      </c>
      <c r="N1007" s="22">
        <v>11</v>
      </c>
      <c r="O1007" s="26">
        <v>48500</v>
      </c>
      <c r="P1007" s="22">
        <v>0.18</v>
      </c>
      <c r="Q1007" s="30">
        <v>30200</v>
      </c>
      <c r="R1007" s="33">
        <f>Table1_1[[#This Row],[Units Sold]]*Table1_1[[#This Row],[Unit Price]]*1-Table1_1[[#This Row],[Discount]]</f>
        <v>533499.81999999995</v>
      </c>
      <c r="S1007" s="33">
        <f>Table1_1[[#This Row],[Units Sold]]*Table1_1[[#This Row],[Unit Cost]]</f>
        <v>332200</v>
      </c>
      <c r="T1007" s="33">
        <f>Table1_1[[#This Row],[Sales Amount]]-S1007</f>
        <v>201299.81999999995</v>
      </c>
      <c r="U1007" s="32">
        <f>IFERROR(Table1_1[[#This Row],[Profit/loss]]/Table1_1[[#This Row],[Sales Amount]],0)</f>
        <v>0.37731937753980865</v>
      </c>
    </row>
    <row r="1008" spans="1:21" ht="18" x14ac:dyDescent="0.35">
      <c r="A1008" s="21" t="s">
        <v>1115</v>
      </c>
      <c r="B1008" s="36">
        <v>45779</v>
      </c>
      <c r="C1008" s="22">
        <f>YEAR(Table1_1[[#This Row],[Order Date]])</f>
        <v>2025</v>
      </c>
      <c r="D1008" s="22" t="str">
        <f>TEXT(Table1_1[[#This Row],[Order Date]],"MMMM")</f>
        <v>May</v>
      </c>
      <c r="E1008" s="22" t="s">
        <v>36</v>
      </c>
      <c r="F1008" s="22" t="s">
        <v>59</v>
      </c>
      <c r="G1008" s="22" t="s">
        <v>101</v>
      </c>
      <c r="H1008" s="22" t="s">
        <v>19</v>
      </c>
      <c r="I1008" s="22" t="s">
        <v>40</v>
      </c>
      <c r="J1008" s="22" t="s">
        <v>64</v>
      </c>
      <c r="K1008" s="22" t="s">
        <v>1627</v>
      </c>
      <c r="L1008" s="22" t="s">
        <v>23</v>
      </c>
      <c r="M1008" s="22" t="s">
        <v>66</v>
      </c>
      <c r="N1008" s="22">
        <v>10</v>
      </c>
      <c r="O1008" s="26">
        <v>4490</v>
      </c>
      <c r="P1008" s="22">
        <v>0.05</v>
      </c>
      <c r="Q1008" s="30">
        <v>2950</v>
      </c>
      <c r="R1008" s="33">
        <f>Table1_1[[#This Row],[Units Sold]]*Table1_1[[#This Row],[Unit Price]]*1-Table1_1[[#This Row],[Discount]]</f>
        <v>44899.95</v>
      </c>
      <c r="S1008" s="33">
        <f>Table1_1[[#This Row],[Units Sold]]*Table1_1[[#This Row],[Unit Cost]]</f>
        <v>29500</v>
      </c>
      <c r="T1008" s="33">
        <f>Table1_1[[#This Row],[Sales Amount]]-S1008</f>
        <v>15399.949999999997</v>
      </c>
      <c r="U1008" s="32">
        <f>IFERROR(Table1_1[[#This Row],[Profit/loss]]/Table1_1[[#This Row],[Sales Amount]],0)</f>
        <v>0.34298367815554354</v>
      </c>
    </row>
    <row r="1009" spans="1:21" ht="18" x14ac:dyDescent="0.35">
      <c r="A1009" s="21" t="s">
        <v>1116</v>
      </c>
      <c r="B1009" s="36">
        <v>45779</v>
      </c>
      <c r="C1009" s="22">
        <f>YEAR(Table1_1[[#This Row],[Order Date]])</f>
        <v>2025</v>
      </c>
      <c r="D1009" s="22" t="str">
        <f>TEXT(Table1_1[[#This Row],[Order Date]],"MMMM")</f>
        <v>May</v>
      </c>
      <c r="E1009" s="22" t="s">
        <v>82</v>
      </c>
      <c r="F1009" s="22" t="s">
        <v>100</v>
      </c>
      <c r="G1009" s="22" t="s">
        <v>84</v>
      </c>
      <c r="H1009" s="22" t="s">
        <v>39</v>
      </c>
      <c r="I1009" s="22" t="s">
        <v>40</v>
      </c>
      <c r="J1009" s="22" t="s">
        <v>76</v>
      </c>
      <c r="K1009" s="22" t="s">
        <v>1620</v>
      </c>
      <c r="L1009" s="22" t="s">
        <v>57</v>
      </c>
      <c r="M1009" s="22" t="s">
        <v>24</v>
      </c>
      <c r="N1009" s="22">
        <v>15</v>
      </c>
      <c r="O1009" s="26">
        <v>52990</v>
      </c>
      <c r="P1009" s="22">
        <v>0.2</v>
      </c>
      <c r="Q1009" s="30">
        <v>39500</v>
      </c>
      <c r="R1009" s="33">
        <f>Table1_1[[#This Row],[Units Sold]]*Table1_1[[#This Row],[Unit Price]]*1-Table1_1[[#This Row],[Discount]]</f>
        <v>794849.8</v>
      </c>
      <c r="S1009" s="33">
        <f>Table1_1[[#This Row],[Units Sold]]*Table1_1[[#This Row],[Unit Cost]]</f>
        <v>592500</v>
      </c>
      <c r="T1009" s="33">
        <f>Table1_1[[#This Row],[Sales Amount]]-S1009</f>
        <v>202349.80000000005</v>
      </c>
      <c r="U1009" s="32">
        <f>IFERROR(Table1_1[[#This Row],[Profit/loss]]/Table1_1[[#This Row],[Sales Amount]],0)</f>
        <v>0.25457614759417446</v>
      </c>
    </row>
    <row r="1010" spans="1:21" ht="18" x14ac:dyDescent="0.35">
      <c r="A1010" s="21" t="s">
        <v>1117</v>
      </c>
      <c r="B1010" s="36">
        <v>45779</v>
      </c>
      <c r="C1010" s="22">
        <f>YEAR(Table1_1[[#This Row],[Order Date]])</f>
        <v>2025</v>
      </c>
      <c r="D1010" s="22" t="str">
        <f>TEXT(Table1_1[[#This Row],[Order Date]],"MMMM")</f>
        <v>May</v>
      </c>
      <c r="E1010" s="22" t="s">
        <v>48</v>
      </c>
      <c r="F1010" s="22" t="s">
        <v>49</v>
      </c>
      <c r="G1010" s="22" t="s">
        <v>75</v>
      </c>
      <c r="H1010" s="22" t="s">
        <v>39</v>
      </c>
      <c r="I1010" s="22" t="s">
        <v>20</v>
      </c>
      <c r="J1010" s="22" t="s">
        <v>45</v>
      </c>
      <c r="K1010" s="22" t="s">
        <v>1622</v>
      </c>
      <c r="L1010" s="22" t="s">
        <v>23</v>
      </c>
      <c r="M1010" s="22" t="s">
        <v>78</v>
      </c>
      <c r="N1010" s="22">
        <v>25</v>
      </c>
      <c r="O1010" s="26">
        <v>1599</v>
      </c>
      <c r="P1010" s="22">
        <v>0.12</v>
      </c>
      <c r="Q1010" s="30">
        <v>920</v>
      </c>
      <c r="R1010" s="33">
        <f>Table1_1[[#This Row],[Units Sold]]*Table1_1[[#This Row],[Unit Price]]*1-Table1_1[[#This Row],[Discount]]</f>
        <v>39974.879999999997</v>
      </c>
      <c r="S1010" s="33">
        <f>Table1_1[[#This Row],[Units Sold]]*Table1_1[[#This Row],[Unit Cost]]</f>
        <v>23000</v>
      </c>
      <c r="T1010" s="33">
        <f>Table1_1[[#This Row],[Sales Amount]]-S1010</f>
        <v>16974.879999999997</v>
      </c>
      <c r="U1010" s="32">
        <f>IFERROR(Table1_1[[#This Row],[Profit/loss]]/Table1_1[[#This Row],[Sales Amount]],0)</f>
        <v>0.42463867308669839</v>
      </c>
    </row>
    <row r="1011" spans="1:21" ht="18" x14ac:dyDescent="0.35">
      <c r="A1011" s="21" t="s">
        <v>1118</v>
      </c>
      <c r="B1011" s="36">
        <v>45781</v>
      </c>
      <c r="C1011" s="22">
        <f>YEAR(Table1_1[[#This Row],[Order Date]])</f>
        <v>2025</v>
      </c>
      <c r="D1011" s="22" t="str">
        <f>TEXT(Table1_1[[#This Row],[Order Date]],"MMMM")</f>
        <v>May</v>
      </c>
      <c r="E1011" s="22" t="s">
        <v>36</v>
      </c>
      <c r="F1011" s="22" t="s">
        <v>59</v>
      </c>
      <c r="G1011" s="22" t="s">
        <v>50</v>
      </c>
      <c r="H1011" s="22" t="s">
        <v>19</v>
      </c>
      <c r="I1011" s="22" t="s">
        <v>54</v>
      </c>
      <c r="J1011" s="22" t="s">
        <v>129</v>
      </c>
      <c r="K1011" s="22" t="s">
        <v>130</v>
      </c>
      <c r="L1011" s="22" t="s">
        <v>57</v>
      </c>
      <c r="M1011" s="22" t="s">
        <v>24</v>
      </c>
      <c r="N1011" s="22">
        <v>3</v>
      </c>
      <c r="O1011" s="26">
        <v>27890</v>
      </c>
      <c r="P1011" s="22">
        <v>0.05</v>
      </c>
      <c r="Q1011" s="30">
        <v>18800</v>
      </c>
      <c r="R1011" s="33">
        <f>Table1_1[[#This Row],[Units Sold]]*Table1_1[[#This Row],[Unit Price]]*1-Table1_1[[#This Row],[Discount]]</f>
        <v>83669.95</v>
      </c>
      <c r="S1011" s="33">
        <f>Table1_1[[#This Row],[Units Sold]]*Table1_1[[#This Row],[Unit Cost]]</f>
        <v>56400</v>
      </c>
      <c r="T1011" s="33">
        <f>Table1_1[[#This Row],[Sales Amount]]-S1011</f>
        <v>27269.949999999997</v>
      </c>
      <c r="U1011" s="32">
        <f>IFERROR(Table1_1[[#This Row],[Profit/loss]]/Table1_1[[#This Row],[Sales Amount]],0)</f>
        <v>0.32592286717035207</v>
      </c>
    </row>
    <row r="1012" spans="1:21" ht="18" x14ac:dyDescent="0.35">
      <c r="A1012" s="21" t="s">
        <v>1119</v>
      </c>
      <c r="B1012" s="36">
        <v>45782</v>
      </c>
      <c r="C1012" s="22">
        <f>YEAR(Table1_1[[#This Row],[Order Date]])</f>
        <v>2025</v>
      </c>
      <c r="D1012" s="22" t="str">
        <f>TEXT(Table1_1[[#This Row],[Order Date]],"MMMM")</f>
        <v>May</v>
      </c>
      <c r="E1012" s="22" t="s">
        <v>36</v>
      </c>
      <c r="F1012" s="22" t="s">
        <v>37</v>
      </c>
      <c r="G1012" s="22" t="s">
        <v>18</v>
      </c>
      <c r="H1012" s="22" t="s">
        <v>29</v>
      </c>
      <c r="I1012" s="22" t="s">
        <v>70</v>
      </c>
      <c r="J1012" s="22" t="s">
        <v>71</v>
      </c>
      <c r="K1012" s="22" t="s">
        <v>72</v>
      </c>
      <c r="L1012" s="22" t="s">
        <v>33</v>
      </c>
      <c r="M1012" s="22" t="s">
        <v>66</v>
      </c>
      <c r="N1012" s="22">
        <v>28</v>
      </c>
      <c r="O1012" s="26">
        <v>3499</v>
      </c>
      <c r="P1012" s="22">
        <v>0.2</v>
      </c>
      <c r="Q1012" s="30">
        <v>2190</v>
      </c>
      <c r="R1012" s="33">
        <f>Table1_1[[#This Row],[Units Sold]]*Table1_1[[#This Row],[Unit Price]]*1-Table1_1[[#This Row],[Discount]]</f>
        <v>97971.8</v>
      </c>
      <c r="S1012" s="33">
        <f>Table1_1[[#This Row],[Units Sold]]*Table1_1[[#This Row],[Unit Cost]]</f>
        <v>61320</v>
      </c>
      <c r="T1012" s="33">
        <f>Table1_1[[#This Row],[Sales Amount]]-S1012</f>
        <v>36651.800000000003</v>
      </c>
      <c r="U1012" s="32">
        <f>IFERROR(Table1_1[[#This Row],[Profit/loss]]/Table1_1[[#This Row],[Sales Amount]],0)</f>
        <v>0.37410560998164782</v>
      </c>
    </row>
    <row r="1013" spans="1:21" ht="18" x14ac:dyDescent="0.35">
      <c r="A1013" s="21" t="s">
        <v>1120</v>
      </c>
      <c r="B1013" s="36">
        <v>45782</v>
      </c>
      <c r="C1013" s="22">
        <f>YEAR(Table1_1[[#This Row],[Order Date]])</f>
        <v>2025</v>
      </c>
      <c r="D1013" s="22" t="str">
        <f>TEXT(Table1_1[[#This Row],[Order Date]],"MMMM")</f>
        <v>May</v>
      </c>
      <c r="E1013" s="22" t="s">
        <v>48</v>
      </c>
      <c r="F1013" s="22" t="s">
        <v>136</v>
      </c>
      <c r="G1013" s="22" t="s">
        <v>60</v>
      </c>
      <c r="H1013" s="22" t="s">
        <v>19</v>
      </c>
      <c r="I1013" s="22" t="s">
        <v>70</v>
      </c>
      <c r="J1013" s="22" t="s">
        <v>71</v>
      </c>
      <c r="K1013" s="22" t="s">
        <v>80</v>
      </c>
      <c r="L1013" s="22" t="s">
        <v>57</v>
      </c>
      <c r="M1013" s="22" t="s">
        <v>24</v>
      </c>
      <c r="N1013" s="22">
        <v>31</v>
      </c>
      <c r="O1013" s="26">
        <v>1299</v>
      </c>
      <c r="P1013" s="22">
        <v>0.08</v>
      </c>
      <c r="Q1013" s="30">
        <v>720</v>
      </c>
      <c r="R1013" s="33">
        <f>Table1_1[[#This Row],[Units Sold]]*Table1_1[[#This Row],[Unit Price]]*1-Table1_1[[#This Row],[Discount]]</f>
        <v>40268.92</v>
      </c>
      <c r="S1013" s="33">
        <f>Table1_1[[#This Row],[Units Sold]]*Table1_1[[#This Row],[Unit Cost]]</f>
        <v>22320</v>
      </c>
      <c r="T1013" s="33">
        <f>Table1_1[[#This Row],[Sales Amount]]-S1013</f>
        <v>17948.919999999998</v>
      </c>
      <c r="U1013" s="32">
        <f>IFERROR(Table1_1[[#This Row],[Profit/loss]]/Table1_1[[#This Row],[Sales Amount]],0)</f>
        <v>0.44572638153692723</v>
      </c>
    </row>
    <row r="1014" spans="1:21" ht="18" x14ac:dyDescent="0.35">
      <c r="A1014" s="21" t="s">
        <v>1121</v>
      </c>
      <c r="B1014" s="36">
        <v>45783</v>
      </c>
      <c r="C1014" s="22">
        <f>YEAR(Table1_1[[#This Row],[Order Date]])</f>
        <v>2025</v>
      </c>
      <c r="D1014" s="22" t="str">
        <f>TEXT(Table1_1[[#This Row],[Order Date]],"MMMM")</f>
        <v>May</v>
      </c>
      <c r="E1014" s="22" t="s">
        <v>26</v>
      </c>
      <c r="F1014" s="22" t="s">
        <v>27</v>
      </c>
      <c r="G1014" s="22" t="s">
        <v>18</v>
      </c>
      <c r="H1014" s="22" t="s">
        <v>19</v>
      </c>
      <c r="I1014" s="22" t="s">
        <v>70</v>
      </c>
      <c r="J1014" s="22" t="s">
        <v>71</v>
      </c>
      <c r="K1014" s="22" t="s">
        <v>72</v>
      </c>
      <c r="L1014" s="22" t="s">
        <v>57</v>
      </c>
      <c r="M1014" s="22" t="s">
        <v>66</v>
      </c>
      <c r="N1014" s="22">
        <v>35</v>
      </c>
      <c r="O1014" s="26">
        <v>3499</v>
      </c>
      <c r="P1014" s="22">
        <v>0.15</v>
      </c>
      <c r="Q1014" s="30">
        <v>2190</v>
      </c>
      <c r="R1014" s="33">
        <f>Table1_1[[#This Row],[Units Sold]]*Table1_1[[#This Row],[Unit Price]]*1-Table1_1[[#This Row],[Discount]]</f>
        <v>122464.85</v>
      </c>
      <c r="S1014" s="33">
        <f>Table1_1[[#This Row],[Units Sold]]*Table1_1[[#This Row],[Unit Cost]]</f>
        <v>76650</v>
      </c>
      <c r="T1014" s="33">
        <f>Table1_1[[#This Row],[Sales Amount]]-S1014</f>
        <v>45814.850000000006</v>
      </c>
      <c r="U1014" s="32">
        <f>IFERROR(Table1_1[[#This Row],[Profit/loss]]/Table1_1[[#This Row],[Sales Amount]],0)</f>
        <v>0.37410612106249264</v>
      </c>
    </row>
    <row r="1015" spans="1:21" ht="18" x14ac:dyDescent="0.35">
      <c r="A1015" s="21" t="s">
        <v>1122</v>
      </c>
      <c r="B1015" s="36">
        <v>45784</v>
      </c>
      <c r="C1015" s="22">
        <f>YEAR(Table1_1[[#This Row],[Order Date]])</f>
        <v>2025</v>
      </c>
      <c r="D1015" s="22" t="str">
        <f>TEXT(Table1_1[[#This Row],[Order Date]],"MMMM")</f>
        <v>May</v>
      </c>
      <c r="E1015" s="22" t="s">
        <v>26</v>
      </c>
      <c r="F1015" s="22" t="s">
        <v>53</v>
      </c>
      <c r="G1015" s="22" t="s">
        <v>50</v>
      </c>
      <c r="H1015" s="22" t="s">
        <v>29</v>
      </c>
      <c r="I1015" s="22" t="s">
        <v>70</v>
      </c>
      <c r="J1015" s="22" t="s">
        <v>71</v>
      </c>
      <c r="K1015" s="22" t="s">
        <v>80</v>
      </c>
      <c r="L1015" s="22" t="s">
        <v>57</v>
      </c>
      <c r="M1015" s="22" t="s">
        <v>24</v>
      </c>
      <c r="N1015" s="22">
        <v>17</v>
      </c>
      <c r="O1015" s="26">
        <v>1299</v>
      </c>
      <c r="P1015" s="22">
        <v>0.18</v>
      </c>
      <c r="Q1015" s="30">
        <v>720</v>
      </c>
      <c r="R1015" s="33">
        <f>Table1_1[[#This Row],[Units Sold]]*Table1_1[[#This Row],[Unit Price]]*1-Table1_1[[#This Row],[Discount]]</f>
        <v>22082.82</v>
      </c>
      <c r="S1015" s="33">
        <f>Table1_1[[#This Row],[Units Sold]]*Table1_1[[#This Row],[Unit Cost]]</f>
        <v>12240</v>
      </c>
      <c r="T1015" s="33">
        <f>Table1_1[[#This Row],[Sales Amount]]-S1015</f>
        <v>9842.82</v>
      </c>
      <c r="U1015" s="32">
        <f>IFERROR(Table1_1[[#This Row],[Profit/loss]]/Table1_1[[#This Row],[Sales Amount]],0)</f>
        <v>0.44572296473004808</v>
      </c>
    </row>
    <row r="1016" spans="1:21" ht="18" x14ac:dyDescent="0.35">
      <c r="A1016" s="21" t="s">
        <v>1123</v>
      </c>
      <c r="B1016" s="36">
        <v>45785</v>
      </c>
      <c r="C1016" s="22">
        <f>YEAR(Table1_1[[#This Row],[Order Date]])</f>
        <v>2025</v>
      </c>
      <c r="D1016" s="22" t="str">
        <f>TEXT(Table1_1[[#This Row],[Order Date]],"MMMM")</f>
        <v>May</v>
      </c>
      <c r="E1016" s="22" t="s">
        <v>16</v>
      </c>
      <c r="F1016" s="22" t="s">
        <v>98</v>
      </c>
      <c r="G1016" s="22" t="s">
        <v>18</v>
      </c>
      <c r="H1016" s="22" t="s">
        <v>39</v>
      </c>
      <c r="I1016" s="22" t="s">
        <v>30</v>
      </c>
      <c r="J1016" s="22" t="s">
        <v>31</v>
      </c>
      <c r="K1016" s="22" t="s">
        <v>85</v>
      </c>
      <c r="L1016" s="22" t="s">
        <v>33</v>
      </c>
      <c r="M1016" s="22" t="s">
        <v>78</v>
      </c>
      <c r="N1016" s="22">
        <v>4</v>
      </c>
      <c r="O1016" s="26">
        <v>43500</v>
      </c>
      <c r="P1016" s="22">
        <v>0.18</v>
      </c>
      <c r="Q1016" s="30">
        <v>29520</v>
      </c>
      <c r="R1016" s="33">
        <f>Table1_1[[#This Row],[Units Sold]]*Table1_1[[#This Row],[Unit Price]]*1-Table1_1[[#This Row],[Discount]]</f>
        <v>173999.82</v>
      </c>
      <c r="S1016" s="33">
        <f>Table1_1[[#This Row],[Units Sold]]*Table1_1[[#This Row],[Unit Cost]]</f>
        <v>118080</v>
      </c>
      <c r="T1016" s="33">
        <f>Table1_1[[#This Row],[Sales Amount]]-S1016</f>
        <v>55919.820000000007</v>
      </c>
      <c r="U1016" s="32">
        <f>IFERROR(Table1_1[[#This Row],[Profit/loss]]/Table1_1[[#This Row],[Sales Amount]],0)</f>
        <v>0.32137860832269827</v>
      </c>
    </row>
    <row r="1017" spans="1:21" ht="18" x14ac:dyDescent="0.35">
      <c r="A1017" s="21" t="s">
        <v>1124</v>
      </c>
      <c r="B1017" s="36">
        <v>45785</v>
      </c>
      <c r="C1017" s="22">
        <f>YEAR(Table1_1[[#This Row],[Order Date]])</f>
        <v>2025</v>
      </c>
      <c r="D1017" s="22" t="str">
        <f>TEXT(Table1_1[[#This Row],[Order Date]],"MMMM")</f>
        <v>May</v>
      </c>
      <c r="E1017" s="22" t="s">
        <v>82</v>
      </c>
      <c r="F1017" s="22" t="s">
        <v>183</v>
      </c>
      <c r="G1017" s="22" t="s">
        <v>50</v>
      </c>
      <c r="H1017" s="22" t="s">
        <v>29</v>
      </c>
      <c r="I1017" s="22" t="s">
        <v>20</v>
      </c>
      <c r="J1017" s="22" t="s">
        <v>45</v>
      </c>
      <c r="K1017" s="22" t="s">
        <v>1618</v>
      </c>
      <c r="L1017" s="22" t="s">
        <v>33</v>
      </c>
      <c r="M1017" s="22" t="s">
        <v>24</v>
      </c>
      <c r="N1017" s="22">
        <v>3</v>
      </c>
      <c r="O1017" s="26">
        <v>1899</v>
      </c>
      <c r="P1017" s="22">
        <v>0.08</v>
      </c>
      <c r="Q1017" s="30">
        <v>1080</v>
      </c>
      <c r="R1017" s="33">
        <f>Table1_1[[#This Row],[Units Sold]]*Table1_1[[#This Row],[Unit Price]]*1-Table1_1[[#This Row],[Discount]]</f>
        <v>5696.92</v>
      </c>
      <c r="S1017" s="33">
        <f>Table1_1[[#This Row],[Units Sold]]*Table1_1[[#This Row],[Unit Cost]]</f>
        <v>3240</v>
      </c>
      <c r="T1017" s="33">
        <f>Table1_1[[#This Row],[Sales Amount]]-S1017</f>
        <v>2456.92</v>
      </c>
      <c r="U1017" s="32">
        <f>IFERROR(Table1_1[[#This Row],[Profit/loss]]/Table1_1[[#This Row],[Sales Amount]],0)</f>
        <v>0.4312716344972371</v>
      </c>
    </row>
    <row r="1018" spans="1:21" ht="18" x14ac:dyDescent="0.35">
      <c r="A1018" s="21" t="s">
        <v>1125</v>
      </c>
      <c r="B1018" s="36">
        <v>45786</v>
      </c>
      <c r="C1018" s="22">
        <f>YEAR(Table1_1[[#This Row],[Order Date]])</f>
        <v>2025</v>
      </c>
      <c r="D1018" s="22" t="str">
        <f>TEXT(Table1_1[[#This Row],[Order Date]],"MMMM")</f>
        <v>May</v>
      </c>
      <c r="E1018" s="22" t="s">
        <v>36</v>
      </c>
      <c r="F1018" s="22" t="s">
        <v>37</v>
      </c>
      <c r="G1018" s="22" t="s">
        <v>75</v>
      </c>
      <c r="H1018" s="22" t="s">
        <v>19</v>
      </c>
      <c r="I1018" s="22" t="s">
        <v>30</v>
      </c>
      <c r="J1018" s="22" t="s">
        <v>61</v>
      </c>
      <c r="K1018" s="22" t="s">
        <v>186</v>
      </c>
      <c r="L1018" s="22" t="s">
        <v>57</v>
      </c>
      <c r="M1018" s="22" t="s">
        <v>66</v>
      </c>
      <c r="N1018" s="22">
        <v>1</v>
      </c>
      <c r="O1018" s="26">
        <v>6999</v>
      </c>
      <c r="P1018" s="22">
        <v>0.05</v>
      </c>
      <c r="Q1018" s="30">
        <v>4320</v>
      </c>
      <c r="R1018" s="33">
        <f>Table1_1[[#This Row],[Units Sold]]*Table1_1[[#This Row],[Unit Price]]*1-Table1_1[[#This Row],[Discount]]</f>
        <v>6998.95</v>
      </c>
      <c r="S1018" s="33">
        <f>Table1_1[[#This Row],[Units Sold]]*Table1_1[[#This Row],[Unit Cost]]</f>
        <v>4320</v>
      </c>
      <c r="T1018" s="33">
        <f>Table1_1[[#This Row],[Sales Amount]]-S1018</f>
        <v>2678.95</v>
      </c>
      <c r="U1018" s="32">
        <f>IFERROR(Table1_1[[#This Row],[Profit/loss]]/Table1_1[[#This Row],[Sales Amount]],0)</f>
        <v>0.38276455754077393</v>
      </c>
    </row>
    <row r="1019" spans="1:21" ht="18" x14ac:dyDescent="0.35">
      <c r="A1019" s="21" t="s">
        <v>1126</v>
      </c>
      <c r="B1019" s="36">
        <v>45787</v>
      </c>
      <c r="C1019" s="22">
        <f>YEAR(Table1_1[[#This Row],[Order Date]])</f>
        <v>2025</v>
      </c>
      <c r="D1019" s="22" t="str">
        <f>TEXT(Table1_1[[#This Row],[Order Date]],"MMMM")</f>
        <v>May</v>
      </c>
      <c r="E1019" s="22" t="s">
        <v>26</v>
      </c>
      <c r="F1019" s="22" t="s">
        <v>27</v>
      </c>
      <c r="G1019" s="22" t="s">
        <v>105</v>
      </c>
      <c r="H1019" s="22" t="s">
        <v>19</v>
      </c>
      <c r="I1019" s="22" t="s">
        <v>20</v>
      </c>
      <c r="J1019" s="22" t="s">
        <v>21</v>
      </c>
      <c r="K1019" s="22" t="s">
        <v>115</v>
      </c>
      <c r="L1019" s="22" t="s">
        <v>33</v>
      </c>
      <c r="M1019" s="22" t="s">
        <v>24</v>
      </c>
      <c r="N1019" s="22">
        <v>28</v>
      </c>
      <c r="O1019" s="26">
        <v>6499</v>
      </c>
      <c r="P1019" s="22">
        <v>0.1</v>
      </c>
      <c r="Q1019" s="30">
        <v>4210</v>
      </c>
      <c r="R1019" s="33">
        <f>Table1_1[[#This Row],[Units Sold]]*Table1_1[[#This Row],[Unit Price]]*1-Table1_1[[#This Row],[Discount]]</f>
        <v>181971.9</v>
      </c>
      <c r="S1019" s="33">
        <f>Table1_1[[#This Row],[Units Sold]]*Table1_1[[#This Row],[Unit Cost]]</f>
        <v>117880</v>
      </c>
      <c r="T1019" s="33">
        <f>Table1_1[[#This Row],[Sales Amount]]-S1019</f>
        <v>64091.899999999994</v>
      </c>
      <c r="U1019" s="32">
        <f>IFERROR(Table1_1[[#This Row],[Profit/loss]]/Table1_1[[#This Row],[Sales Amount]],0)</f>
        <v>0.35220767602030861</v>
      </c>
    </row>
    <row r="1020" spans="1:21" ht="18" x14ac:dyDescent="0.35">
      <c r="A1020" s="21" t="s">
        <v>1127</v>
      </c>
      <c r="B1020" s="36">
        <v>45787</v>
      </c>
      <c r="C1020" s="22">
        <f>YEAR(Table1_1[[#This Row],[Order Date]])</f>
        <v>2025</v>
      </c>
      <c r="D1020" s="22" t="str">
        <f>TEXT(Table1_1[[#This Row],[Order Date]],"MMMM")</f>
        <v>May</v>
      </c>
      <c r="E1020" s="22" t="s">
        <v>82</v>
      </c>
      <c r="F1020" s="22" t="s">
        <v>100</v>
      </c>
      <c r="G1020" s="22" t="s">
        <v>75</v>
      </c>
      <c r="H1020" s="22" t="s">
        <v>39</v>
      </c>
      <c r="I1020" s="22" t="s">
        <v>30</v>
      </c>
      <c r="J1020" s="22" t="s">
        <v>61</v>
      </c>
      <c r="K1020" s="22" t="s">
        <v>186</v>
      </c>
      <c r="L1020" s="22" t="s">
        <v>57</v>
      </c>
      <c r="M1020" s="22" t="s">
        <v>24</v>
      </c>
      <c r="N1020" s="22">
        <v>30</v>
      </c>
      <c r="O1020" s="26">
        <v>6999</v>
      </c>
      <c r="P1020" s="22">
        <v>0.2</v>
      </c>
      <c r="Q1020" s="30">
        <v>4320</v>
      </c>
      <c r="R1020" s="33">
        <f>Table1_1[[#This Row],[Units Sold]]*Table1_1[[#This Row],[Unit Price]]*1-Table1_1[[#This Row],[Discount]]</f>
        <v>209969.8</v>
      </c>
      <c r="S1020" s="33">
        <f>Table1_1[[#This Row],[Units Sold]]*Table1_1[[#This Row],[Unit Cost]]</f>
        <v>129600</v>
      </c>
      <c r="T1020" s="33">
        <f>Table1_1[[#This Row],[Sales Amount]]-S1020</f>
        <v>80369.799999999988</v>
      </c>
      <c r="U1020" s="32">
        <f>IFERROR(Table1_1[[#This Row],[Profit/loss]]/Table1_1[[#This Row],[Sales Amount]],0)</f>
        <v>0.38276837907165695</v>
      </c>
    </row>
    <row r="1021" spans="1:21" ht="18" x14ac:dyDescent="0.35">
      <c r="A1021" s="21" t="s">
        <v>1128</v>
      </c>
      <c r="B1021" s="36">
        <v>45787</v>
      </c>
      <c r="C1021" s="22">
        <f>YEAR(Table1_1[[#This Row],[Order Date]])</f>
        <v>2025</v>
      </c>
      <c r="D1021" s="22" t="str">
        <f>TEXT(Table1_1[[#This Row],[Order Date]],"MMMM")</f>
        <v>May</v>
      </c>
      <c r="E1021" s="22" t="s">
        <v>16</v>
      </c>
      <c r="F1021" s="22" t="s">
        <v>17</v>
      </c>
      <c r="G1021" s="22" t="s">
        <v>50</v>
      </c>
      <c r="H1021" s="22" t="s">
        <v>19</v>
      </c>
      <c r="I1021" s="22" t="s">
        <v>30</v>
      </c>
      <c r="J1021" s="22" t="s">
        <v>31</v>
      </c>
      <c r="K1021" s="22" t="s">
        <v>85</v>
      </c>
      <c r="L1021" s="22" t="s">
        <v>23</v>
      </c>
      <c r="M1021" s="22" t="s">
        <v>66</v>
      </c>
      <c r="N1021" s="22">
        <v>15</v>
      </c>
      <c r="O1021" s="26">
        <v>43500</v>
      </c>
      <c r="P1021" s="22">
        <v>0.15</v>
      </c>
      <c r="Q1021" s="30">
        <v>29520</v>
      </c>
      <c r="R1021" s="33">
        <f>Table1_1[[#This Row],[Units Sold]]*Table1_1[[#This Row],[Unit Price]]*1-Table1_1[[#This Row],[Discount]]</f>
        <v>652499.85</v>
      </c>
      <c r="S1021" s="33">
        <f>Table1_1[[#This Row],[Units Sold]]*Table1_1[[#This Row],[Unit Cost]]</f>
        <v>442800</v>
      </c>
      <c r="T1021" s="33">
        <f>Table1_1[[#This Row],[Sales Amount]]-S1021</f>
        <v>209699.84999999998</v>
      </c>
      <c r="U1021" s="32">
        <f>IFERROR(Table1_1[[#This Row],[Profit/loss]]/Table1_1[[#This Row],[Sales Amount]],0)</f>
        <v>0.32137915434003544</v>
      </c>
    </row>
    <row r="1022" spans="1:21" ht="18" x14ac:dyDescent="0.35">
      <c r="A1022" s="21" t="s">
        <v>1129</v>
      </c>
      <c r="B1022" s="36">
        <v>45791</v>
      </c>
      <c r="C1022" s="22">
        <f>YEAR(Table1_1[[#This Row],[Order Date]])</f>
        <v>2025</v>
      </c>
      <c r="D1022" s="22" t="str">
        <f>TEXT(Table1_1[[#This Row],[Order Date]],"MMMM")</f>
        <v>May</v>
      </c>
      <c r="E1022" s="22" t="s">
        <v>16</v>
      </c>
      <c r="F1022" s="22" t="s">
        <v>17</v>
      </c>
      <c r="G1022" s="22" t="s">
        <v>18</v>
      </c>
      <c r="H1022" s="22" t="s">
        <v>39</v>
      </c>
      <c r="I1022" s="22" t="s">
        <v>54</v>
      </c>
      <c r="J1022" s="22" t="s">
        <v>90</v>
      </c>
      <c r="K1022" s="22" t="s">
        <v>1625</v>
      </c>
      <c r="L1022" s="22" t="s">
        <v>23</v>
      </c>
      <c r="M1022" s="22" t="s">
        <v>24</v>
      </c>
      <c r="N1022" s="22">
        <v>25</v>
      </c>
      <c r="O1022" s="26">
        <v>32800</v>
      </c>
      <c r="P1022" s="22">
        <v>0.2</v>
      </c>
      <c r="Q1022" s="30">
        <v>23100</v>
      </c>
      <c r="R1022" s="33">
        <f>Table1_1[[#This Row],[Units Sold]]*Table1_1[[#This Row],[Unit Price]]*1-Table1_1[[#This Row],[Discount]]</f>
        <v>819999.8</v>
      </c>
      <c r="S1022" s="33">
        <f>Table1_1[[#This Row],[Units Sold]]*Table1_1[[#This Row],[Unit Cost]]</f>
        <v>577500</v>
      </c>
      <c r="T1022" s="33">
        <f>Table1_1[[#This Row],[Sales Amount]]-S1022</f>
        <v>242499.80000000005</v>
      </c>
      <c r="U1022" s="32">
        <f>IFERROR(Table1_1[[#This Row],[Profit/loss]]/Table1_1[[#This Row],[Sales Amount]],0)</f>
        <v>0.295731535544277</v>
      </c>
    </row>
    <row r="1023" spans="1:21" ht="18" x14ac:dyDescent="0.35">
      <c r="A1023" s="21" t="s">
        <v>1130</v>
      </c>
      <c r="B1023" s="36">
        <v>45791</v>
      </c>
      <c r="C1023" s="22">
        <f>YEAR(Table1_1[[#This Row],[Order Date]])</f>
        <v>2025</v>
      </c>
      <c r="D1023" s="22" t="str">
        <f>TEXT(Table1_1[[#This Row],[Order Date]],"MMMM")</f>
        <v>May</v>
      </c>
      <c r="E1023" s="22" t="s">
        <v>82</v>
      </c>
      <c r="F1023" s="22" t="s">
        <v>183</v>
      </c>
      <c r="G1023" s="22" t="s">
        <v>101</v>
      </c>
      <c r="H1023" s="22" t="s">
        <v>19</v>
      </c>
      <c r="I1023" s="22" t="s">
        <v>54</v>
      </c>
      <c r="J1023" s="22" t="s">
        <v>129</v>
      </c>
      <c r="K1023" s="22" t="s">
        <v>145</v>
      </c>
      <c r="L1023" s="22" t="s">
        <v>57</v>
      </c>
      <c r="M1023" s="22" t="s">
        <v>34</v>
      </c>
      <c r="N1023" s="22">
        <v>6</v>
      </c>
      <c r="O1023" s="26">
        <v>31490</v>
      </c>
      <c r="P1023" s="22">
        <v>0.08</v>
      </c>
      <c r="Q1023" s="30">
        <v>21300</v>
      </c>
      <c r="R1023" s="33">
        <f>Table1_1[[#This Row],[Units Sold]]*Table1_1[[#This Row],[Unit Price]]*1-Table1_1[[#This Row],[Discount]]</f>
        <v>188939.92</v>
      </c>
      <c r="S1023" s="33">
        <f>Table1_1[[#This Row],[Units Sold]]*Table1_1[[#This Row],[Unit Cost]]</f>
        <v>127800</v>
      </c>
      <c r="T1023" s="33">
        <f>Table1_1[[#This Row],[Sales Amount]]-S1023</f>
        <v>61139.920000000013</v>
      </c>
      <c r="U1023" s="32">
        <f>IFERROR(Table1_1[[#This Row],[Profit/loss]]/Table1_1[[#This Row],[Sales Amount]],0)</f>
        <v>0.32359450559733488</v>
      </c>
    </row>
    <row r="1024" spans="1:21" ht="18" x14ac:dyDescent="0.35">
      <c r="A1024" s="21" t="s">
        <v>1131</v>
      </c>
      <c r="B1024" s="36">
        <v>45791</v>
      </c>
      <c r="C1024" s="22">
        <f>YEAR(Table1_1[[#This Row],[Order Date]])</f>
        <v>2025</v>
      </c>
      <c r="D1024" s="22" t="str">
        <f>TEXT(Table1_1[[#This Row],[Order Date]],"MMMM")</f>
        <v>May</v>
      </c>
      <c r="E1024" s="22" t="s">
        <v>36</v>
      </c>
      <c r="F1024" s="22" t="s">
        <v>44</v>
      </c>
      <c r="G1024" s="22" t="s">
        <v>69</v>
      </c>
      <c r="H1024" s="22" t="s">
        <v>39</v>
      </c>
      <c r="I1024" s="22" t="s">
        <v>54</v>
      </c>
      <c r="J1024" s="22" t="s">
        <v>129</v>
      </c>
      <c r="K1024" s="22" t="s">
        <v>1630</v>
      </c>
      <c r="L1024" s="22" t="s">
        <v>33</v>
      </c>
      <c r="M1024" s="22" t="s">
        <v>34</v>
      </c>
      <c r="N1024" s="22">
        <v>11</v>
      </c>
      <c r="O1024" s="26">
        <v>29010</v>
      </c>
      <c r="P1024" s="22">
        <v>0.05</v>
      </c>
      <c r="Q1024" s="30">
        <v>19100</v>
      </c>
      <c r="R1024" s="33">
        <f>Table1_1[[#This Row],[Units Sold]]*Table1_1[[#This Row],[Unit Price]]*1-Table1_1[[#This Row],[Discount]]</f>
        <v>319109.95</v>
      </c>
      <c r="S1024" s="33">
        <f>Table1_1[[#This Row],[Units Sold]]*Table1_1[[#This Row],[Unit Cost]]</f>
        <v>210100</v>
      </c>
      <c r="T1024" s="33">
        <f>Table1_1[[#This Row],[Sales Amount]]-S1024</f>
        <v>109009.95000000001</v>
      </c>
      <c r="U1024" s="32">
        <f>IFERROR(Table1_1[[#This Row],[Profit/loss]]/Table1_1[[#This Row],[Sales Amount]],0)</f>
        <v>0.3416062394795274</v>
      </c>
    </row>
    <row r="1025" spans="1:21" ht="18" x14ac:dyDescent="0.35">
      <c r="A1025" s="21" t="s">
        <v>1132</v>
      </c>
      <c r="B1025" s="36">
        <v>45792</v>
      </c>
      <c r="C1025" s="22">
        <f>YEAR(Table1_1[[#This Row],[Order Date]])</f>
        <v>2025</v>
      </c>
      <c r="D1025" s="22" t="str">
        <f>TEXT(Table1_1[[#This Row],[Order Date]],"MMMM")</f>
        <v>May</v>
      </c>
      <c r="E1025" s="22" t="s">
        <v>36</v>
      </c>
      <c r="F1025" s="22" t="s">
        <v>121</v>
      </c>
      <c r="G1025" s="22" t="s">
        <v>28</v>
      </c>
      <c r="H1025" s="22" t="s">
        <v>19</v>
      </c>
      <c r="I1025" s="22" t="s">
        <v>40</v>
      </c>
      <c r="J1025" s="22" t="s">
        <v>64</v>
      </c>
      <c r="K1025" s="22" t="s">
        <v>1627</v>
      </c>
      <c r="L1025" s="22" t="s">
        <v>33</v>
      </c>
      <c r="M1025" s="22" t="s">
        <v>34</v>
      </c>
      <c r="N1025" s="22">
        <v>28</v>
      </c>
      <c r="O1025" s="26">
        <v>4490</v>
      </c>
      <c r="P1025" s="22">
        <v>0.12</v>
      </c>
      <c r="Q1025" s="30">
        <v>2950</v>
      </c>
      <c r="R1025" s="33">
        <f>Table1_1[[#This Row],[Units Sold]]*Table1_1[[#This Row],[Unit Price]]*1-Table1_1[[#This Row],[Discount]]</f>
        <v>125719.88</v>
      </c>
      <c r="S1025" s="33">
        <f>Table1_1[[#This Row],[Units Sold]]*Table1_1[[#This Row],[Unit Cost]]</f>
        <v>82600</v>
      </c>
      <c r="T1025" s="33">
        <f>Table1_1[[#This Row],[Sales Amount]]-S1025</f>
        <v>43119.880000000005</v>
      </c>
      <c r="U1025" s="32">
        <f>IFERROR(Table1_1[[#This Row],[Profit/loss]]/Table1_1[[#This Row],[Sales Amount]],0)</f>
        <v>0.34298378267621638</v>
      </c>
    </row>
    <row r="1026" spans="1:21" ht="18" x14ac:dyDescent="0.35">
      <c r="A1026" s="21" t="s">
        <v>1133</v>
      </c>
      <c r="B1026" s="36">
        <v>45792</v>
      </c>
      <c r="C1026" s="22">
        <f>YEAR(Table1_1[[#This Row],[Order Date]])</f>
        <v>2025</v>
      </c>
      <c r="D1026" s="22" t="str">
        <f>TEXT(Table1_1[[#This Row],[Order Date]],"MMMM")</f>
        <v>May</v>
      </c>
      <c r="E1026" s="22" t="s">
        <v>26</v>
      </c>
      <c r="F1026" s="22" t="s">
        <v>27</v>
      </c>
      <c r="G1026" s="22" t="s">
        <v>50</v>
      </c>
      <c r="H1026" s="22" t="s">
        <v>29</v>
      </c>
      <c r="I1026" s="22" t="s">
        <v>54</v>
      </c>
      <c r="J1026" s="22" t="s">
        <v>129</v>
      </c>
      <c r="K1026" s="22" t="s">
        <v>145</v>
      </c>
      <c r="L1026" s="22" t="s">
        <v>23</v>
      </c>
      <c r="M1026" s="22" t="s">
        <v>24</v>
      </c>
      <c r="N1026" s="22">
        <v>15</v>
      </c>
      <c r="O1026" s="26">
        <v>31490</v>
      </c>
      <c r="P1026" s="22">
        <v>0.2</v>
      </c>
      <c r="Q1026" s="30">
        <v>21300</v>
      </c>
      <c r="R1026" s="33">
        <f>Table1_1[[#This Row],[Units Sold]]*Table1_1[[#This Row],[Unit Price]]*1-Table1_1[[#This Row],[Discount]]</f>
        <v>472349.8</v>
      </c>
      <c r="S1026" s="33">
        <f>Table1_1[[#This Row],[Units Sold]]*Table1_1[[#This Row],[Unit Cost]]</f>
        <v>319500</v>
      </c>
      <c r="T1026" s="33">
        <f>Table1_1[[#This Row],[Sales Amount]]-S1026</f>
        <v>152849.79999999999</v>
      </c>
      <c r="U1026" s="32">
        <f>IFERROR(Table1_1[[#This Row],[Profit/loss]]/Table1_1[[#This Row],[Sales Amount]],0)</f>
        <v>0.32359450559733482</v>
      </c>
    </row>
    <row r="1027" spans="1:21" ht="18" x14ac:dyDescent="0.35">
      <c r="A1027" s="21" t="s">
        <v>1134</v>
      </c>
      <c r="B1027" s="36">
        <v>45793</v>
      </c>
      <c r="C1027" s="22">
        <f>YEAR(Table1_1[[#This Row],[Order Date]])</f>
        <v>2025</v>
      </c>
      <c r="D1027" s="22" t="str">
        <f>TEXT(Table1_1[[#This Row],[Order Date]],"MMMM")</f>
        <v>May</v>
      </c>
      <c r="E1027" s="22" t="s">
        <v>26</v>
      </c>
      <c r="F1027" s="22" t="s">
        <v>27</v>
      </c>
      <c r="G1027" s="22" t="s">
        <v>84</v>
      </c>
      <c r="H1027" s="22" t="s">
        <v>19</v>
      </c>
      <c r="I1027" s="22" t="s">
        <v>30</v>
      </c>
      <c r="J1027" s="22" t="s">
        <v>31</v>
      </c>
      <c r="K1027" s="22" t="s">
        <v>106</v>
      </c>
      <c r="L1027" s="22" t="s">
        <v>23</v>
      </c>
      <c r="M1027" s="22" t="s">
        <v>34</v>
      </c>
      <c r="N1027" s="22">
        <v>29</v>
      </c>
      <c r="O1027" s="26">
        <v>52990</v>
      </c>
      <c r="P1027" s="22">
        <v>0.15</v>
      </c>
      <c r="Q1027" s="30">
        <v>35100</v>
      </c>
      <c r="R1027" s="33">
        <f>Table1_1[[#This Row],[Units Sold]]*Table1_1[[#This Row],[Unit Price]]*1-Table1_1[[#This Row],[Discount]]</f>
        <v>1536709.85</v>
      </c>
      <c r="S1027" s="33">
        <f>Table1_1[[#This Row],[Units Sold]]*Table1_1[[#This Row],[Unit Cost]]</f>
        <v>1017900</v>
      </c>
      <c r="T1027" s="33">
        <f>Table1_1[[#This Row],[Sales Amount]]-S1027</f>
        <v>518809.85000000009</v>
      </c>
      <c r="U1027" s="32">
        <f>IFERROR(Table1_1[[#This Row],[Profit/loss]]/Table1_1[[#This Row],[Sales Amount]],0)</f>
        <v>0.33761080531890914</v>
      </c>
    </row>
    <row r="1028" spans="1:21" ht="18" x14ac:dyDescent="0.35">
      <c r="A1028" s="21" t="s">
        <v>1135</v>
      </c>
      <c r="B1028" s="36">
        <v>45797</v>
      </c>
      <c r="C1028" s="22">
        <f>YEAR(Table1_1[[#This Row],[Order Date]])</f>
        <v>2025</v>
      </c>
      <c r="D1028" s="22" t="str">
        <f>TEXT(Table1_1[[#This Row],[Order Date]],"MMMM")</f>
        <v>May</v>
      </c>
      <c r="E1028" s="22" t="s">
        <v>26</v>
      </c>
      <c r="F1028" s="22" t="s">
        <v>74</v>
      </c>
      <c r="G1028" s="22" t="s">
        <v>75</v>
      </c>
      <c r="H1028" s="22" t="s">
        <v>29</v>
      </c>
      <c r="I1028" s="22" t="s">
        <v>30</v>
      </c>
      <c r="J1028" s="22" t="s">
        <v>31</v>
      </c>
      <c r="K1028" s="22" t="s">
        <v>85</v>
      </c>
      <c r="L1028" s="22" t="s">
        <v>33</v>
      </c>
      <c r="M1028" s="22" t="s">
        <v>66</v>
      </c>
      <c r="N1028" s="22">
        <v>16</v>
      </c>
      <c r="O1028" s="26">
        <v>43500</v>
      </c>
      <c r="P1028" s="22">
        <v>0.05</v>
      </c>
      <c r="Q1028" s="30">
        <v>29520</v>
      </c>
      <c r="R1028" s="33">
        <f>Table1_1[[#This Row],[Units Sold]]*Table1_1[[#This Row],[Unit Price]]*1-Table1_1[[#This Row],[Discount]]</f>
        <v>695999.95</v>
      </c>
      <c r="S1028" s="33">
        <f>Table1_1[[#This Row],[Units Sold]]*Table1_1[[#This Row],[Unit Cost]]</f>
        <v>472320</v>
      </c>
      <c r="T1028" s="33">
        <f>Table1_1[[#This Row],[Sales Amount]]-S1028</f>
        <v>223679.94999999995</v>
      </c>
      <c r="U1028" s="32">
        <f>IFERROR(Table1_1[[#This Row],[Profit/loss]]/Table1_1[[#This Row],[Sales Amount]],0)</f>
        <v>0.32137926159333774</v>
      </c>
    </row>
    <row r="1029" spans="1:21" ht="18" x14ac:dyDescent="0.35">
      <c r="A1029" s="21" t="s">
        <v>1136</v>
      </c>
      <c r="B1029" s="36">
        <v>45798</v>
      </c>
      <c r="C1029" s="22">
        <f>YEAR(Table1_1[[#This Row],[Order Date]])</f>
        <v>2025</v>
      </c>
      <c r="D1029" s="22" t="str">
        <f>TEXT(Table1_1[[#This Row],[Order Date]],"MMMM")</f>
        <v>May</v>
      </c>
      <c r="E1029" s="22" t="s">
        <v>26</v>
      </c>
      <c r="F1029" s="22" t="s">
        <v>27</v>
      </c>
      <c r="G1029" s="22" t="s">
        <v>69</v>
      </c>
      <c r="H1029" s="22" t="s">
        <v>29</v>
      </c>
      <c r="I1029" s="22" t="s">
        <v>20</v>
      </c>
      <c r="J1029" s="22" t="s">
        <v>45</v>
      </c>
      <c r="K1029" s="22" t="s">
        <v>196</v>
      </c>
      <c r="L1029" s="22" t="s">
        <v>23</v>
      </c>
      <c r="M1029" s="22" t="s">
        <v>24</v>
      </c>
      <c r="N1029" s="22">
        <v>11</v>
      </c>
      <c r="O1029" s="26">
        <v>2499</v>
      </c>
      <c r="P1029" s="22">
        <v>0.15</v>
      </c>
      <c r="Q1029" s="30">
        <v>1510</v>
      </c>
      <c r="R1029" s="33">
        <f>Table1_1[[#This Row],[Units Sold]]*Table1_1[[#This Row],[Unit Price]]*1-Table1_1[[#This Row],[Discount]]</f>
        <v>27488.85</v>
      </c>
      <c r="S1029" s="33">
        <f>Table1_1[[#This Row],[Units Sold]]*Table1_1[[#This Row],[Unit Cost]]</f>
        <v>16610</v>
      </c>
      <c r="T1029" s="33">
        <f>Table1_1[[#This Row],[Sales Amount]]-S1029</f>
        <v>10878.849999999999</v>
      </c>
      <c r="U1029" s="32">
        <f>IFERROR(Table1_1[[#This Row],[Profit/loss]]/Table1_1[[#This Row],[Sales Amount]],0)</f>
        <v>0.39575500612066344</v>
      </c>
    </row>
    <row r="1030" spans="1:21" ht="18" x14ac:dyDescent="0.35">
      <c r="A1030" s="21" t="s">
        <v>1137</v>
      </c>
      <c r="B1030" s="36">
        <v>45798</v>
      </c>
      <c r="C1030" s="22">
        <f>YEAR(Table1_1[[#This Row],[Order Date]])</f>
        <v>2025</v>
      </c>
      <c r="D1030" s="22" t="str">
        <f>TEXT(Table1_1[[#This Row],[Order Date]],"MMMM")</f>
        <v>May</v>
      </c>
      <c r="E1030" s="22" t="s">
        <v>48</v>
      </c>
      <c r="F1030" s="22" t="s">
        <v>68</v>
      </c>
      <c r="G1030" s="22" t="s">
        <v>50</v>
      </c>
      <c r="H1030" s="22" t="s">
        <v>29</v>
      </c>
      <c r="I1030" s="22" t="s">
        <v>70</v>
      </c>
      <c r="J1030" s="22" t="s">
        <v>71</v>
      </c>
      <c r="K1030" s="22" t="s">
        <v>80</v>
      </c>
      <c r="L1030" s="22" t="s">
        <v>23</v>
      </c>
      <c r="M1030" s="22" t="s">
        <v>66</v>
      </c>
      <c r="N1030" s="22">
        <v>1</v>
      </c>
      <c r="O1030" s="26">
        <v>1299</v>
      </c>
      <c r="P1030" s="22">
        <v>0.1</v>
      </c>
      <c r="Q1030" s="30">
        <v>720</v>
      </c>
      <c r="R1030" s="33">
        <f>Table1_1[[#This Row],[Units Sold]]*Table1_1[[#This Row],[Unit Price]]*1-Table1_1[[#This Row],[Discount]]</f>
        <v>1298.9000000000001</v>
      </c>
      <c r="S1030" s="33">
        <f>Table1_1[[#This Row],[Units Sold]]*Table1_1[[#This Row],[Unit Cost]]</f>
        <v>720</v>
      </c>
      <c r="T1030" s="33">
        <f>Table1_1[[#This Row],[Sales Amount]]-S1030</f>
        <v>578.90000000000009</v>
      </c>
      <c r="U1030" s="32">
        <f>IFERROR(Table1_1[[#This Row],[Profit/loss]]/Table1_1[[#This Row],[Sales Amount]],0)</f>
        <v>0.44568481022403578</v>
      </c>
    </row>
    <row r="1031" spans="1:21" ht="18" x14ac:dyDescent="0.35">
      <c r="A1031" s="21" t="s">
        <v>1138</v>
      </c>
      <c r="B1031" s="36">
        <v>45798</v>
      </c>
      <c r="C1031" s="22">
        <f>YEAR(Table1_1[[#This Row],[Order Date]])</f>
        <v>2025</v>
      </c>
      <c r="D1031" s="22" t="str">
        <f>TEXT(Table1_1[[#This Row],[Order Date]],"MMMM")</f>
        <v>May</v>
      </c>
      <c r="E1031" s="22" t="s">
        <v>26</v>
      </c>
      <c r="F1031" s="22" t="s">
        <v>53</v>
      </c>
      <c r="G1031" s="22" t="s">
        <v>101</v>
      </c>
      <c r="H1031" s="22" t="s">
        <v>19</v>
      </c>
      <c r="I1031" s="22" t="s">
        <v>30</v>
      </c>
      <c r="J1031" s="22" t="s">
        <v>31</v>
      </c>
      <c r="K1031" s="22" t="s">
        <v>32</v>
      </c>
      <c r="L1031" s="22" t="s">
        <v>57</v>
      </c>
      <c r="M1031" s="22" t="s">
        <v>66</v>
      </c>
      <c r="N1031" s="22">
        <v>17</v>
      </c>
      <c r="O1031" s="26">
        <v>38990</v>
      </c>
      <c r="P1031" s="22">
        <v>0.15</v>
      </c>
      <c r="Q1031" s="30">
        <v>25400</v>
      </c>
      <c r="R1031" s="33">
        <f>Table1_1[[#This Row],[Units Sold]]*Table1_1[[#This Row],[Unit Price]]*1-Table1_1[[#This Row],[Discount]]</f>
        <v>662829.85</v>
      </c>
      <c r="S1031" s="33">
        <f>Table1_1[[#This Row],[Units Sold]]*Table1_1[[#This Row],[Unit Cost]]</f>
        <v>431800</v>
      </c>
      <c r="T1031" s="33">
        <f>Table1_1[[#This Row],[Sales Amount]]-S1031</f>
        <v>231029.84999999998</v>
      </c>
      <c r="U1031" s="32">
        <f>IFERROR(Table1_1[[#This Row],[Profit/loss]]/Table1_1[[#This Row],[Sales Amount]],0)</f>
        <v>0.34855076306536281</v>
      </c>
    </row>
    <row r="1032" spans="1:21" ht="18" x14ac:dyDescent="0.35">
      <c r="A1032" s="21" t="s">
        <v>1139</v>
      </c>
      <c r="B1032" s="36">
        <v>45798</v>
      </c>
      <c r="C1032" s="22">
        <f>YEAR(Table1_1[[#This Row],[Order Date]])</f>
        <v>2025</v>
      </c>
      <c r="D1032" s="22" t="str">
        <f>TEXT(Table1_1[[#This Row],[Order Date]],"MMMM")</f>
        <v>May</v>
      </c>
      <c r="E1032" s="22" t="s">
        <v>48</v>
      </c>
      <c r="F1032" s="22" t="s">
        <v>68</v>
      </c>
      <c r="G1032" s="22" t="s">
        <v>69</v>
      </c>
      <c r="H1032" s="22" t="s">
        <v>19</v>
      </c>
      <c r="I1032" s="22" t="s">
        <v>30</v>
      </c>
      <c r="J1032" s="22" t="s">
        <v>61</v>
      </c>
      <c r="K1032" s="22" t="s">
        <v>96</v>
      </c>
      <c r="L1032" s="22" t="s">
        <v>23</v>
      </c>
      <c r="M1032" s="22" t="s">
        <v>78</v>
      </c>
      <c r="N1032" s="22">
        <v>29</v>
      </c>
      <c r="O1032" s="26">
        <v>25110</v>
      </c>
      <c r="P1032" s="22">
        <v>0.2</v>
      </c>
      <c r="Q1032" s="30">
        <v>16730</v>
      </c>
      <c r="R1032" s="33">
        <f>Table1_1[[#This Row],[Units Sold]]*Table1_1[[#This Row],[Unit Price]]*1-Table1_1[[#This Row],[Discount]]</f>
        <v>728189.8</v>
      </c>
      <c r="S1032" s="33">
        <f>Table1_1[[#This Row],[Units Sold]]*Table1_1[[#This Row],[Unit Cost]]</f>
        <v>485170</v>
      </c>
      <c r="T1032" s="33">
        <f>Table1_1[[#This Row],[Sales Amount]]-S1032</f>
        <v>243019.80000000005</v>
      </c>
      <c r="U1032" s="32">
        <f>IFERROR(Table1_1[[#This Row],[Profit/loss]]/Table1_1[[#This Row],[Sales Amount]],0)</f>
        <v>0.33373139805034352</v>
      </c>
    </row>
    <row r="1033" spans="1:21" ht="18" x14ac:dyDescent="0.35">
      <c r="A1033" s="21" t="s">
        <v>1140</v>
      </c>
      <c r="B1033" s="36">
        <v>45799</v>
      </c>
      <c r="C1033" s="22">
        <f>YEAR(Table1_1[[#This Row],[Order Date]])</f>
        <v>2025</v>
      </c>
      <c r="D1033" s="22" t="str">
        <f>TEXT(Table1_1[[#This Row],[Order Date]],"MMMM")</f>
        <v>May</v>
      </c>
      <c r="E1033" s="22" t="s">
        <v>48</v>
      </c>
      <c r="F1033" s="22" t="s">
        <v>49</v>
      </c>
      <c r="G1033" s="22" t="s">
        <v>69</v>
      </c>
      <c r="H1033" s="22" t="s">
        <v>39</v>
      </c>
      <c r="I1033" s="22" t="s">
        <v>20</v>
      </c>
      <c r="J1033" s="22" t="s">
        <v>21</v>
      </c>
      <c r="K1033" s="22" t="s">
        <v>51</v>
      </c>
      <c r="L1033" s="22" t="s">
        <v>33</v>
      </c>
      <c r="M1033" s="22" t="s">
        <v>34</v>
      </c>
      <c r="N1033" s="22">
        <v>12</v>
      </c>
      <c r="O1033" s="26">
        <v>5999</v>
      </c>
      <c r="P1033" s="22">
        <v>0.15</v>
      </c>
      <c r="Q1033" s="30">
        <v>3890</v>
      </c>
      <c r="R1033" s="33">
        <f>Table1_1[[#This Row],[Units Sold]]*Table1_1[[#This Row],[Unit Price]]*1-Table1_1[[#This Row],[Discount]]</f>
        <v>71987.850000000006</v>
      </c>
      <c r="S1033" s="33">
        <f>Table1_1[[#This Row],[Units Sold]]*Table1_1[[#This Row],[Unit Cost]]</f>
        <v>46680</v>
      </c>
      <c r="T1033" s="33">
        <f>Table1_1[[#This Row],[Sales Amount]]-S1033</f>
        <v>25307.850000000006</v>
      </c>
      <c r="U1033" s="32">
        <f>IFERROR(Table1_1[[#This Row],[Profit/loss]]/Table1_1[[#This Row],[Sales Amount]],0)</f>
        <v>0.35155724195124599</v>
      </c>
    </row>
    <row r="1034" spans="1:21" ht="18" x14ac:dyDescent="0.35">
      <c r="A1034" s="21" t="s">
        <v>1141</v>
      </c>
      <c r="B1034" s="36">
        <v>45800</v>
      </c>
      <c r="C1034" s="22">
        <f>YEAR(Table1_1[[#This Row],[Order Date]])</f>
        <v>2025</v>
      </c>
      <c r="D1034" s="22" t="str">
        <f>TEXT(Table1_1[[#This Row],[Order Date]],"MMMM")</f>
        <v>May</v>
      </c>
      <c r="E1034" s="22" t="s">
        <v>16</v>
      </c>
      <c r="F1034" s="22" t="s">
        <v>98</v>
      </c>
      <c r="G1034" s="22" t="s">
        <v>101</v>
      </c>
      <c r="H1034" s="22" t="s">
        <v>19</v>
      </c>
      <c r="I1034" s="22" t="s">
        <v>70</v>
      </c>
      <c r="J1034" s="22" t="s">
        <v>71</v>
      </c>
      <c r="K1034" s="22" t="s">
        <v>80</v>
      </c>
      <c r="L1034" s="22" t="s">
        <v>33</v>
      </c>
      <c r="M1034" s="22" t="s">
        <v>66</v>
      </c>
      <c r="N1034" s="22">
        <v>26</v>
      </c>
      <c r="O1034" s="26">
        <v>1299</v>
      </c>
      <c r="P1034" s="22">
        <v>0.05</v>
      </c>
      <c r="Q1034" s="30">
        <v>720</v>
      </c>
      <c r="R1034" s="33">
        <f>Table1_1[[#This Row],[Units Sold]]*Table1_1[[#This Row],[Unit Price]]*1-Table1_1[[#This Row],[Discount]]</f>
        <v>33773.949999999997</v>
      </c>
      <c r="S1034" s="33">
        <f>Table1_1[[#This Row],[Units Sold]]*Table1_1[[#This Row],[Unit Cost]]</f>
        <v>18720</v>
      </c>
      <c r="T1034" s="33">
        <f>Table1_1[[#This Row],[Sales Amount]]-S1034</f>
        <v>15053.949999999997</v>
      </c>
      <c r="U1034" s="32">
        <f>IFERROR(Table1_1[[#This Row],[Profit/loss]]/Table1_1[[#This Row],[Sales Amount]],0)</f>
        <v>0.44572666211680889</v>
      </c>
    </row>
    <row r="1035" spans="1:21" ht="18" x14ac:dyDescent="0.35">
      <c r="A1035" s="21" t="s">
        <v>1142</v>
      </c>
      <c r="B1035" s="36">
        <v>45800</v>
      </c>
      <c r="C1035" s="22">
        <f>YEAR(Table1_1[[#This Row],[Order Date]])</f>
        <v>2025</v>
      </c>
      <c r="D1035" s="22" t="str">
        <f>TEXT(Table1_1[[#This Row],[Order Date]],"MMMM")</f>
        <v>May</v>
      </c>
      <c r="E1035" s="22" t="s">
        <v>26</v>
      </c>
      <c r="F1035" s="22" t="s">
        <v>74</v>
      </c>
      <c r="G1035" s="22" t="s">
        <v>84</v>
      </c>
      <c r="H1035" s="22" t="s">
        <v>29</v>
      </c>
      <c r="I1035" s="22" t="s">
        <v>70</v>
      </c>
      <c r="J1035" s="22" t="s">
        <v>71</v>
      </c>
      <c r="K1035" s="22" t="s">
        <v>88</v>
      </c>
      <c r="L1035" s="22" t="s">
        <v>57</v>
      </c>
      <c r="M1035" s="22" t="s">
        <v>24</v>
      </c>
      <c r="N1035" s="22">
        <v>31</v>
      </c>
      <c r="O1035" s="26">
        <v>999</v>
      </c>
      <c r="P1035" s="22">
        <v>0.2</v>
      </c>
      <c r="Q1035" s="30">
        <v>540</v>
      </c>
      <c r="R1035" s="33">
        <f>Table1_1[[#This Row],[Units Sold]]*Table1_1[[#This Row],[Unit Price]]*1-Table1_1[[#This Row],[Discount]]</f>
        <v>30968.799999999999</v>
      </c>
      <c r="S1035" s="33">
        <f>Table1_1[[#This Row],[Units Sold]]*Table1_1[[#This Row],[Unit Cost]]</f>
        <v>16740</v>
      </c>
      <c r="T1035" s="33">
        <f>Table1_1[[#This Row],[Sales Amount]]-S1035</f>
        <v>14228.8</v>
      </c>
      <c r="U1035" s="32">
        <f>IFERROR(Table1_1[[#This Row],[Profit/loss]]/Table1_1[[#This Row],[Sales Amount]],0)</f>
        <v>0.4594559685877399</v>
      </c>
    </row>
    <row r="1036" spans="1:21" ht="18" x14ac:dyDescent="0.35">
      <c r="A1036" s="21" t="s">
        <v>1143</v>
      </c>
      <c r="B1036" s="36">
        <v>45800</v>
      </c>
      <c r="C1036" s="22">
        <f>YEAR(Table1_1[[#This Row],[Order Date]])</f>
        <v>2025</v>
      </c>
      <c r="D1036" s="22" t="str">
        <f>TEXT(Table1_1[[#This Row],[Order Date]],"MMMM")</f>
        <v>May</v>
      </c>
      <c r="E1036" s="22" t="s">
        <v>82</v>
      </c>
      <c r="F1036" s="22" t="s">
        <v>87</v>
      </c>
      <c r="G1036" s="22" t="s">
        <v>105</v>
      </c>
      <c r="H1036" s="22" t="s">
        <v>29</v>
      </c>
      <c r="I1036" s="22" t="s">
        <v>30</v>
      </c>
      <c r="J1036" s="22" t="s">
        <v>31</v>
      </c>
      <c r="K1036" s="22" t="s">
        <v>106</v>
      </c>
      <c r="L1036" s="22" t="s">
        <v>57</v>
      </c>
      <c r="M1036" s="22" t="s">
        <v>24</v>
      </c>
      <c r="N1036" s="22">
        <v>31</v>
      </c>
      <c r="O1036" s="26">
        <v>52990</v>
      </c>
      <c r="P1036" s="22">
        <v>0.05</v>
      </c>
      <c r="Q1036" s="30">
        <v>35100</v>
      </c>
      <c r="R1036" s="33">
        <f>Table1_1[[#This Row],[Units Sold]]*Table1_1[[#This Row],[Unit Price]]*1-Table1_1[[#This Row],[Discount]]</f>
        <v>1642689.95</v>
      </c>
      <c r="S1036" s="33">
        <f>Table1_1[[#This Row],[Units Sold]]*Table1_1[[#This Row],[Unit Cost]]</f>
        <v>1088100</v>
      </c>
      <c r="T1036" s="33">
        <f>Table1_1[[#This Row],[Sales Amount]]-S1036</f>
        <v>554589.94999999995</v>
      </c>
      <c r="U1036" s="32">
        <f>IFERROR(Table1_1[[#This Row],[Profit/loss]]/Table1_1[[#This Row],[Sales Amount]],0)</f>
        <v>0.33761084981374601</v>
      </c>
    </row>
    <row r="1037" spans="1:21" ht="18" x14ac:dyDescent="0.35">
      <c r="A1037" s="21" t="s">
        <v>1144</v>
      </c>
      <c r="B1037" s="36">
        <v>45800</v>
      </c>
      <c r="C1037" s="22">
        <f>YEAR(Table1_1[[#This Row],[Order Date]])</f>
        <v>2025</v>
      </c>
      <c r="D1037" s="22" t="str">
        <f>TEXT(Table1_1[[#This Row],[Order Date]],"MMMM")</f>
        <v>May</v>
      </c>
      <c r="E1037" s="22" t="s">
        <v>82</v>
      </c>
      <c r="F1037" s="22" t="s">
        <v>83</v>
      </c>
      <c r="G1037" s="22" t="s">
        <v>18</v>
      </c>
      <c r="H1037" s="22" t="s">
        <v>39</v>
      </c>
      <c r="I1037" s="22" t="s">
        <v>54</v>
      </c>
      <c r="J1037" s="22" t="s">
        <v>90</v>
      </c>
      <c r="K1037" s="22" t="s">
        <v>1625</v>
      </c>
      <c r="L1037" s="22" t="s">
        <v>57</v>
      </c>
      <c r="M1037" s="22" t="s">
        <v>66</v>
      </c>
      <c r="N1037" s="22">
        <v>19</v>
      </c>
      <c r="O1037" s="26">
        <v>32800</v>
      </c>
      <c r="P1037" s="22">
        <v>0.08</v>
      </c>
      <c r="Q1037" s="30">
        <v>23100</v>
      </c>
      <c r="R1037" s="33">
        <f>Table1_1[[#This Row],[Units Sold]]*Table1_1[[#This Row],[Unit Price]]*1-Table1_1[[#This Row],[Discount]]</f>
        <v>623199.92000000004</v>
      </c>
      <c r="S1037" s="33">
        <f>Table1_1[[#This Row],[Units Sold]]*Table1_1[[#This Row],[Unit Cost]]</f>
        <v>438900</v>
      </c>
      <c r="T1037" s="33">
        <f>Table1_1[[#This Row],[Sales Amount]]-S1037</f>
        <v>184299.92000000004</v>
      </c>
      <c r="U1037" s="32">
        <f>IFERROR(Table1_1[[#This Row],[Profit/loss]]/Table1_1[[#This Row],[Sales Amount]],0)</f>
        <v>0.29573161691034883</v>
      </c>
    </row>
    <row r="1038" spans="1:21" ht="18" x14ac:dyDescent="0.35">
      <c r="A1038" s="21" t="s">
        <v>1145</v>
      </c>
      <c r="B1038" s="36">
        <v>45801</v>
      </c>
      <c r="C1038" s="22">
        <f>YEAR(Table1_1[[#This Row],[Order Date]])</f>
        <v>2025</v>
      </c>
      <c r="D1038" s="22" t="str">
        <f>TEXT(Table1_1[[#This Row],[Order Date]],"MMMM")</f>
        <v>May</v>
      </c>
      <c r="E1038" s="22" t="s">
        <v>36</v>
      </c>
      <c r="F1038" s="22" t="s">
        <v>59</v>
      </c>
      <c r="G1038" s="22" t="s">
        <v>69</v>
      </c>
      <c r="H1038" s="22" t="s">
        <v>19</v>
      </c>
      <c r="I1038" s="22" t="s">
        <v>70</v>
      </c>
      <c r="J1038" s="22" t="s">
        <v>71</v>
      </c>
      <c r="K1038" s="22" t="s">
        <v>88</v>
      </c>
      <c r="L1038" s="22" t="s">
        <v>23</v>
      </c>
      <c r="M1038" s="22" t="s">
        <v>24</v>
      </c>
      <c r="N1038" s="22">
        <v>23</v>
      </c>
      <c r="O1038" s="26">
        <v>999</v>
      </c>
      <c r="P1038" s="22">
        <v>0.05</v>
      </c>
      <c r="Q1038" s="30">
        <v>540</v>
      </c>
      <c r="R1038" s="33">
        <f>Table1_1[[#This Row],[Units Sold]]*Table1_1[[#This Row],[Unit Price]]*1-Table1_1[[#This Row],[Discount]]</f>
        <v>22976.95</v>
      </c>
      <c r="S1038" s="33">
        <f>Table1_1[[#This Row],[Units Sold]]*Table1_1[[#This Row],[Unit Cost]]</f>
        <v>12420</v>
      </c>
      <c r="T1038" s="33">
        <f>Table1_1[[#This Row],[Sales Amount]]-S1038</f>
        <v>10556.95</v>
      </c>
      <c r="U1038" s="32">
        <f>IFERROR(Table1_1[[#This Row],[Profit/loss]]/Table1_1[[#This Row],[Sales Amount]],0)</f>
        <v>0.45945828319250381</v>
      </c>
    </row>
    <row r="1039" spans="1:21" ht="18" x14ac:dyDescent="0.35">
      <c r="A1039" s="21" t="s">
        <v>1146</v>
      </c>
      <c r="B1039" s="36">
        <v>45801</v>
      </c>
      <c r="C1039" s="22">
        <f>YEAR(Table1_1[[#This Row],[Order Date]])</f>
        <v>2025</v>
      </c>
      <c r="D1039" s="22" t="str">
        <f>TEXT(Table1_1[[#This Row],[Order Date]],"MMMM")</f>
        <v>May</v>
      </c>
      <c r="E1039" s="22" t="s">
        <v>82</v>
      </c>
      <c r="F1039" s="22" t="s">
        <v>183</v>
      </c>
      <c r="G1039" s="22" t="s">
        <v>75</v>
      </c>
      <c r="H1039" s="22" t="s">
        <v>19</v>
      </c>
      <c r="I1039" s="22" t="s">
        <v>54</v>
      </c>
      <c r="J1039" s="22" t="s">
        <v>129</v>
      </c>
      <c r="K1039" s="22" t="s">
        <v>1630</v>
      </c>
      <c r="L1039" s="22" t="s">
        <v>57</v>
      </c>
      <c r="M1039" s="22" t="s">
        <v>66</v>
      </c>
      <c r="N1039" s="22">
        <v>24</v>
      </c>
      <c r="O1039" s="26">
        <v>29010</v>
      </c>
      <c r="P1039" s="22">
        <v>0.05</v>
      </c>
      <c r="Q1039" s="30">
        <v>19100</v>
      </c>
      <c r="R1039" s="33">
        <f>Table1_1[[#This Row],[Units Sold]]*Table1_1[[#This Row],[Unit Price]]*1-Table1_1[[#This Row],[Discount]]</f>
        <v>696239.95</v>
      </c>
      <c r="S1039" s="33">
        <f>Table1_1[[#This Row],[Units Sold]]*Table1_1[[#This Row],[Unit Cost]]</f>
        <v>458400</v>
      </c>
      <c r="T1039" s="33">
        <f>Table1_1[[#This Row],[Sales Amount]]-S1039</f>
        <v>237839.94999999995</v>
      </c>
      <c r="U1039" s="32">
        <f>IFERROR(Table1_1[[#This Row],[Profit/loss]]/Table1_1[[#This Row],[Sales Amount]],0)</f>
        <v>0.34160629535837461</v>
      </c>
    </row>
    <row r="1040" spans="1:21" ht="18" x14ac:dyDescent="0.35">
      <c r="A1040" s="21" t="s">
        <v>1147</v>
      </c>
      <c r="B1040" s="36">
        <v>45802</v>
      </c>
      <c r="C1040" s="22">
        <f>YEAR(Table1_1[[#This Row],[Order Date]])</f>
        <v>2025</v>
      </c>
      <c r="D1040" s="22" t="str">
        <f>TEXT(Table1_1[[#This Row],[Order Date]],"MMMM")</f>
        <v>May</v>
      </c>
      <c r="E1040" s="22" t="s">
        <v>48</v>
      </c>
      <c r="F1040" s="22" t="s">
        <v>49</v>
      </c>
      <c r="G1040" s="22" t="s">
        <v>60</v>
      </c>
      <c r="H1040" s="22" t="s">
        <v>39</v>
      </c>
      <c r="I1040" s="22" t="s">
        <v>30</v>
      </c>
      <c r="J1040" s="22" t="s">
        <v>31</v>
      </c>
      <c r="K1040" s="22" t="s">
        <v>85</v>
      </c>
      <c r="L1040" s="22" t="s">
        <v>23</v>
      </c>
      <c r="M1040" s="22" t="s">
        <v>24</v>
      </c>
      <c r="N1040" s="22">
        <v>37</v>
      </c>
      <c r="O1040" s="26">
        <v>43500</v>
      </c>
      <c r="P1040" s="22">
        <v>0.2</v>
      </c>
      <c r="Q1040" s="30">
        <v>29520</v>
      </c>
      <c r="R1040" s="33">
        <f>Table1_1[[#This Row],[Units Sold]]*Table1_1[[#This Row],[Unit Price]]*1-Table1_1[[#This Row],[Discount]]</f>
        <v>1609499.8</v>
      </c>
      <c r="S1040" s="33">
        <f>Table1_1[[#This Row],[Units Sold]]*Table1_1[[#This Row],[Unit Cost]]</f>
        <v>1092240</v>
      </c>
      <c r="T1040" s="33">
        <f>Table1_1[[#This Row],[Sales Amount]]-S1040</f>
        <v>517259.80000000005</v>
      </c>
      <c r="U1040" s="32">
        <f>IFERROR(Table1_1[[#This Row],[Profit/loss]]/Table1_1[[#This Row],[Sales Amount]],0)</f>
        <v>0.32137922601792185</v>
      </c>
    </row>
    <row r="1041" spans="1:21" ht="18" x14ac:dyDescent="0.35">
      <c r="A1041" s="21" t="s">
        <v>1148</v>
      </c>
      <c r="B1041" s="36">
        <v>45802</v>
      </c>
      <c r="C1041" s="22">
        <f>YEAR(Table1_1[[#This Row],[Order Date]])</f>
        <v>2025</v>
      </c>
      <c r="D1041" s="22" t="str">
        <f>TEXT(Table1_1[[#This Row],[Order Date]],"MMMM")</f>
        <v>May</v>
      </c>
      <c r="E1041" s="22" t="s">
        <v>36</v>
      </c>
      <c r="F1041" s="22" t="s">
        <v>121</v>
      </c>
      <c r="G1041" s="22" t="s">
        <v>101</v>
      </c>
      <c r="H1041" s="22" t="s">
        <v>19</v>
      </c>
      <c r="I1041" s="22" t="s">
        <v>30</v>
      </c>
      <c r="J1041" s="22" t="s">
        <v>61</v>
      </c>
      <c r="K1041" s="22" t="s">
        <v>186</v>
      </c>
      <c r="L1041" s="22" t="s">
        <v>33</v>
      </c>
      <c r="M1041" s="22" t="s">
        <v>34</v>
      </c>
      <c r="N1041" s="22">
        <v>3</v>
      </c>
      <c r="O1041" s="26">
        <v>6999</v>
      </c>
      <c r="P1041" s="22">
        <v>0.08</v>
      </c>
      <c r="Q1041" s="30">
        <v>4320</v>
      </c>
      <c r="R1041" s="33">
        <f>Table1_1[[#This Row],[Units Sold]]*Table1_1[[#This Row],[Unit Price]]*1-Table1_1[[#This Row],[Discount]]</f>
        <v>20996.92</v>
      </c>
      <c r="S1041" s="33">
        <f>Table1_1[[#This Row],[Units Sold]]*Table1_1[[#This Row],[Unit Cost]]</f>
        <v>12960</v>
      </c>
      <c r="T1041" s="33">
        <f>Table1_1[[#This Row],[Sales Amount]]-S1041</f>
        <v>8036.9199999999983</v>
      </c>
      <c r="U1041" s="32">
        <f>IFERROR(Table1_1[[#This Row],[Profit/loss]]/Table1_1[[#This Row],[Sales Amount]],0)</f>
        <v>0.38276661529405259</v>
      </c>
    </row>
    <row r="1042" spans="1:21" ht="18" x14ac:dyDescent="0.35">
      <c r="A1042" s="21" t="s">
        <v>1149</v>
      </c>
      <c r="B1042" s="36">
        <v>45803</v>
      </c>
      <c r="C1042" s="22">
        <f>YEAR(Table1_1[[#This Row],[Order Date]])</f>
        <v>2025</v>
      </c>
      <c r="D1042" s="22" t="str">
        <f>TEXT(Table1_1[[#This Row],[Order Date]],"MMMM")</f>
        <v>May</v>
      </c>
      <c r="E1042" s="22" t="s">
        <v>82</v>
      </c>
      <c r="F1042" s="22" t="s">
        <v>183</v>
      </c>
      <c r="G1042" s="22" t="s">
        <v>18</v>
      </c>
      <c r="H1042" s="22" t="s">
        <v>19</v>
      </c>
      <c r="I1042" s="22" t="s">
        <v>70</v>
      </c>
      <c r="J1042" s="22" t="s">
        <v>71</v>
      </c>
      <c r="K1042" s="22" t="s">
        <v>88</v>
      </c>
      <c r="L1042" s="22" t="s">
        <v>23</v>
      </c>
      <c r="M1042" s="22" t="s">
        <v>24</v>
      </c>
      <c r="N1042" s="22">
        <v>7</v>
      </c>
      <c r="O1042" s="26">
        <v>999</v>
      </c>
      <c r="P1042" s="22">
        <v>0.1</v>
      </c>
      <c r="Q1042" s="30">
        <v>540</v>
      </c>
      <c r="R1042" s="33">
        <f>Table1_1[[#This Row],[Units Sold]]*Table1_1[[#This Row],[Unit Price]]*1-Table1_1[[#This Row],[Discount]]</f>
        <v>6992.9</v>
      </c>
      <c r="S1042" s="33">
        <f>Table1_1[[#This Row],[Units Sold]]*Table1_1[[#This Row],[Unit Cost]]</f>
        <v>3780</v>
      </c>
      <c r="T1042" s="33">
        <f>Table1_1[[#This Row],[Sales Amount]]-S1042</f>
        <v>3212.8999999999996</v>
      </c>
      <c r="U1042" s="32">
        <f>IFERROR(Table1_1[[#This Row],[Profit/loss]]/Table1_1[[#This Row],[Sales Amount]],0)</f>
        <v>0.45945172961146302</v>
      </c>
    </row>
    <row r="1043" spans="1:21" ht="18" x14ac:dyDescent="0.35">
      <c r="A1043" s="21" t="s">
        <v>1150</v>
      </c>
      <c r="B1043" s="36">
        <v>45804</v>
      </c>
      <c r="C1043" s="22">
        <f>YEAR(Table1_1[[#This Row],[Order Date]])</f>
        <v>2025</v>
      </c>
      <c r="D1043" s="22" t="str">
        <f>TEXT(Table1_1[[#This Row],[Order Date]],"MMMM")</f>
        <v>May</v>
      </c>
      <c r="E1043" s="22" t="s">
        <v>26</v>
      </c>
      <c r="F1043" s="22" t="s">
        <v>74</v>
      </c>
      <c r="G1043" s="22" t="s">
        <v>101</v>
      </c>
      <c r="H1043" s="22" t="s">
        <v>29</v>
      </c>
      <c r="I1043" s="22" t="s">
        <v>54</v>
      </c>
      <c r="J1043" s="22" t="s">
        <v>55</v>
      </c>
      <c r="K1043" s="22" t="s">
        <v>56</v>
      </c>
      <c r="L1043" s="22" t="s">
        <v>33</v>
      </c>
      <c r="M1043" s="22" t="s">
        <v>78</v>
      </c>
      <c r="N1043" s="22">
        <v>16</v>
      </c>
      <c r="O1043" s="26">
        <v>7299</v>
      </c>
      <c r="P1043" s="22">
        <v>0.1</v>
      </c>
      <c r="Q1043" s="30">
        <v>5010</v>
      </c>
      <c r="R1043" s="33">
        <f>Table1_1[[#This Row],[Units Sold]]*Table1_1[[#This Row],[Unit Price]]*1-Table1_1[[#This Row],[Discount]]</f>
        <v>116783.9</v>
      </c>
      <c r="S1043" s="33">
        <f>Table1_1[[#This Row],[Units Sold]]*Table1_1[[#This Row],[Unit Cost]]</f>
        <v>80160</v>
      </c>
      <c r="T1043" s="33">
        <f>Table1_1[[#This Row],[Sales Amount]]-S1043</f>
        <v>36623.899999999994</v>
      </c>
      <c r="U1043" s="32">
        <f>IFERROR(Table1_1[[#This Row],[Profit/loss]]/Table1_1[[#This Row],[Sales Amount]],0)</f>
        <v>0.31360401562201634</v>
      </c>
    </row>
    <row r="1044" spans="1:21" ht="18" x14ac:dyDescent="0.35">
      <c r="A1044" s="21" t="s">
        <v>1151</v>
      </c>
      <c r="B1044" s="36">
        <v>45804</v>
      </c>
      <c r="C1044" s="22">
        <f>YEAR(Table1_1[[#This Row],[Order Date]])</f>
        <v>2025</v>
      </c>
      <c r="D1044" s="22" t="str">
        <f>TEXT(Table1_1[[#This Row],[Order Date]],"MMMM")</f>
        <v>May</v>
      </c>
      <c r="E1044" s="22" t="s">
        <v>26</v>
      </c>
      <c r="F1044" s="22" t="s">
        <v>53</v>
      </c>
      <c r="G1044" s="22" t="s">
        <v>105</v>
      </c>
      <c r="H1044" s="22" t="s">
        <v>29</v>
      </c>
      <c r="I1044" s="22" t="s">
        <v>54</v>
      </c>
      <c r="J1044" s="22" t="s">
        <v>55</v>
      </c>
      <c r="K1044" s="22" t="s">
        <v>148</v>
      </c>
      <c r="L1044" s="22" t="s">
        <v>33</v>
      </c>
      <c r="M1044" s="22" t="s">
        <v>66</v>
      </c>
      <c r="N1044" s="22">
        <v>21</v>
      </c>
      <c r="O1044" s="26">
        <v>4680</v>
      </c>
      <c r="P1044" s="22">
        <v>0.08</v>
      </c>
      <c r="Q1044" s="30">
        <v>3250</v>
      </c>
      <c r="R1044" s="33">
        <f>Table1_1[[#This Row],[Units Sold]]*Table1_1[[#This Row],[Unit Price]]*1-Table1_1[[#This Row],[Discount]]</f>
        <v>98279.92</v>
      </c>
      <c r="S1044" s="33">
        <f>Table1_1[[#This Row],[Units Sold]]*Table1_1[[#This Row],[Unit Cost]]</f>
        <v>68250</v>
      </c>
      <c r="T1044" s="33">
        <f>Table1_1[[#This Row],[Sales Amount]]-S1044</f>
        <v>30029.919999999998</v>
      </c>
      <c r="U1044" s="32">
        <f>IFERROR(Table1_1[[#This Row],[Profit/loss]]/Table1_1[[#This Row],[Sales Amount]],0)</f>
        <v>0.30555499027675237</v>
      </c>
    </row>
    <row r="1045" spans="1:21" ht="18" x14ac:dyDescent="0.35">
      <c r="A1045" s="21" t="s">
        <v>1152</v>
      </c>
      <c r="B1045" s="36">
        <v>45806</v>
      </c>
      <c r="C1045" s="22">
        <f>YEAR(Table1_1[[#This Row],[Order Date]])</f>
        <v>2025</v>
      </c>
      <c r="D1045" s="22" t="str">
        <f>TEXT(Table1_1[[#This Row],[Order Date]],"MMMM")</f>
        <v>May</v>
      </c>
      <c r="E1045" s="22" t="s">
        <v>48</v>
      </c>
      <c r="F1045" s="22" t="s">
        <v>93</v>
      </c>
      <c r="G1045" s="22" t="s">
        <v>50</v>
      </c>
      <c r="H1045" s="22" t="s">
        <v>39</v>
      </c>
      <c r="I1045" s="22" t="s">
        <v>40</v>
      </c>
      <c r="J1045" s="22" t="s">
        <v>64</v>
      </c>
      <c r="K1045" s="22" t="s">
        <v>1629</v>
      </c>
      <c r="L1045" s="22" t="s">
        <v>23</v>
      </c>
      <c r="M1045" s="22" t="s">
        <v>78</v>
      </c>
      <c r="N1045" s="22">
        <v>3</v>
      </c>
      <c r="O1045" s="26">
        <v>3299</v>
      </c>
      <c r="P1045" s="22">
        <v>0.18</v>
      </c>
      <c r="Q1045" s="30">
        <v>2050</v>
      </c>
      <c r="R1045" s="33">
        <f>Table1_1[[#This Row],[Units Sold]]*Table1_1[[#This Row],[Unit Price]]*1-Table1_1[[#This Row],[Discount]]</f>
        <v>9896.82</v>
      </c>
      <c r="S1045" s="33">
        <f>Table1_1[[#This Row],[Units Sold]]*Table1_1[[#This Row],[Unit Cost]]</f>
        <v>6150</v>
      </c>
      <c r="T1045" s="33">
        <f>Table1_1[[#This Row],[Sales Amount]]-S1045</f>
        <v>3746.8199999999997</v>
      </c>
      <c r="U1045" s="32">
        <f>IFERROR(Table1_1[[#This Row],[Profit/loss]]/Table1_1[[#This Row],[Sales Amount]],0)</f>
        <v>0.37858827380916293</v>
      </c>
    </row>
    <row r="1046" spans="1:21" ht="18" x14ac:dyDescent="0.35">
      <c r="A1046" s="21" t="s">
        <v>1153</v>
      </c>
      <c r="B1046" s="36">
        <v>45806</v>
      </c>
      <c r="C1046" s="22">
        <f>YEAR(Table1_1[[#This Row],[Order Date]])</f>
        <v>2025</v>
      </c>
      <c r="D1046" s="22" t="str">
        <f>TEXT(Table1_1[[#This Row],[Order Date]],"MMMM")</f>
        <v>May</v>
      </c>
      <c r="E1046" s="22" t="s">
        <v>26</v>
      </c>
      <c r="F1046" s="22" t="s">
        <v>163</v>
      </c>
      <c r="G1046" s="22" t="s">
        <v>101</v>
      </c>
      <c r="H1046" s="22" t="s">
        <v>29</v>
      </c>
      <c r="I1046" s="22" t="s">
        <v>40</v>
      </c>
      <c r="J1046" s="22" t="s">
        <v>76</v>
      </c>
      <c r="K1046" s="22" t="s">
        <v>1620</v>
      </c>
      <c r="L1046" s="22" t="s">
        <v>33</v>
      </c>
      <c r="M1046" s="22" t="s">
        <v>34</v>
      </c>
      <c r="N1046" s="22">
        <v>10</v>
      </c>
      <c r="O1046" s="26">
        <v>52990</v>
      </c>
      <c r="P1046" s="22">
        <v>0.15</v>
      </c>
      <c r="Q1046" s="30">
        <v>39500</v>
      </c>
      <c r="R1046" s="33">
        <f>Table1_1[[#This Row],[Units Sold]]*Table1_1[[#This Row],[Unit Price]]*1-Table1_1[[#This Row],[Discount]]</f>
        <v>529899.85</v>
      </c>
      <c r="S1046" s="33">
        <f>Table1_1[[#This Row],[Units Sold]]*Table1_1[[#This Row],[Unit Cost]]</f>
        <v>395000</v>
      </c>
      <c r="T1046" s="33">
        <f>Table1_1[[#This Row],[Sales Amount]]-S1046</f>
        <v>134899.84999999998</v>
      </c>
      <c r="U1046" s="32">
        <f>IFERROR(Table1_1[[#This Row],[Profit/loss]]/Table1_1[[#This Row],[Sales Amount]],0)</f>
        <v>0.25457612414874242</v>
      </c>
    </row>
    <row r="1047" spans="1:21" ht="18" x14ac:dyDescent="0.35">
      <c r="A1047" s="21" t="s">
        <v>1154</v>
      </c>
      <c r="B1047" s="36">
        <v>45806</v>
      </c>
      <c r="C1047" s="22">
        <f>YEAR(Table1_1[[#This Row],[Order Date]])</f>
        <v>2025</v>
      </c>
      <c r="D1047" s="22" t="str">
        <f>TEXT(Table1_1[[#This Row],[Order Date]],"MMMM")</f>
        <v>May</v>
      </c>
      <c r="E1047" s="22" t="s">
        <v>48</v>
      </c>
      <c r="F1047" s="22" t="s">
        <v>68</v>
      </c>
      <c r="G1047" s="22" t="s">
        <v>69</v>
      </c>
      <c r="H1047" s="22" t="s">
        <v>39</v>
      </c>
      <c r="I1047" s="22" t="s">
        <v>54</v>
      </c>
      <c r="J1047" s="22" t="s">
        <v>90</v>
      </c>
      <c r="K1047" s="22" t="s">
        <v>1631</v>
      </c>
      <c r="L1047" s="22" t="s">
        <v>23</v>
      </c>
      <c r="M1047" s="22" t="s">
        <v>34</v>
      </c>
      <c r="N1047" s="22">
        <v>16</v>
      </c>
      <c r="O1047" s="26">
        <v>29010</v>
      </c>
      <c r="P1047" s="22">
        <v>0.05</v>
      </c>
      <c r="Q1047" s="30">
        <v>19150</v>
      </c>
      <c r="R1047" s="33">
        <f>Table1_1[[#This Row],[Units Sold]]*Table1_1[[#This Row],[Unit Price]]*1-Table1_1[[#This Row],[Discount]]</f>
        <v>464159.95</v>
      </c>
      <c r="S1047" s="33">
        <f>Table1_1[[#This Row],[Units Sold]]*Table1_1[[#This Row],[Unit Cost]]</f>
        <v>306400</v>
      </c>
      <c r="T1047" s="33">
        <f>Table1_1[[#This Row],[Sales Amount]]-S1047</f>
        <v>157759.95000000001</v>
      </c>
      <c r="U1047" s="32">
        <f>IFERROR(Table1_1[[#This Row],[Profit/loss]]/Table1_1[[#This Row],[Sales Amount]],0)</f>
        <v>0.33988272792600915</v>
      </c>
    </row>
    <row r="1048" spans="1:21" ht="18" x14ac:dyDescent="0.35">
      <c r="A1048" s="21" t="s">
        <v>1155</v>
      </c>
      <c r="B1048" s="36">
        <v>45807</v>
      </c>
      <c r="C1048" s="22">
        <f>YEAR(Table1_1[[#This Row],[Order Date]])</f>
        <v>2025</v>
      </c>
      <c r="D1048" s="22" t="str">
        <f>TEXT(Table1_1[[#This Row],[Order Date]],"MMMM")</f>
        <v>May</v>
      </c>
      <c r="E1048" s="22" t="s">
        <v>48</v>
      </c>
      <c r="F1048" s="22" t="s">
        <v>68</v>
      </c>
      <c r="G1048" s="22" t="s">
        <v>101</v>
      </c>
      <c r="H1048" s="22" t="s">
        <v>19</v>
      </c>
      <c r="I1048" s="22" t="s">
        <v>54</v>
      </c>
      <c r="J1048" s="22" t="s">
        <v>55</v>
      </c>
      <c r="K1048" s="22" t="s">
        <v>56</v>
      </c>
      <c r="L1048" s="22" t="s">
        <v>23</v>
      </c>
      <c r="M1048" s="22" t="s">
        <v>78</v>
      </c>
      <c r="N1048" s="22">
        <v>31</v>
      </c>
      <c r="O1048" s="26">
        <v>7299</v>
      </c>
      <c r="P1048" s="22">
        <v>0.12</v>
      </c>
      <c r="Q1048" s="30">
        <v>5010</v>
      </c>
      <c r="R1048" s="33">
        <f>Table1_1[[#This Row],[Units Sold]]*Table1_1[[#This Row],[Unit Price]]*1-Table1_1[[#This Row],[Discount]]</f>
        <v>226268.88</v>
      </c>
      <c r="S1048" s="33">
        <f>Table1_1[[#This Row],[Units Sold]]*Table1_1[[#This Row],[Unit Cost]]</f>
        <v>155310</v>
      </c>
      <c r="T1048" s="33">
        <f>Table1_1[[#This Row],[Sales Amount]]-S1048</f>
        <v>70958.880000000005</v>
      </c>
      <c r="U1048" s="32">
        <f>IFERROR(Table1_1[[#This Row],[Profit/loss]]/Table1_1[[#This Row],[Sales Amount]],0)</f>
        <v>0.31360423934568465</v>
      </c>
    </row>
    <row r="1049" spans="1:21" ht="18" x14ac:dyDescent="0.35">
      <c r="A1049" s="21" t="s">
        <v>1156</v>
      </c>
      <c r="B1049" s="36">
        <v>45807</v>
      </c>
      <c r="C1049" s="22">
        <f>YEAR(Table1_1[[#This Row],[Order Date]])</f>
        <v>2025</v>
      </c>
      <c r="D1049" s="22" t="str">
        <f>TEXT(Table1_1[[#This Row],[Order Date]],"MMMM")</f>
        <v>May</v>
      </c>
      <c r="E1049" s="22" t="s">
        <v>36</v>
      </c>
      <c r="F1049" s="22" t="s">
        <v>37</v>
      </c>
      <c r="G1049" s="22" t="s">
        <v>60</v>
      </c>
      <c r="H1049" s="22" t="s">
        <v>29</v>
      </c>
      <c r="I1049" s="22" t="s">
        <v>70</v>
      </c>
      <c r="J1049" s="22" t="s">
        <v>71</v>
      </c>
      <c r="K1049" s="22" t="s">
        <v>80</v>
      </c>
      <c r="L1049" s="22" t="s">
        <v>33</v>
      </c>
      <c r="M1049" s="22" t="s">
        <v>24</v>
      </c>
      <c r="N1049" s="22">
        <v>37</v>
      </c>
      <c r="O1049" s="26">
        <v>1299</v>
      </c>
      <c r="P1049" s="22">
        <v>0.1</v>
      </c>
      <c r="Q1049" s="30">
        <v>720</v>
      </c>
      <c r="R1049" s="33">
        <f>Table1_1[[#This Row],[Units Sold]]*Table1_1[[#This Row],[Unit Price]]*1-Table1_1[[#This Row],[Discount]]</f>
        <v>48062.9</v>
      </c>
      <c r="S1049" s="33">
        <f>Table1_1[[#This Row],[Units Sold]]*Table1_1[[#This Row],[Unit Cost]]</f>
        <v>26640</v>
      </c>
      <c r="T1049" s="33">
        <f>Table1_1[[#This Row],[Sales Amount]]-S1049</f>
        <v>21422.9</v>
      </c>
      <c r="U1049" s="32">
        <f>IFERROR(Table1_1[[#This Row],[Profit/loss]]/Table1_1[[#This Row],[Sales Amount]],0)</f>
        <v>0.44572632945577567</v>
      </c>
    </row>
    <row r="1050" spans="1:21" ht="18" x14ac:dyDescent="0.35">
      <c r="A1050" s="21" t="s">
        <v>1157</v>
      </c>
      <c r="B1050" s="36">
        <v>45808</v>
      </c>
      <c r="C1050" s="22">
        <f>YEAR(Table1_1[[#This Row],[Order Date]])</f>
        <v>2025</v>
      </c>
      <c r="D1050" s="22" t="str">
        <f>TEXT(Table1_1[[#This Row],[Order Date]],"MMMM")</f>
        <v>May</v>
      </c>
      <c r="E1050" s="22" t="s">
        <v>26</v>
      </c>
      <c r="F1050" s="22" t="s">
        <v>53</v>
      </c>
      <c r="G1050" s="22" t="s">
        <v>38</v>
      </c>
      <c r="H1050" s="22" t="s">
        <v>29</v>
      </c>
      <c r="I1050" s="22" t="s">
        <v>70</v>
      </c>
      <c r="J1050" s="22" t="s">
        <v>71</v>
      </c>
      <c r="K1050" s="22" t="s">
        <v>88</v>
      </c>
      <c r="L1050" s="22" t="s">
        <v>23</v>
      </c>
      <c r="M1050" s="22" t="s">
        <v>66</v>
      </c>
      <c r="N1050" s="22">
        <v>30</v>
      </c>
      <c r="O1050" s="26">
        <v>999</v>
      </c>
      <c r="P1050" s="22">
        <v>0.08</v>
      </c>
      <c r="Q1050" s="30">
        <v>540</v>
      </c>
      <c r="R1050" s="33">
        <f>Table1_1[[#This Row],[Units Sold]]*Table1_1[[#This Row],[Unit Price]]*1-Table1_1[[#This Row],[Discount]]</f>
        <v>29969.919999999998</v>
      </c>
      <c r="S1050" s="33">
        <f>Table1_1[[#This Row],[Units Sold]]*Table1_1[[#This Row],[Unit Cost]]</f>
        <v>16200</v>
      </c>
      <c r="T1050" s="33">
        <f>Table1_1[[#This Row],[Sales Amount]]-S1050</f>
        <v>13769.919999999998</v>
      </c>
      <c r="U1050" s="32">
        <f>IFERROR(Table1_1[[#This Row],[Profit/loss]]/Table1_1[[#This Row],[Sales Amount]],0)</f>
        <v>0.4594580165712821</v>
      </c>
    </row>
    <row r="1051" spans="1:21" ht="18" x14ac:dyDescent="0.35">
      <c r="A1051" s="21" t="s">
        <v>1158</v>
      </c>
      <c r="B1051" s="36">
        <v>45808</v>
      </c>
      <c r="C1051" s="22">
        <f>YEAR(Table1_1[[#This Row],[Order Date]])</f>
        <v>2025</v>
      </c>
      <c r="D1051" s="22" t="str">
        <f>TEXT(Table1_1[[#This Row],[Order Date]],"MMMM")</f>
        <v>May</v>
      </c>
      <c r="E1051" s="22" t="s">
        <v>48</v>
      </c>
      <c r="F1051" s="22" t="s">
        <v>68</v>
      </c>
      <c r="G1051" s="22" t="s">
        <v>50</v>
      </c>
      <c r="H1051" s="22" t="s">
        <v>39</v>
      </c>
      <c r="I1051" s="22" t="s">
        <v>20</v>
      </c>
      <c r="J1051" s="22" t="s">
        <v>21</v>
      </c>
      <c r="K1051" s="22" t="s">
        <v>115</v>
      </c>
      <c r="L1051" s="22" t="s">
        <v>23</v>
      </c>
      <c r="M1051" s="22" t="s">
        <v>24</v>
      </c>
      <c r="N1051" s="22">
        <v>36</v>
      </c>
      <c r="O1051" s="26">
        <v>6499</v>
      </c>
      <c r="P1051" s="22">
        <v>0.05</v>
      </c>
      <c r="Q1051" s="30">
        <v>4210</v>
      </c>
      <c r="R1051" s="33">
        <f>Table1_1[[#This Row],[Units Sold]]*Table1_1[[#This Row],[Unit Price]]*1-Table1_1[[#This Row],[Discount]]</f>
        <v>233963.95</v>
      </c>
      <c r="S1051" s="33">
        <f>Table1_1[[#This Row],[Units Sold]]*Table1_1[[#This Row],[Unit Cost]]</f>
        <v>151560</v>
      </c>
      <c r="T1051" s="33">
        <f>Table1_1[[#This Row],[Sales Amount]]-S1051</f>
        <v>82403.950000000012</v>
      </c>
      <c r="U1051" s="32">
        <f>IFERROR(Table1_1[[#This Row],[Profit/loss]]/Table1_1[[#This Row],[Sales Amount]],0)</f>
        <v>0.35220789356650889</v>
      </c>
    </row>
    <row r="1052" spans="1:21" ht="18" x14ac:dyDescent="0.35">
      <c r="A1052" s="21" t="s">
        <v>1159</v>
      </c>
      <c r="B1052" s="36">
        <v>45808</v>
      </c>
      <c r="C1052" s="22">
        <f>YEAR(Table1_1[[#This Row],[Order Date]])</f>
        <v>2025</v>
      </c>
      <c r="D1052" s="22" t="str">
        <f>TEXT(Table1_1[[#This Row],[Order Date]],"MMMM")</f>
        <v>May</v>
      </c>
      <c r="E1052" s="22" t="s">
        <v>82</v>
      </c>
      <c r="F1052" s="22" t="s">
        <v>87</v>
      </c>
      <c r="G1052" s="22" t="s">
        <v>60</v>
      </c>
      <c r="H1052" s="22" t="s">
        <v>39</v>
      </c>
      <c r="I1052" s="22" t="s">
        <v>70</v>
      </c>
      <c r="J1052" s="22" t="s">
        <v>71</v>
      </c>
      <c r="K1052" s="22" t="s">
        <v>72</v>
      </c>
      <c r="L1052" s="22" t="s">
        <v>33</v>
      </c>
      <c r="M1052" s="22" t="s">
        <v>24</v>
      </c>
      <c r="N1052" s="22">
        <v>8</v>
      </c>
      <c r="O1052" s="26">
        <v>3499</v>
      </c>
      <c r="P1052" s="22">
        <v>0.12</v>
      </c>
      <c r="Q1052" s="30">
        <v>2190</v>
      </c>
      <c r="R1052" s="33">
        <f>Table1_1[[#This Row],[Units Sold]]*Table1_1[[#This Row],[Unit Price]]*1-Table1_1[[#This Row],[Discount]]</f>
        <v>27991.88</v>
      </c>
      <c r="S1052" s="33">
        <f>Table1_1[[#This Row],[Units Sold]]*Table1_1[[#This Row],[Unit Cost]]</f>
        <v>17520</v>
      </c>
      <c r="T1052" s="33">
        <f>Table1_1[[#This Row],[Sales Amount]]-S1052</f>
        <v>10471.880000000001</v>
      </c>
      <c r="U1052" s="32">
        <f>IFERROR(Table1_1[[#This Row],[Profit/loss]]/Table1_1[[#This Row],[Sales Amount]],0)</f>
        <v>0.37410420450502074</v>
      </c>
    </row>
    <row r="1053" spans="1:21" ht="18" x14ac:dyDescent="0.35">
      <c r="A1053" s="21" t="s">
        <v>1160</v>
      </c>
      <c r="B1053" s="36">
        <v>45810</v>
      </c>
      <c r="C1053" s="22">
        <f>YEAR(Table1_1[[#This Row],[Order Date]])</f>
        <v>2025</v>
      </c>
      <c r="D1053" s="22" t="str">
        <f>TEXT(Table1_1[[#This Row],[Order Date]],"MMMM")</f>
        <v>June</v>
      </c>
      <c r="E1053" s="22" t="s">
        <v>26</v>
      </c>
      <c r="F1053" s="22" t="s">
        <v>74</v>
      </c>
      <c r="G1053" s="22" t="s">
        <v>105</v>
      </c>
      <c r="H1053" s="22" t="s">
        <v>19</v>
      </c>
      <c r="I1053" s="22" t="s">
        <v>54</v>
      </c>
      <c r="J1053" s="22" t="s">
        <v>129</v>
      </c>
      <c r="K1053" s="22" t="s">
        <v>130</v>
      </c>
      <c r="L1053" s="22" t="s">
        <v>23</v>
      </c>
      <c r="M1053" s="22" t="s">
        <v>24</v>
      </c>
      <c r="N1053" s="22">
        <v>7</v>
      </c>
      <c r="O1053" s="26">
        <v>27890</v>
      </c>
      <c r="P1053" s="22">
        <v>0.08</v>
      </c>
      <c r="Q1053" s="30">
        <v>18800</v>
      </c>
      <c r="R1053" s="33">
        <f>Table1_1[[#This Row],[Units Sold]]*Table1_1[[#This Row],[Unit Price]]*1-Table1_1[[#This Row],[Discount]]</f>
        <v>195229.92</v>
      </c>
      <c r="S1053" s="33">
        <f>Table1_1[[#This Row],[Units Sold]]*Table1_1[[#This Row],[Unit Cost]]</f>
        <v>131600</v>
      </c>
      <c r="T1053" s="33">
        <f>Table1_1[[#This Row],[Sales Amount]]-S1053</f>
        <v>63629.920000000013</v>
      </c>
      <c r="U1053" s="32">
        <f>IFERROR(Table1_1[[#This Row],[Profit/loss]]/Table1_1[[#This Row],[Sales Amount]],0)</f>
        <v>0.325922993770627</v>
      </c>
    </row>
    <row r="1054" spans="1:21" ht="18" x14ac:dyDescent="0.35">
      <c r="A1054" s="21" t="s">
        <v>1161</v>
      </c>
      <c r="B1054" s="36">
        <v>45812</v>
      </c>
      <c r="C1054" s="22">
        <f>YEAR(Table1_1[[#This Row],[Order Date]])</f>
        <v>2025</v>
      </c>
      <c r="D1054" s="22" t="str">
        <f>TEXT(Table1_1[[#This Row],[Order Date]],"MMMM")</f>
        <v>June</v>
      </c>
      <c r="E1054" s="22" t="s">
        <v>36</v>
      </c>
      <c r="F1054" s="22" t="s">
        <v>44</v>
      </c>
      <c r="G1054" s="22" t="s">
        <v>101</v>
      </c>
      <c r="H1054" s="22" t="s">
        <v>39</v>
      </c>
      <c r="I1054" s="22" t="s">
        <v>70</v>
      </c>
      <c r="J1054" s="22" t="s">
        <v>71</v>
      </c>
      <c r="K1054" s="22" t="s">
        <v>88</v>
      </c>
      <c r="L1054" s="22" t="s">
        <v>23</v>
      </c>
      <c r="M1054" s="22" t="s">
        <v>66</v>
      </c>
      <c r="N1054" s="22">
        <v>26</v>
      </c>
      <c r="O1054" s="26">
        <v>999</v>
      </c>
      <c r="P1054" s="22">
        <v>0.2</v>
      </c>
      <c r="Q1054" s="30">
        <v>540</v>
      </c>
      <c r="R1054" s="33">
        <f>Table1_1[[#This Row],[Units Sold]]*Table1_1[[#This Row],[Unit Price]]*1-Table1_1[[#This Row],[Discount]]</f>
        <v>25973.8</v>
      </c>
      <c r="S1054" s="33">
        <f>Table1_1[[#This Row],[Units Sold]]*Table1_1[[#This Row],[Unit Cost]]</f>
        <v>14040</v>
      </c>
      <c r="T1054" s="33">
        <f>Table1_1[[#This Row],[Sales Amount]]-S1054</f>
        <v>11933.8</v>
      </c>
      <c r="U1054" s="32">
        <f>IFERROR(Table1_1[[#This Row],[Profit/loss]]/Table1_1[[#This Row],[Sales Amount]],0)</f>
        <v>0.45945529726108614</v>
      </c>
    </row>
    <row r="1055" spans="1:21" ht="18" x14ac:dyDescent="0.35">
      <c r="A1055" s="21" t="s">
        <v>1162</v>
      </c>
      <c r="B1055" s="36">
        <v>45812</v>
      </c>
      <c r="C1055" s="22">
        <f>YEAR(Table1_1[[#This Row],[Order Date]])</f>
        <v>2025</v>
      </c>
      <c r="D1055" s="22" t="str">
        <f>TEXT(Table1_1[[#This Row],[Order Date]],"MMMM")</f>
        <v>June</v>
      </c>
      <c r="E1055" s="22" t="s">
        <v>26</v>
      </c>
      <c r="F1055" s="22" t="s">
        <v>27</v>
      </c>
      <c r="G1055" s="22" t="s">
        <v>105</v>
      </c>
      <c r="H1055" s="22" t="s">
        <v>39</v>
      </c>
      <c r="I1055" s="22" t="s">
        <v>40</v>
      </c>
      <c r="J1055" s="22" t="s">
        <v>41</v>
      </c>
      <c r="K1055" s="22" t="s">
        <v>1624</v>
      </c>
      <c r="L1055" s="22" t="s">
        <v>33</v>
      </c>
      <c r="M1055" s="22" t="s">
        <v>66</v>
      </c>
      <c r="N1055" s="22">
        <v>37</v>
      </c>
      <c r="O1055" s="26">
        <v>48990</v>
      </c>
      <c r="P1055" s="22">
        <v>0.05</v>
      </c>
      <c r="Q1055" s="30">
        <v>30100</v>
      </c>
      <c r="R1055" s="33">
        <f>Table1_1[[#This Row],[Units Sold]]*Table1_1[[#This Row],[Unit Price]]*1-Table1_1[[#This Row],[Discount]]</f>
        <v>1812629.95</v>
      </c>
      <c r="S1055" s="33">
        <f>Table1_1[[#This Row],[Units Sold]]*Table1_1[[#This Row],[Unit Cost]]</f>
        <v>1113700</v>
      </c>
      <c r="T1055" s="33">
        <f>Table1_1[[#This Row],[Sales Amount]]-S1055</f>
        <v>698929.95</v>
      </c>
      <c r="U1055" s="32">
        <f>IFERROR(Table1_1[[#This Row],[Profit/loss]]/Table1_1[[#This Row],[Sales Amount]],0)</f>
        <v>0.38558887874494185</v>
      </c>
    </row>
    <row r="1056" spans="1:21" ht="18" x14ac:dyDescent="0.35">
      <c r="A1056" s="21" t="s">
        <v>1163</v>
      </c>
      <c r="B1056" s="36">
        <v>45813</v>
      </c>
      <c r="C1056" s="22">
        <f>YEAR(Table1_1[[#This Row],[Order Date]])</f>
        <v>2025</v>
      </c>
      <c r="D1056" s="22" t="str">
        <f>TEXT(Table1_1[[#This Row],[Order Date]],"MMMM")</f>
        <v>June</v>
      </c>
      <c r="E1056" s="22" t="s">
        <v>82</v>
      </c>
      <c r="F1056" s="22" t="s">
        <v>100</v>
      </c>
      <c r="G1056" s="22" t="s">
        <v>50</v>
      </c>
      <c r="H1056" s="22" t="s">
        <v>19</v>
      </c>
      <c r="I1056" s="22" t="s">
        <v>20</v>
      </c>
      <c r="J1056" s="22" t="s">
        <v>45</v>
      </c>
      <c r="K1056" s="22" t="s">
        <v>196</v>
      </c>
      <c r="L1056" s="22" t="s">
        <v>33</v>
      </c>
      <c r="M1056" s="22" t="s">
        <v>24</v>
      </c>
      <c r="N1056" s="22">
        <v>14</v>
      </c>
      <c r="O1056" s="26">
        <v>2499</v>
      </c>
      <c r="P1056" s="22">
        <v>0.15</v>
      </c>
      <c r="Q1056" s="30">
        <v>1510</v>
      </c>
      <c r="R1056" s="33">
        <f>Table1_1[[#This Row],[Units Sold]]*Table1_1[[#This Row],[Unit Price]]*1-Table1_1[[#This Row],[Discount]]</f>
        <v>34985.85</v>
      </c>
      <c r="S1056" s="33">
        <f>Table1_1[[#This Row],[Units Sold]]*Table1_1[[#This Row],[Unit Cost]]</f>
        <v>21140</v>
      </c>
      <c r="T1056" s="33">
        <f>Table1_1[[#This Row],[Sales Amount]]-S1056</f>
        <v>13845.849999999999</v>
      </c>
      <c r="U1056" s="32">
        <f>IFERROR(Table1_1[[#This Row],[Profit/loss]]/Table1_1[[#This Row],[Sales Amount]],0)</f>
        <v>0.39575571266669235</v>
      </c>
    </row>
    <row r="1057" spans="1:21" ht="18" x14ac:dyDescent="0.35">
      <c r="A1057" s="21" t="s">
        <v>1164</v>
      </c>
      <c r="B1057" s="36">
        <v>45813</v>
      </c>
      <c r="C1057" s="22">
        <f>YEAR(Table1_1[[#This Row],[Order Date]])</f>
        <v>2025</v>
      </c>
      <c r="D1057" s="22" t="str">
        <f>TEXT(Table1_1[[#This Row],[Order Date]],"MMMM")</f>
        <v>June</v>
      </c>
      <c r="E1057" s="22" t="s">
        <v>48</v>
      </c>
      <c r="F1057" s="22" t="s">
        <v>49</v>
      </c>
      <c r="G1057" s="22" t="s">
        <v>60</v>
      </c>
      <c r="H1057" s="22" t="s">
        <v>39</v>
      </c>
      <c r="I1057" s="22" t="s">
        <v>30</v>
      </c>
      <c r="J1057" s="22" t="s">
        <v>61</v>
      </c>
      <c r="K1057" s="22" t="s">
        <v>186</v>
      </c>
      <c r="L1057" s="22" t="s">
        <v>57</v>
      </c>
      <c r="M1057" s="22" t="s">
        <v>24</v>
      </c>
      <c r="N1057" s="22">
        <v>14</v>
      </c>
      <c r="O1057" s="26">
        <v>6999</v>
      </c>
      <c r="P1057" s="22">
        <v>0.08</v>
      </c>
      <c r="Q1057" s="30">
        <v>4320</v>
      </c>
      <c r="R1057" s="33">
        <f>Table1_1[[#This Row],[Units Sold]]*Table1_1[[#This Row],[Unit Price]]*1-Table1_1[[#This Row],[Discount]]</f>
        <v>97985.919999999998</v>
      </c>
      <c r="S1057" s="33">
        <f>Table1_1[[#This Row],[Units Sold]]*Table1_1[[#This Row],[Unit Cost]]</f>
        <v>60480</v>
      </c>
      <c r="T1057" s="33">
        <f>Table1_1[[#This Row],[Sales Amount]]-S1057</f>
        <v>37505.919999999998</v>
      </c>
      <c r="U1057" s="32">
        <f>IFERROR(Table1_1[[#This Row],[Profit/loss]]/Table1_1[[#This Row],[Sales Amount]],0)</f>
        <v>0.38276846306081524</v>
      </c>
    </row>
    <row r="1058" spans="1:21" ht="18" x14ac:dyDescent="0.35">
      <c r="A1058" s="21" t="s">
        <v>1165</v>
      </c>
      <c r="B1058" s="36">
        <v>45814</v>
      </c>
      <c r="C1058" s="22">
        <f>YEAR(Table1_1[[#This Row],[Order Date]])</f>
        <v>2025</v>
      </c>
      <c r="D1058" s="22" t="str">
        <f>TEXT(Table1_1[[#This Row],[Order Date]],"MMMM")</f>
        <v>June</v>
      </c>
      <c r="E1058" s="22" t="s">
        <v>36</v>
      </c>
      <c r="F1058" s="22" t="s">
        <v>121</v>
      </c>
      <c r="G1058" s="22" t="s">
        <v>75</v>
      </c>
      <c r="H1058" s="22" t="s">
        <v>19</v>
      </c>
      <c r="I1058" s="22" t="s">
        <v>20</v>
      </c>
      <c r="J1058" s="22" t="s">
        <v>45</v>
      </c>
      <c r="K1058" s="22" t="s">
        <v>196</v>
      </c>
      <c r="L1058" s="22" t="s">
        <v>23</v>
      </c>
      <c r="M1058" s="22" t="s">
        <v>24</v>
      </c>
      <c r="N1058" s="22">
        <v>37</v>
      </c>
      <c r="O1058" s="26">
        <v>2499</v>
      </c>
      <c r="P1058" s="22">
        <v>0.15</v>
      </c>
      <c r="Q1058" s="30">
        <v>1510</v>
      </c>
      <c r="R1058" s="33">
        <f>Table1_1[[#This Row],[Units Sold]]*Table1_1[[#This Row],[Unit Price]]*1-Table1_1[[#This Row],[Discount]]</f>
        <v>92462.85</v>
      </c>
      <c r="S1058" s="33">
        <f>Table1_1[[#This Row],[Units Sold]]*Table1_1[[#This Row],[Unit Cost]]</f>
        <v>55870</v>
      </c>
      <c r="T1058" s="33">
        <f>Table1_1[[#This Row],[Sales Amount]]-S1058</f>
        <v>36592.850000000006</v>
      </c>
      <c r="U1058" s="32">
        <f>IFERROR(Table1_1[[#This Row],[Profit/loss]]/Table1_1[[#This Row],[Sales Amount]],0)</f>
        <v>0.39575732307624095</v>
      </c>
    </row>
    <row r="1059" spans="1:21" ht="18" x14ac:dyDescent="0.35">
      <c r="A1059" s="21" t="s">
        <v>1166</v>
      </c>
      <c r="B1059" s="36">
        <v>45814</v>
      </c>
      <c r="C1059" s="22">
        <f>YEAR(Table1_1[[#This Row],[Order Date]])</f>
        <v>2025</v>
      </c>
      <c r="D1059" s="22" t="str">
        <f>TEXT(Table1_1[[#This Row],[Order Date]],"MMMM")</f>
        <v>June</v>
      </c>
      <c r="E1059" s="22" t="s">
        <v>16</v>
      </c>
      <c r="F1059" s="22" t="s">
        <v>111</v>
      </c>
      <c r="G1059" s="22" t="s">
        <v>50</v>
      </c>
      <c r="H1059" s="22" t="s">
        <v>19</v>
      </c>
      <c r="I1059" s="22" t="s">
        <v>40</v>
      </c>
      <c r="J1059" s="22" t="s">
        <v>41</v>
      </c>
      <c r="K1059" s="22" t="s">
        <v>1628</v>
      </c>
      <c r="L1059" s="22" t="s">
        <v>23</v>
      </c>
      <c r="M1059" s="22" t="s">
        <v>66</v>
      </c>
      <c r="N1059" s="22">
        <v>40</v>
      </c>
      <c r="O1059" s="26">
        <v>48500</v>
      </c>
      <c r="P1059" s="22">
        <v>0.12</v>
      </c>
      <c r="Q1059" s="30">
        <v>30200</v>
      </c>
      <c r="R1059" s="33">
        <f>Table1_1[[#This Row],[Units Sold]]*Table1_1[[#This Row],[Unit Price]]*1-Table1_1[[#This Row],[Discount]]</f>
        <v>1939999.88</v>
      </c>
      <c r="S1059" s="33">
        <f>Table1_1[[#This Row],[Units Sold]]*Table1_1[[#This Row],[Unit Cost]]</f>
        <v>1208000</v>
      </c>
      <c r="T1059" s="33">
        <f>Table1_1[[#This Row],[Sales Amount]]-S1059</f>
        <v>731999.87999999989</v>
      </c>
      <c r="U1059" s="32">
        <f>IFERROR(Table1_1[[#This Row],[Profit/loss]]/Table1_1[[#This Row],[Sales Amount]],0)</f>
        <v>0.37731954911254939</v>
      </c>
    </row>
    <row r="1060" spans="1:21" ht="18" x14ac:dyDescent="0.35">
      <c r="A1060" s="21" t="s">
        <v>1167</v>
      </c>
      <c r="B1060" s="36">
        <v>45814</v>
      </c>
      <c r="C1060" s="22">
        <f>YEAR(Table1_1[[#This Row],[Order Date]])</f>
        <v>2025</v>
      </c>
      <c r="D1060" s="22" t="str">
        <f>TEXT(Table1_1[[#This Row],[Order Date]],"MMMM")</f>
        <v>June</v>
      </c>
      <c r="E1060" s="22" t="s">
        <v>36</v>
      </c>
      <c r="F1060" s="22" t="s">
        <v>121</v>
      </c>
      <c r="G1060" s="22" t="s">
        <v>105</v>
      </c>
      <c r="H1060" s="22" t="s">
        <v>39</v>
      </c>
      <c r="I1060" s="22" t="s">
        <v>40</v>
      </c>
      <c r="J1060" s="22" t="s">
        <v>41</v>
      </c>
      <c r="K1060" s="22" t="s">
        <v>42</v>
      </c>
      <c r="L1060" s="22" t="s">
        <v>57</v>
      </c>
      <c r="M1060" s="22" t="s">
        <v>34</v>
      </c>
      <c r="N1060" s="22">
        <v>38</v>
      </c>
      <c r="O1060" s="26">
        <v>55230</v>
      </c>
      <c r="P1060" s="22">
        <v>0.18</v>
      </c>
      <c r="Q1060" s="30">
        <v>33800</v>
      </c>
      <c r="R1060" s="33">
        <f>Table1_1[[#This Row],[Units Sold]]*Table1_1[[#This Row],[Unit Price]]*1-Table1_1[[#This Row],[Discount]]</f>
        <v>2098739.8199999998</v>
      </c>
      <c r="S1060" s="33">
        <f>Table1_1[[#This Row],[Units Sold]]*Table1_1[[#This Row],[Unit Cost]]</f>
        <v>1284400</v>
      </c>
      <c r="T1060" s="33">
        <f>Table1_1[[#This Row],[Sales Amount]]-S1060</f>
        <v>814339.81999999983</v>
      </c>
      <c r="U1060" s="32">
        <f>IFERROR(Table1_1[[#This Row],[Profit/loss]]/Table1_1[[#This Row],[Sales Amount]],0)</f>
        <v>0.3880137081498744</v>
      </c>
    </row>
    <row r="1061" spans="1:21" ht="18" x14ac:dyDescent="0.35">
      <c r="A1061" s="21" t="s">
        <v>1168</v>
      </c>
      <c r="B1061" s="36">
        <v>45814</v>
      </c>
      <c r="C1061" s="22">
        <f>YEAR(Table1_1[[#This Row],[Order Date]])</f>
        <v>2025</v>
      </c>
      <c r="D1061" s="22" t="str">
        <f>TEXT(Table1_1[[#This Row],[Order Date]],"MMMM")</f>
        <v>June</v>
      </c>
      <c r="E1061" s="22" t="s">
        <v>48</v>
      </c>
      <c r="F1061" s="22" t="s">
        <v>49</v>
      </c>
      <c r="G1061" s="22" t="s">
        <v>105</v>
      </c>
      <c r="H1061" s="22" t="s">
        <v>29</v>
      </c>
      <c r="I1061" s="22" t="s">
        <v>54</v>
      </c>
      <c r="J1061" s="22" t="s">
        <v>55</v>
      </c>
      <c r="K1061" s="22" t="s">
        <v>1623</v>
      </c>
      <c r="L1061" s="22" t="s">
        <v>33</v>
      </c>
      <c r="M1061" s="22" t="s">
        <v>24</v>
      </c>
      <c r="N1061" s="22">
        <v>21</v>
      </c>
      <c r="O1061" s="26">
        <v>5890</v>
      </c>
      <c r="P1061" s="22">
        <v>0.12</v>
      </c>
      <c r="Q1061" s="30">
        <v>3980</v>
      </c>
      <c r="R1061" s="33">
        <f>Table1_1[[#This Row],[Units Sold]]*Table1_1[[#This Row],[Unit Price]]*1-Table1_1[[#This Row],[Discount]]</f>
        <v>123689.88</v>
      </c>
      <c r="S1061" s="33">
        <f>Table1_1[[#This Row],[Units Sold]]*Table1_1[[#This Row],[Unit Cost]]</f>
        <v>83580</v>
      </c>
      <c r="T1061" s="33">
        <f>Table1_1[[#This Row],[Sales Amount]]-S1061</f>
        <v>40109.880000000005</v>
      </c>
      <c r="U1061" s="32">
        <f>IFERROR(Table1_1[[#This Row],[Profit/loss]]/Table1_1[[#This Row],[Sales Amount]],0)</f>
        <v>0.32427778246692457</v>
      </c>
    </row>
    <row r="1062" spans="1:21" ht="18" x14ac:dyDescent="0.35">
      <c r="A1062" s="21" t="s">
        <v>1169</v>
      </c>
      <c r="B1062" s="36">
        <v>45816</v>
      </c>
      <c r="C1062" s="22">
        <f>YEAR(Table1_1[[#This Row],[Order Date]])</f>
        <v>2025</v>
      </c>
      <c r="D1062" s="22" t="str">
        <f>TEXT(Table1_1[[#This Row],[Order Date]],"MMMM")</f>
        <v>June</v>
      </c>
      <c r="E1062" s="22" t="s">
        <v>16</v>
      </c>
      <c r="F1062" s="22" t="s">
        <v>126</v>
      </c>
      <c r="G1062" s="22" t="s">
        <v>38</v>
      </c>
      <c r="H1062" s="22" t="s">
        <v>39</v>
      </c>
      <c r="I1062" s="22" t="s">
        <v>30</v>
      </c>
      <c r="J1062" s="22" t="s">
        <v>31</v>
      </c>
      <c r="K1062" s="22" t="s">
        <v>106</v>
      </c>
      <c r="L1062" s="22" t="s">
        <v>23</v>
      </c>
      <c r="M1062" s="22" t="s">
        <v>24</v>
      </c>
      <c r="N1062" s="22">
        <v>10</v>
      </c>
      <c r="O1062" s="26">
        <v>52990</v>
      </c>
      <c r="P1062" s="22">
        <v>0.12</v>
      </c>
      <c r="Q1062" s="30">
        <v>35100</v>
      </c>
      <c r="R1062" s="33">
        <f>Table1_1[[#This Row],[Units Sold]]*Table1_1[[#This Row],[Unit Price]]*1-Table1_1[[#This Row],[Discount]]</f>
        <v>529899.88</v>
      </c>
      <c r="S1062" s="33">
        <f>Table1_1[[#This Row],[Units Sold]]*Table1_1[[#This Row],[Unit Cost]]</f>
        <v>351000</v>
      </c>
      <c r="T1062" s="33">
        <f>Table1_1[[#This Row],[Sales Amount]]-S1062</f>
        <v>178899.88</v>
      </c>
      <c r="U1062" s="32">
        <f>IFERROR(Table1_1[[#This Row],[Profit/loss]]/Table1_1[[#This Row],[Sales Amount]],0)</f>
        <v>0.33761071997223324</v>
      </c>
    </row>
    <row r="1063" spans="1:21" ht="18" x14ac:dyDescent="0.35">
      <c r="A1063" s="21" t="s">
        <v>1170</v>
      </c>
      <c r="B1063" s="36">
        <v>45816</v>
      </c>
      <c r="C1063" s="22">
        <f>YEAR(Table1_1[[#This Row],[Order Date]])</f>
        <v>2025</v>
      </c>
      <c r="D1063" s="22" t="str">
        <f>TEXT(Table1_1[[#This Row],[Order Date]],"MMMM")</f>
        <v>June</v>
      </c>
      <c r="E1063" s="22" t="s">
        <v>36</v>
      </c>
      <c r="F1063" s="22" t="s">
        <v>59</v>
      </c>
      <c r="G1063" s="22" t="s">
        <v>101</v>
      </c>
      <c r="H1063" s="22" t="s">
        <v>19</v>
      </c>
      <c r="I1063" s="22" t="s">
        <v>70</v>
      </c>
      <c r="J1063" s="22" t="s">
        <v>71</v>
      </c>
      <c r="K1063" s="22" t="s">
        <v>72</v>
      </c>
      <c r="L1063" s="22" t="s">
        <v>57</v>
      </c>
      <c r="M1063" s="22" t="s">
        <v>66</v>
      </c>
      <c r="N1063" s="22">
        <v>36</v>
      </c>
      <c r="O1063" s="26">
        <v>3499</v>
      </c>
      <c r="P1063" s="22">
        <v>0.15</v>
      </c>
      <c r="Q1063" s="30">
        <v>2190</v>
      </c>
      <c r="R1063" s="33">
        <f>Table1_1[[#This Row],[Units Sold]]*Table1_1[[#This Row],[Unit Price]]*1-Table1_1[[#This Row],[Discount]]</f>
        <v>125963.85</v>
      </c>
      <c r="S1063" s="33">
        <f>Table1_1[[#This Row],[Units Sold]]*Table1_1[[#This Row],[Unit Cost]]</f>
        <v>78840</v>
      </c>
      <c r="T1063" s="33">
        <f>Table1_1[[#This Row],[Sales Amount]]-S1063</f>
        <v>47123.850000000006</v>
      </c>
      <c r="U1063" s="32">
        <f>IFERROR(Table1_1[[#This Row],[Profit/loss]]/Table1_1[[#This Row],[Sales Amount]],0)</f>
        <v>0.37410614235750972</v>
      </c>
    </row>
    <row r="1064" spans="1:21" ht="18" x14ac:dyDescent="0.35">
      <c r="A1064" s="21" t="s">
        <v>1171</v>
      </c>
      <c r="B1064" s="36">
        <v>45819</v>
      </c>
      <c r="C1064" s="22">
        <f>YEAR(Table1_1[[#This Row],[Order Date]])</f>
        <v>2025</v>
      </c>
      <c r="D1064" s="22" t="str">
        <f>TEXT(Table1_1[[#This Row],[Order Date]],"MMMM")</f>
        <v>June</v>
      </c>
      <c r="E1064" s="22" t="s">
        <v>36</v>
      </c>
      <c r="F1064" s="22" t="s">
        <v>59</v>
      </c>
      <c r="G1064" s="22" t="s">
        <v>75</v>
      </c>
      <c r="H1064" s="22" t="s">
        <v>19</v>
      </c>
      <c r="I1064" s="22" t="s">
        <v>54</v>
      </c>
      <c r="J1064" s="22" t="s">
        <v>55</v>
      </c>
      <c r="K1064" s="22" t="s">
        <v>1623</v>
      </c>
      <c r="L1064" s="22" t="s">
        <v>23</v>
      </c>
      <c r="M1064" s="22" t="s">
        <v>24</v>
      </c>
      <c r="N1064" s="22">
        <v>6</v>
      </c>
      <c r="O1064" s="26">
        <v>5890</v>
      </c>
      <c r="P1064" s="22">
        <v>0.1</v>
      </c>
      <c r="Q1064" s="30">
        <v>3980</v>
      </c>
      <c r="R1064" s="33">
        <f>Table1_1[[#This Row],[Units Sold]]*Table1_1[[#This Row],[Unit Price]]*1-Table1_1[[#This Row],[Discount]]</f>
        <v>35339.9</v>
      </c>
      <c r="S1064" s="33">
        <f>Table1_1[[#This Row],[Units Sold]]*Table1_1[[#This Row],[Unit Cost]]</f>
        <v>23880</v>
      </c>
      <c r="T1064" s="33">
        <f>Table1_1[[#This Row],[Sales Amount]]-S1064</f>
        <v>11459.900000000001</v>
      </c>
      <c r="U1064" s="32">
        <f>IFERROR(Table1_1[[#This Row],[Profit/loss]]/Table1_1[[#This Row],[Sales Amount]],0)</f>
        <v>0.32427652596640061</v>
      </c>
    </row>
    <row r="1065" spans="1:21" ht="18" x14ac:dyDescent="0.35">
      <c r="A1065" s="21" t="s">
        <v>1172</v>
      </c>
      <c r="B1065" s="36">
        <v>45819</v>
      </c>
      <c r="C1065" s="22">
        <f>YEAR(Table1_1[[#This Row],[Order Date]])</f>
        <v>2025</v>
      </c>
      <c r="D1065" s="22" t="str">
        <f>TEXT(Table1_1[[#This Row],[Order Date]],"MMMM")</f>
        <v>June</v>
      </c>
      <c r="E1065" s="22" t="s">
        <v>16</v>
      </c>
      <c r="F1065" s="22" t="s">
        <v>111</v>
      </c>
      <c r="G1065" s="22" t="s">
        <v>18</v>
      </c>
      <c r="H1065" s="22" t="s">
        <v>39</v>
      </c>
      <c r="I1065" s="22" t="s">
        <v>30</v>
      </c>
      <c r="J1065" s="22" t="s">
        <v>61</v>
      </c>
      <c r="K1065" s="22" t="s">
        <v>186</v>
      </c>
      <c r="L1065" s="22" t="s">
        <v>33</v>
      </c>
      <c r="M1065" s="22" t="s">
        <v>24</v>
      </c>
      <c r="N1065" s="22">
        <v>15</v>
      </c>
      <c r="O1065" s="26">
        <v>6999</v>
      </c>
      <c r="P1065" s="22">
        <v>0.12</v>
      </c>
      <c r="Q1065" s="30">
        <v>4320</v>
      </c>
      <c r="R1065" s="33">
        <f>Table1_1[[#This Row],[Units Sold]]*Table1_1[[#This Row],[Unit Price]]*1-Table1_1[[#This Row],[Discount]]</f>
        <v>104984.88</v>
      </c>
      <c r="S1065" s="33">
        <f>Table1_1[[#This Row],[Units Sold]]*Table1_1[[#This Row],[Unit Cost]]</f>
        <v>64800</v>
      </c>
      <c r="T1065" s="33">
        <f>Table1_1[[#This Row],[Sales Amount]]-S1065</f>
        <v>40184.880000000005</v>
      </c>
      <c r="U1065" s="32">
        <f>IFERROR(Table1_1[[#This Row],[Profit/loss]]/Table1_1[[#This Row],[Sales Amount]],0)</f>
        <v>0.38276826148679699</v>
      </c>
    </row>
    <row r="1066" spans="1:21" ht="18" x14ac:dyDescent="0.35">
      <c r="A1066" s="21" t="s">
        <v>1173</v>
      </c>
      <c r="B1066" s="36">
        <v>45820</v>
      </c>
      <c r="C1066" s="22">
        <f>YEAR(Table1_1[[#This Row],[Order Date]])</f>
        <v>2025</v>
      </c>
      <c r="D1066" s="22" t="str">
        <f>TEXT(Table1_1[[#This Row],[Order Date]],"MMMM")</f>
        <v>June</v>
      </c>
      <c r="E1066" s="22" t="s">
        <v>26</v>
      </c>
      <c r="F1066" s="22" t="s">
        <v>74</v>
      </c>
      <c r="G1066" s="22" t="s">
        <v>28</v>
      </c>
      <c r="H1066" s="22" t="s">
        <v>29</v>
      </c>
      <c r="I1066" s="22" t="s">
        <v>54</v>
      </c>
      <c r="J1066" s="22" t="s">
        <v>129</v>
      </c>
      <c r="K1066" s="22" t="s">
        <v>145</v>
      </c>
      <c r="L1066" s="22" t="s">
        <v>57</v>
      </c>
      <c r="M1066" s="22" t="s">
        <v>24</v>
      </c>
      <c r="N1066" s="22">
        <v>9</v>
      </c>
      <c r="O1066" s="26">
        <v>31490</v>
      </c>
      <c r="P1066" s="22">
        <v>0.2</v>
      </c>
      <c r="Q1066" s="30">
        <v>21300</v>
      </c>
      <c r="R1066" s="33">
        <f>Table1_1[[#This Row],[Units Sold]]*Table1_1[[#This Row],[Unit Price]]*1-Table1_1[[#This Row],[Discount]]</f>
        <v>283409.8</v>
      </c>
      <c r="S1066" s="33">
        <f>Table1_1[[#This Row],[Units Sold]]*Table1_1[[#This Row],[Unit Cost]]</f>
        <v>191700</v>
      </c>
      <c r="T1066" s="33">
        <f>Table1_1[[#This Row],[Sales Amount]]-S1066</f>
        <v>91709.799999999988</v>
      </c>
      <c r="U1066" s="32">
        <f>IFERROR(Table1_1[[#This Row],[Profit/loss]]/Table1_1[[#This Row],[Sales Amount]],0)</f>
        <v>0.32359431466378363</v>
      </c>
    </row>
    <row r="1067" spans="1:21" ht="18" x14ac:dyDescent="0.35">
      <c r="A1067" s="21" t="s">
        <v>1174</v>
      </c>
      <c r="B1067" s="36">
        <v>45821</v>
      </c>
      <c r="C1067" s="22">
        <f>YEAR(Table1_1[[#This Row],[Order Date]])</f>
        <v>2025</v>
      </c>
      <c r="D1067" s="22" t="str">
        <f>TEXT(Table1_1[[#This Row],[Order Date]],"MMMM")</f>
        <v>June</v>
      </c>
      <c r="E1067" s="22" t="s">
        <v>82</v>
      </c>
      <c r="F1067" s="22" t="s">
        <v>183</v>
      </c>
      <c r="G1067" s="22" t="s">
        <v>38</v>
      </c>
      <c r="H1067" s="22" t="s">
        <v>19</v>
      </c>
      <c r="I1067" s="22" t="s">
        <v>70</v>
      </c>
      <c r="J1067" s="22" t="s">
        <v>71</v>
      </c>
      <c r="K1067" s="22" t="s">
        <v>88</v>
      </c>
      <c r="L1067" s="22" t="s">
        <v>23</v>
      </c>
      <c r="M1067" s="22" t="s">
        <v>34</v>
      </c>
      <c r="N1067" s="22">
        <v>28</v>
      </c>
      <c r="O1067" s="26">
        <v>999</v>
      </c>
      <c r="P1067" s="22">
        <v>0.1</v>
      </c>
      <c r="Q1067" s="30">
        <v>540</v>
      </c>
      <c r="R1067" s="33">
        <f>Table1_1[[#This Row],[Units Sold]]*Table1_1[[#This Row],[Unit Price]]*1-Table1_1[[#This Row],[Discount]]</f>
        <v>27971.9</v>
      </c>
      <c r="S1067" s="33">
        <f>Table1_1[[#This Row],[Units Sold]]*Table1_1[[#This Row],[Unit Cost]]</f>
        <v>15120</v>
      </c>
      <c r="T1067" s="33">
        <f>Table1_1[[#This Row],[Sales Amount]]-S1067</f>
        <v>12851.900000000001</v>
      </c>
      <c r="U1067" s="32">
        <f>IFERROR(Table1_1[[#This Row],[Profit/loss]]/Table1_1[[#This Row],[Sales Amount]],0)</f>
        <v>0.45945752701818615</v>
      </c>
    </row>
    <row r="1068" spans="1:21" ht="18" x14ac:dyDescent="0.35">
      <c r="A1068" s="21" t="s">
        <v>1175</v>
      </c>
      <c r="B1068" s="36">
        <v>45821</v>
      </c>
      <c r="C1068" s="22">
        <f>YEAR(Table1_1[[#This Row],[Order Date]])</f>
        <v>2025</v>
      </c>
      <c r="D1068" s="22" t="str">
        <f>TEXT(Table1_1[[#This Row],[Order Date]],"MMMM")</f>
        <v>June</v>
      </c>
      <c r="E1068" s="22" t="s">
        <v>16</v>
      </c>
      <c r="F1068" s="22" t="s">
        <v>17</v>
      </c>
      <c r="G1068" s="22" t="s">
        <v>60</v>
      </c>
      <c r="H1068" s="22" t="s">
        <v>39</v>
      </c>
      <c r="I1068" s="22" t="s">
        <v>20</v>
      </c>
      <c r="J1068" s="22" t="s">
        <v>45</v>
      </c>
      <c r="K1068" s="22" t="s">
        <v>1622</v>
      </c>
      <c r="L1068" s="22" t="s">
        <v>33</v>
      </c>
      <c r="M1068" s="22" t="s">
        <v>34</v>
      </c>
      <c r="N1068" s="22">
        <v>39</v>
      </c>
      <c r="O1068" s="26">
        <v>1599</v>
      </c>
      <c r="P1068" s="22">
        <v>0.1</v>
      </c>
      <c r="Q1068" s="30">
        <v>920</v>
      </c>
      <c r="R1068" s="33">
        <f>Table1_1[[#This Row],[Units Sold]]*Table1_1[[#This Row],[Unit Price]]*1-Table1_1[[#This Row],[Discount]]</f>
        <v>62360.9</v>
      </c>
      <c r="S1068" s="33">
        <f>Table1_1[[#This Row],[Units Sold]]*Table1_1[[#This Row],[Unit Cost]]</f>
        <v>35880</v>
      </c>
      <c r="T1068" s="33">
        <f>Table1_1[[#This Row],[Sales Amount]]-S1068</f>
        <v>26480.9</v>
      </c>
      <c r="U1068" s="32">
        <f>IFERROR(Table1_1[[#This Row],[Profit/loss]]/Table1_1[[#This Row],[Sales Amount]],0)</f>
        <v>0.4246394776213942</v>
      </c>
    </row>
    <row r="1069" spans="1:21" ht="18" x14ac:dyDescent="0.35">
      <c r="A1069" s="21" t="s">
        <v>1176</v>
      </c>
      <c r="B1069" s="36">
        <v>45821</v>
      </c>
      <c r="C1069" s="22">
        <f>YEAR(Table1_1[[#This Row],[Order Date]])</f>
        <v>2025</v>
      </c>
      <c r="D1069" s="22" t="str">
        <f>TEXT(Table1_1[[#This Row],[Order Date]],"MMMM")</f>
        <v>June</v>
      </c>
      <c r="E1069" s="22" t="s">
        <v>48</v>
      </c>
      <c r="F1069" s="22" t="s">
        <v>93</v>
      </c>
      <c r="G1069" s="22" t="s">
        <v>60</v>
      </c>
      <c r="H1069" s="22" t="s">
        <v>19</v>
      </c>
      <c r="I1069" s="22" t="s">
        <v>30</v>
      </c>
      <c r="J1069" s="22" t="s">
        <v>61</v>
      </c>
      <c r="K1069" s="22" t="s">
        <v>62</v>
      </c>
      <c r="L1069" s="22" t="s">
        <v>57</v>
      </c>
      <c r="M1069" s="22" t="s">
        <v>78</v>
      </c>
      <c r="N1069" s="22">
        <v>2</v>
      </c>
      <c r="O1069" s="26">
        <v>12490</v>
      </c>
      <c r="P1069" s="22">
        <v>0.12</v>
      </c>
      <c r="Q1069" s="30">
        <v>7900</v>
      </c>
      <c r="R1069" s="33">
        <f>Table1_1[[#This Row],[Units Sold]]*Table1_1[[#This Row],[Unit Price]]*1-Table1_1[[#This Row],[Discount]]</f>
        <v>24979.88</v>
      </c>
      <c r="S1069" s="33">
        <f>Table1_1[[#This Row],[Units Sold]]*Table1_1[[#This Row],[Unit Cost]]</f>
        <v>15800</v>
      </c>
      <c r="T1069" s="33">
        <f>Table1_1[[#This Row],[Sales Amount]]-S1069</f>
        <v>9179.880000000001</v>
      </c>
      <c r="U1069" s="32">
        <f>IFERROR(Table1_1[[#This Row],[Profit/loss]]/Table1_1[[#This Row],[Sales Amount]],0)</f>
        <v>0.36749095672196985</v>
      </c>
    </row>
    <row r="1070" spans="1:21" ht="18" x14ac:dyDescent="0.35">
      <c r="A1070" s="21" t="s">
        <v>1177</v>
      </c>
      <c r="B1070" s="36">
        <v>45822</v>
      </c>
      <c r="C1070" s="22">
        <f>YEAR(Table1_1[[#This Row],[Order Date]])</f>
        <v>2025</v>
      </c>
      <c r="D1070" s="22" t="str">
        <f>TEXT(Table1_1[[#This Row],[Order Date]],"MMMM")</f>
        <v>June</v>
      </c>
      <c r="E1070" s="22" t="s">
        <v>26</v>
      </c>
      <c r="F1070" s="22" t="s">
        <v>74</v>
      </c>
      <c r="G1070" s="22" t="s">
        <v>84</v>
      </c>
      <c r="H1070" s="22" t="s">
        <v>39</v>
      </c>
      <c r="I1070" s="22" t="s">
        <v>70</v>
      </c>
      <c r="J1070" s="22" t="s">
        <v>71</v>
      </c>
      <c r="K1070" s="22" t="s">
        <v>88</v>
      </c>
      <c r="L1070" s="22" t="s">
        <v>57</v>
      </c>
      <c r="M1070" s="22" t="s">
        <v>66</v>
      </c>
      <c r="N1070" s="22">
        <v>32</v>
      </c>
      <c r="O1070" s="26">
        <v>999</v>
      </c>
      <c r="P1070" s="22">
        <v>0.1</v>
      </c>
      <c r="Q1070" s="30">
        <v>540</v>
      </c>
      <c r="R1070" s="33">
        <f>Table1_1[[#This Row],[Units Sold]]*Table1_1[[#This Row],[Unit Price]]*1-Table1_1[[#This Row],[Discount]]</f>
        <v>31967.9</v>
      </c>
      <c r="S1070" s="33">
        <f>Table1_1[[#This Row],[Units Sold]]*Table1_1[[#This Row],[Unit Cost]]</f>
        <v>17280</v>
      </c>
      <c r="T1070" s="33">
        <f>Table1_1[[#This Row],[Sales Amount]]-S1070</f>
        <v>14687.900000000001</v>
      </c>
      <c r="U1070" s="32">
        <f>IFERROR(Table1_1[[#This Row],[Profit/loss]]/Table1_1[[#This Row],[Sales Amount]],0)</f>
        <v>0.45945776857410092</v>
      </c>
    </row>
    <row r="1071" spans="1:21" ht="18" x14ac:dyDescent="0.35">
      <c r="A1071" s="21" t="s">
        <v>1178</v>
      </c>
      <c r="B1071" s="36">
        <v>45822</v>
      </c>
      <c r="C1071" s="22">
        <f>YEAR(Table1_1[[#This Row],[Order Date]])</f>
        <v>2025</v>
      </c>
      <c r="D1071" s="22" t="str">
        <f>TEXT(Table1_1[[#This Row],[Order Date]],"MMMM")</f>
        <v>June</v>
      </c>
      <c r="E1071" s="22" t="s">
        <v>26</v>
      </c>
      <c r="F1071" s="22" t="s">
        <v>53</v>
      </c>
      <c r="G1071" s="22" t="s">
        <v>75</v>
      </c>
      <c r="H1071" s="22" t="s">
        <v>19</v>
      </c>
      <c r="I1071" s="22" t="s">
        <v>30</v>
      </c>
      <c r="J1071" s="22" t="s">
        <v>31</v>
      </c>
      <c r="K1071" s="22" t="s">
        <v>32</v>
      </c>
      <c r="L1071" s="22" t="s">
        <v>23</v>
      </c>
      <c r="M1071" s="22" t="s">
        <v>24</v>
      </c>
      <c r="N1071" s="22">
        <v>10</v>
      </c>
      <c r="O1071" s="26">
        <v>38990</v>
      </c>
      <c r="P1071" s="22">
        <v>0.05</v>
      </c>
      <c r="Q1071" s="30">
        <v>25400</v>
      </c>
      <c r="R1071" s="33">
        <f>Table1_1[[#This Row],[Units Sold]]*Table1_1[[#This Row],[Unit Price]]*1-Table1_1[[#This Row],[Discount]]</f>
        <v>389899.95</v>
      </c>
      <c r="S1071" s="33">
        <f>Table1_1[[#This Row],[Units Sold]]*Table1_1[[#This Row],[Unit Cost]]</f>
        <v>254000</v>
      </c>
      <c r="T1071" s="33">
        <f>Table1_1[[#This Row],[Sales Amount]]-S1071</f>
        <v>135899.95000000001</v>
      </c>
      <c r="U1071" s="32">
        <f>IFERROR(Table1_1[[#This Row],[Profit/loss]]/Table1_1[[#This Row],[Sales Amount]],0)</f>
        <v>0.34855082694932382</v>
      </c>
    </row>
    <row r="1072" spans="1:21" ht="18" x14ac:dyDescent="0.35">
      <c r="A1072" s="21" t="s">
        <v>1179</v>
      </c>
      <c r="B1072" s="36">
        <v>45822</v>
      </c>
      <c r="C1072" s="22">
        <f>YEAR(Table1_1[[#This Row],[Order Date]])</f>
        <v>2025</v>
      </c>
      <c r="D1072" s="22" t="str">
        <f>TEXT(Table1_1[[#This Row],[Order Date]],"MMMM")</f>
        <v>June</v>
      </c>
      <c r="E1072" s="22" t="s">
        <v>26</v>
      </c>
      <c r="F1072" s="22" t="s">
        <v>53</v>
      </c>
      <c r="G1072" s="22" t="s">
        <v>101</v>
      </c>
      <c r="H1072" s="22" t="s">
        <v>29</v>
      </c>
      <c r="I1072" s="22" t="s">
        <v>20</v>
      </c>
      <c r="J1072" s="22" t="s">
        <v>45</v>
      </c>
      <c r="K1072" s="22" t="s">
        <v>1622</v>
      </c>
      <c r="L1072" s="22" t="s">
        <v>23</v>
      </c>
      <c r="M1072" s="22" t="s">
        <v>34</v>
      </c>
      <c r="N1072" s="22">
        <v>31</v>
      </c>
      <c r="O1072" s="26">
        <v>1599</v>
      </c>
      <c r="P1072" s="22">
        <v>0.12</v>
      </c>
      <c r="Q1072" s="30">
        <v>920</v>
      </c>
      <c r="R1072" s="33">
        <f>Table1_1[[#This Row],[Units Sold]]*Table1_1[[#This Row],[Unit Price]]*1-Table1_1[[#This Row],[Discount]]</f>
        <v>49568.88</v>
      </c>
      <c r="S1072" s="33">
        <f>Table1_1[[#This Row],[Units Sold]]*Table1_1[[#This Row],[Unit Cost]]</f>
        <v>28520</v>
      </c>
      <c r="T1072" s="33">
        <f>Table1_1[[#This Row],[Sales Amount]]-S1072</f>
        <v>21048.879999999997</v>
      </c>
      <c r="U1072" s="32">
        <f>IFERROR(Table1_1[[#This Row],[Profit/loss]]/Table1_1[[#This Row],[Sales Amount]],0)</f>
        <v>0.42463900737720922</v>
      </c>
    </row>
    <row r="1073" spans="1:21" ht="18" x14ac:dyDescent="0.35">
      <c r="A1073" s="21" t="s">
        <v>1180</v>
      </c>
      <c r="B1073" s="36">
        <v>45823</v>
      </c>
      <c r="C1073" s="22">
        <f>YEAR(Table1_1[[#This Row],[Order Date]])</f>
        <v>2025</v>
      </c>
      <c r="D1073" s="22" t="str">
        <f>TEXT(Table1_1[[#This Row],[Order Date]],"MMMM")</f>
        <v>June</v>
      </c>
      <c r="E1073" s="22" t="s">
        <v>48</v>
      </c>
      <c r="F1073" s="22" t="s">
        <v>68</v>
      </c>
      <c r="G1073" s="22" t="s">
        <v>38</v>
      </c>
      <c r="H1073" s="22" t="s">
        <v>19</v>
      </c>
      <c r="I1073" s="22" t="s">
        <v>40</v>
      </c>
      <c r="J1073" s="22" t="s">
        <v>76</v>
      </c>
      <c r="K1073" s="22" t="s">
        <v>1620</v>
      </c>
      <c r="L1073" s="22" t="s">
        <v>23</v>
      </c>
      <c r="M1073" s="22" t="s">
        <v>66</v>
      </c>
      <c r="N1073" s="22">
        <v>4</v>
      </c>
      <c r="O1073" s="26">
        <v>52990</v>
      </c>
      <c r="P1073" s="22">
        <v>0.2</v>
      </c>
      <c r="Q1073" s="30">
        <v>39500</v>
      </c>
      <c r="R1073" s="33">
        <f>Table1_1[[#This Row],[Units Sold]]*Table1_1[[#This Row],[Unit Price]]*1-Table1_1[[#This Row],[Discount]]</f>
        <v>211959.8</v>
      </c>
      <c r="S1073" s="33">
        <f>Table1_1[[#This Row],[Units Sold]]*Table1_1[[#This Row],[Unit Cost]]</f>
        <v>158000</v>
      </c>
      <c r="T1073" s="33">
        <f>Table1_1[[#This Row],[Sales Amount]]-S1073</f>
        <v>53959.799999999988</v>
      </c>
      <c r="U1073" s="32">
        <f>IFERROR(Table1_1[[#This Row],[Profit/loss]]/Table1_1[[#This Row],[Sales Amount]],0)</f>
        <v>0.25457563179433079</v>
      </c>
    </row>
    <row r="1074" spans="1:21" ht="18" x14ac:dyDescent="0.35">
      <c r="A1074" s="21" t="s">
        <v>1181</v>
      </c>
      <c r="B1074" s="36">
        <v>45823</v>
      </c>
      <c r="C1074" s="22">
        <f>YEAR(Table1_1[[#This Row],[Order Date]])</f>
        <v>2025</v>
      </c>
      <c r="D1074" s="22" t="str">
        <f>TEXT(Table1_1[[#This Row],[Order Date]],"MMMM")</f>
        <v>June</v>
      </c>
      <c r="E1074" s="22" t="s">
        <v>26</v>
      </c>
      <c r="F1074" s="22" t="s">
        <v>53</v>
      </c>
      <c r="G1074" s="22" t="s">
        <v>101</v>
      </c>
      <c r="H1074" s="22" t="s">
        <v>39</v>
      </c>
      <c r="I1074" s="22" t="s">
        <v>20</v>
      </c>
      <c r="J1074" s="22" t="s">
        <v>45</v>
      </c>
      <c r="K1074" s="22" t="s">
        <v>1622</v>
      </c>
      <c r="L1074" s="22" t="s">
        <v>57</v>
      </c>
      <c r="M1074" s="22" t="s">
        <v>24</v>
      </c>
      <c r="N1074" s="22">
        <v>11</v>
      </c>
      <c r="O1074" s="26">
        <v>1599</v>
      </c>
      <c r="P1074" s="22">
        <v>0.08</v>
      </c>
      <c r="Q1074" s="30">
        <v>920</v>
      </c>
      <c r="R1074" s="33">
        <f>Table1_1[[#This Row],[Units Sold]]*Table1_1[[#This Row],[Unit Price]]*1-Table1_1[[#This Row],[Discount]]</f>
        <v>17588.919999999998</v>
      </c>
      <c r="S1074" s="33">
        <f>Table1_1[[#This Row],[Units Sold]]*Table1_1[[#This Row],[Unit Cost]]</f>
        <v>10120</v>
      </c>
      <c r="T1074" s="33">
        <f>Table1_1[[#This Row],[Sales Amount]]-S1074</f>
        <v>7468.9199999999983</v>
      </c>
      <c r="U1074" s="32">
        <f>IFERROR(Table1_1[[#This Row],[Profit/loss]]/Table1_1[[#This Row],[Sales Amount]],0)</f>
        <v>0.42463778333177926</v>
      </c>
    </row>
    <row r="1075" spans="1:21" ht="18" x14ac:dyDescent="0.35">
      <c r="A1075" s="21" t="s">
        <v>1182</v>
      </c>
      <c r="B1075" s="36">
        <v>45823</v>
      </c>
      <c r="C1075" s="22">
        <f>YEAR(Table1_1[[#This Row],[Order Date]])</f>
        <v>2025</v>
      </c>
      <c r="D1075" s="22" t="str">
        <f>TEXT(Table1_1[[#This Row],[Order Date]],"MMMM")</f>
        <v>June</v>
      </c>
      <c r="E1075" s="22" t="s">
        <v>16</v>
      </c>
      <c r="F1075" s="22" t="s">
        <v>126</v>
      </c>
      <c r="G1075" s="22" t="s">
        <v>105</v>
      </c>
      <c r="H1075" s="22" t="s">
        <v>29</v>
      </c>
      <c r="I1075" s="22" t="s">
        <v>30</v>
      </c>
      <c r="J1075" s="22" t="s">
        <v>31</v>
      </c>
      <c r="K1075" s="22" t="s">
        <v>106</v>
      </c>
      <c r="L1075" s="22" t="s">
        <v>33</v>
      </c>
      <c r="M1075" s="22" t="s">
        <v>66</v>
      </c>
      <c r="N1075" s="22">
        <v>28</v>
      </c>
      <c r="O1075" s="26">
        <v>52990</v>
      </c>
      <c r="P1075" s="22">
        <v>0.18</v>
      </c>
      <c r="Q1075" s="30">
        <v>35100</v>
      </c>
      <c r="R1075" s="33">
        <f>Table1_1[[#This Row],[Units Sold]]*Table1_1[[#This Row],[Unit Price]]*1-Table1_1[[#This Row],[Discount]]</f>
        <v>1483719.82</v>
      </c>
      <c r="S1075" s="33">
        <f>Table1_1[[#This Row],[Units Sold]]*Table1_1[[#This Row],[Unit Cost]]</f>
        <v>982800</v>
      </c>
      <c r="T1075" s="33">
        <f>Table1_1[[#This Row],[Sales Amount]]-S1075</f>
        <v>500919.82000000007</v>
      </c>
      <c r="U1075" s="32">
        <f>IFERROR(Table1_1[[#This Row],[Profit/loss]]/Table1_1[[#This Row],[Sales Amount]],0)</f>
        <v>0.33761078961660029</v>
      </c>
    </row>
    <row r="1076" spans="1:21" ht="18" x14ac:dyDescent="0.35">
      <c r="A1076" s="21" t="s">
        <v>1183</v>
      </c>
      <c r="B1076" s="36">
        <v>45824</v>
      </c>
      <c r="C1076" s="22">
        <f>YEAR(Table1_1[[#This Row],[Order Date]])</f>
        <v>2025</v>
      </c>
      <c r="D1076" s="22" t="str">
        <f>TEXT(Table1_1[[#This Row],[Order Date]],"MMMM")</f>
        <v>June</v>
      </c>
      <c r="E1076" s="22" t="s">
        <v>16</v>
      </c>
      <c r="F1076" s="22" t="s">
        <v>111</v>
      </c>
      <c r="G1076" s="22" t="s">
        <v>75</v>
      </c>
      <c r="H1076" s="22" t="s">
        <v>39</v>
      </c>
      <c r="I1076" s="22" t="s">
        <v>30</v>
      </c>
      <c r="J1076" s="22" t="s">
        <v>61</v>
      </c>
      <c r="K1076" s="22" t="s">
        <v>186</v>
      </c>
      <c r="L1076" s="22" t="s">
        <v>57</v>
      </c>
      <c r="M1076" s="22" t="s">
        <v>34</v>
      </c>
      <c r="N1076" s="22">
        <v>2</v>
      </c>
      <c r="O1076" s="26">
        <v>6999</v>
      </c>
      <c r="P1076" s="22">
        <v>0.12</v>
      </c>
      <c r="Q1076" s="30">
        <v>4320</v>
      </c>
      <c r="R1076" s="33">
        <f>Table1_1[[#This Row],[Units Sold]]*Table1_1[[#This Row],[Unit Price]]*1-Table1_1[[#This Row],[Discount]]</f>
        <v>13997.88</v>
      </c>
      <c r="S1076" s="33">
        <f>Table1_1[[#This Row],[Units Sold]]*Table1_1[[#This Row],[Unit Cost]]</f>
        <v>8640</v>
      </c>
      <c r="T1076" s="33">
        <f>Table1_1[[#This Row],[Sales Amount]]-S1076</f>
        <v>5357.8799999999992</v>
      </c>
      <c r="U1076" s="32">
        <f>IFERROR(Table1_1[[#This Row],[Profit/loss]]/Table1_1[[#This Row],[Sales Amount]],0)</f>
        <v>0.38276367564231151</v>
      </c>
    </row>
    <row r="1077" spans="1:21" ht="18" x14ac:dyDescent="0.35">
      <c r="A1077" s="21" t="s">
        <v>1184</v>
      </c>
      <c r="B1077" s="36">
        <v>45824</v>
      </c>
      <c r="C1077" s="22">
        <f>YEAR(Table1_1[[#This Row],[Order Date]])</f>
        <v>2025</v>
      </c>
      <c r="D1077" s="22" t="str">
        <f>TEXT(Table1_1[[#This Row],[Order Date]],"MMMM")</f>
        <v>June</v>
      </c>
      <c r="E1077" s="22" t="s">
        <v>82</v>
      </c>
      <c r="F1077" s="22" t="s">
        <v>83</v>
      </c>
      <c r="G1077" s="22" t="s">
        <v>101</v>
      </c>
      <c r="H1077" s="22" t="s">
        <v>19</v>
      </c>
      <c r="I1077" s="22" t="s">
        <v>70</v>
      </c>
      <c r="J1077" s="22" t="s">
        <v>71</v>
      </c>
      <c r="K1077" s="22" t="s">
        <v>80</v>
      </c>
      <c r="L1077" s="22" t="s">
        <v>33</v>
      </c>
      <c r="M1077" s="22" t="s">
        <v>24</v>
      </c>
      <c r="N1077" s="22">
        <v>2</v>
      </c>
      <c r="O1077" s="26">
        <v>1299</v>
      </c>
      <c r="P1077" s="22">
        <v>0.18</v>
      </c>
      <c r="Q1077" s="30">
        <v>720</v>
      </c>
      <c r="R1077" s="33">
        <f>Table1_1[[#This Row],[Units Sold]]*Table1_1[[#This Row],[Unit Price]]*1-Table1_1[[#This Row],[Discount]]</f>
        <v>2597.8200000000002</v>
      </c>
      <c r="S1077" s="33">
        <f>Table1_1[[#This Row],[Units Sold]]*Table1_1[[#This Row],[Unit Cost]]</f>
        <v>1440</v>
      </c>
      <c r="T1077" s="33">
        <f>Table1_1[[#This Row],[Sales Amount]]-S1077</f>
        <v>1157.8200000000002</v>
      </c>
      <c r="U1077" s="32">
        <f>IFERROR(Table1_1[[#This Row],[Profit/loss]]/Table1_1[[#This Row],[Sales Amount]],0)</f>
        <v>0.44568907776520317</v>
      </c>
    </row>
    <row r="1078" spans="1:21" ht="18" x14ac:dyDescent="0.35">
      <c r="A1078" s="21" t="s">
        <v>1185</v>
      </c>
      <c r="B1078" s="36">
        <v>45825</v>
      </c>
      <c r="C1078" s="22">
        <f>YEAR(Table1_1[[#This Row],[Order Date]])</f>
        <v>2025</v>
      </c>
      <c r="D1078" s="22" t="str">
        <f>TEXT(Table1_1[[#This Row],[Order Date]],"MMMM")</f>
        <v>June</v>
      </c>
      <c r="E1078" s="22" t="s">
        <v>82</v>
      </c>
      <c r="F1078" s="22" t="s">
        <v>100</v>
      </c>
      <c r="G1078" s="22" t="s">
        <v>105</v>
      </c>
      <c r="H1078" s="22" t="s">
        <v>19</v>
      </c>
      <c r="I1078" s="22" t="s">
        <v>30</v>
      </c>
      <c r="J1078" s="22" t="s">
        <v>61</v>
      </c>
      <c r="K1078" s="22" t="s">
        <v>62</v>
      </c>
      <c r="L1078" s="22" t="s">
        <v>57</v>
      </c>
      <c r="M1078" s="22" t="s">
        <v>78</v>
      </c>
      <c r="N1078" s="22">
        <v>16</v>
      </c>
      <c r="O1078" s="26">
        <v>12490</v>
      </c>
      <c r="P1078" s="22">
        <v>0.05</v>
      </c>
      <c r="Q1078" s="30">
        <v>7900</v>
      </c>
      <c r="R1078" s="33">
        <f>Table1_1[[#This Row],[Units Sold]]*Table1_1[[#This Row],[Unit Price]]*1-Table1_1[[#This Row],[Discount]]</f>
        <v>199839.95</v>
      </c>
      <c r="S1078" s="33">
        <f>Table1_1[[#This Row],[Units Sold]]*Table1_1[[#This Row],[Unit Cost]]</f>
        <v>126400</v>
      </c>
      <c r="T1078" s="33">
        <f>Table1_1[[#This Row],[Sales Amount]]-S1078</f>
        <v>73439.950000000012</v>
      </c>
      <c r="U1078" s="32">
        <f>IFERROR(Table1_1[[#This Row],[Profit/loss]]/Table1_1[[#This Row],[Sales Amount]],0)</f>
        <v>0.36749383694301369</v>
      </c>
    </row>
    <row r="1079" spans="1:21" ht="18" x14ac:dyDescent="0.35">
      <c r="A1079" s="21" t="s">
        <v>1186</v>
      </c>
      <c r="B1079" s="36">
        <v>45825</v>
      </c>
      <c r="C1079" s="22">
        <f>YEAR(Table1_1[[#This Row],[Order Date]])</f>
        <v>2025</v>
      </c>
      <c r="D1079" s="22" t="str">
        <f>TEXT(Table1_1[[#This Row],[Order Date]],"MMMM")</f>
        <v>June</v>
      </c>
      <c r="E1079" s="22" t="s">
        <v>48</v>
      </c>
      <c r="F1079" s="22" t="s">
        <v>136</v>
      </c>
      <c r="G1079" s="22" t="s">
        <v>84</v>
      </c>
      <c r="H1079" s="22" t="s">
        <v>39</v>
      </c>
      <c r="I1079" s="22" t="s">
        <v>54</v>
      </c>
      <c r="J1079" s="22" t="s">
        <v>129</v>
      </c>
      <c r="K1079" s="22" t="s">
        <v>1630</v>
      </c>
      <c r="L1079" s="22" t="s">
        <v>33</v>
      </c>
      <c r="M1079" s="22" t="s">
        <v>34</v>
      </c>
      <c r="N1079" s="22">
        <v>33</v>
      </c>
      <c r="O1079" s="26">
        <v>29010</v>
      </c>
      <c r="P1079" s="22">
        <v>0.05</v>
      </c>
      <c r="Q1079" s="30">
        <v>19100</v>
      </c>
      <c r="R1079" s="33">
        <f>Table1_1[[#This Row],[Units Sold]]*Table1_1[[#This Row],[Unit Price]]*1-Table1_1[[#This Row],[Discount]]</f>
        <v>957329.95</v>
      </c>
      <c r="S1079" s="33">
        <f>Table1_1[[#This Row],[Units Sold]]*Table1_1[[#This Row],[Unit Cost]]</f>
        <v>630300</v>
      </c>
      <c r="T1079" s="33">
        <f>Table1_1[[#This Row],[Sales Amount]]-S1079</f>
        <v>327029.94999999995</v>
      </c>
      <c r="U1079" s="32">
        <f>IFERROR(Table1_1[[#This Row],[Profit/loss]]/Table1_1[[#This Row],[Sales Amount]],0)</f>
        <v>0.34160630825349186</v>
      </c>
    </row>
    <row r="1080" spans="1:21" ht="18" x14ac:dyDescent="0.35">
      <c r="A1080" s="21" t="s">
        <v>1187</v>
      </c>
      <c r="B1080" s="36">
        <v>45825</v>
      </c>
      <c r="C1080" s="22">
        <f>YEAR(Table1_1[[#This Row],[Order Date]])</f>
        <v>2025</v>
      </c>
      <c r="D1080" s="22" t="str">
        <f>TEXT(Table1_1[[#This Row],[Order Date]],"MMMM")</f>
        <v>June</v>
      </c>
      <c r="E1080" s="22" t="s">
        <v>36</v>
      </c>
      <c r="F1080" s="22" t="s">
        <v>37</v>
      </c>
      <c r="G1080" s="22" t="s">
        <v>38</v>
      </c>
      <c r="H1080" s="22" t="s">
        <v>29</v>
      </c>
      <c r="I1080" s="22" t="s">
        <v>70</v>
      </c>
      <c r="J1080" s="22" t="s">
        <v>71</v>
      </c>
      <c r="K1080" s="22" t="s">
        <v>80</v>
      </c>
      <c r="L1080" s="22" t="s">
        <v>57</v>
      </c>
      <c r="M1080" s="22" t="s">
        <v>24</v>
      </c>
      <c r="N1080" s="22">
        <v>14</v>
      </c>
      <c r="O1080" s="26">
        <v>1299</v>
      </c>
      <c r="P1080" s="22">
        <v>0.05</v>
      </c>
      <c r="Q1080" s="30">
        <v>720</v>
      </c>
      <c r="R1080" s="33">
        <f>Table1_1[[#This Row],[Units Sold]]*Table1_1[[#This Row],[Unit Price]]*1-Table1_1[[#This Row],[Discount]]</f>
        <v>18185.95</v>
      </c>
      <c r="S1080" s="33">
        <f>Table1_1[[#This Row],[Units Sold]]*Table1_1[[#This Row],[Unit Cost]]</f>
        <v>10080</v>
      </c>
      <c r="T1080" s="33">
        <f>Table1_1[[#This Row],[Sales Amount]]-S1080</f>
        <v>8105.9500000000007</v>
      </c>
      <c r="U1080" s="32">
        <f>IFERROR(Table1_1[[#This Row],[Profit/loss]]/Table1_1[[#This Row],[Sales Amount]],0)</f>
        <v>0.44572595877586818</v>
      </c>
    </row>
    <row r="1081" spans="1:21" ht="18" x14ac:dyDescent="0.35">
      <c r="A1081" s="21" t="s">
        <v>1188</v>
      </c>
      <c r="B1081" s="36">
        <v>45825</v>
      </c>
      <c r="C1081" s="22">
        <f>YEAR(Table1_1[[#This Row],[Order Date]])</f>
        <v>2025</v>
      </c>
      <c r="D1081" s="22" t="str">
        <f>TEXT(Table1_1[[#This Row],[Order Date]],"MMMM")</f>
        <v>June</v>
      </c>
      <c r="E1081" s="22" t="s">
        <v>26</v>
      </c>
      <c r="F1081" s="22" t="s">
        <v>74</v>
      </c>
      <c r="G1081" s="22" t="s">
        <v>28</v>
      </c>
      <c r="H1081" s="22" t="s">
        <v>39</v>
      </c>
      <c r="I1081" s="22" t="s">
        <v>54</v>
      </c>
      <c r="J1081" s="22" t="s">
        <v>55</v>
      </c>
      <c r="K1081" s="22" t="s">
        <v>56</v>
      </c>
      <c r="L1081" s="22" t="s">
        <v>33</v>
      </c>
      <c r="M1081" s="22" t="s">
        <v>24</v>
      </c>
      <c r="N1081" s="22">
        <v>9</v>
      </c>
      <c r="O1081" s="26">
        <v>7299</v>
      </c>
      <c r="P1081" s="22">
        <v>0.12</v>
      </c>
      <c r="Q1081" s="30">
        <v>5010</v>
      </c>
      <c r="R1081" s="33">
        <f>Table1_1[[#This Row],[Units Sold]]*Table1_1[[#This Row],[Unit Price]]*1-Table1_1[[#This Row],[Discount]]</f>
        <v>65690.880000000005</v>
      </c>
      <c r="S1081" s="33">
        <f>Table1_1[[#This Row],[Units Sold]]*Table1_1[[#This Row],[Unit Cost]]</f>
        <v>45090</v>
      </c>
      <c r="T1081" s="33">
        <f>Table1_1[[#This Row],[Sales Amount]]-S1081</f>
        <v>20600.880000000005</v>
      </c>
      <c r="U1081" s="32">
        <f>IFERROR(Table1_1[[#This Row],[Profit/loss]]/Table1_1[[#This Row],[Sales Amount]],0)</f>
        <v>0.31360334950605018</v>
      </c>
    </row>
    <row r="1082" spans="1:21" ht="18" x14ac:dyDescent="0.35">
      <c r="A1082" s="21" t="s">
        <v>1189</v>
      </c>
      <c r="B1082" s="36">
        <v>45825</v>
      </c>
      <c r="C1082" s="22">
        <f>YEAR(Table1_1[[#This Row],[Order Date]])</f>
        <v>2025</v>
      </c>
      <c r="D1082" s="22" t="str">
        <f>TEXT(Table1_1[[#This Row],[Order Date]],"MMMM")</f>
        <v>June</v>
      </c>
      <c r="E1082" s="22" t="s">
        <v>26</v>
      </c>
      <c r="F1082" s="22" t="s">
        <v>27</v>
      </c>
      <c r="G1082" s="22" t="s">
        <v>75</v>
      </c>
      <c r="H1082" s="22" t="s">
        <v>29</v>
      </c>
      <c r="I1082" s="22" t="s">
        <v>30</v>
      </c>
      <c r="J1082" s="22" t="s">
        <v>31</v>
      </c>
      <c r="K1082" s="22" t="s">
        <v>85</v>
      </c>
      <c r="L1082" s="22" t="s">
        <v>57</v>
      </c>
      <c r="M1082" s="22" t="s">
        <v>24</v>
      </c>
      <c r="N1082" s="22">
        <v>38</v>
      </c>
      <c r="O1082" s="26">
        <v>43500</v>
      </c>
      <c r="P1082" s="22">
        <v>0.18</v>
      </c>
      <c r="Q1082" s="30">
        <v>29520</v>
      </c>
      <c r="R1082" s="33">
        <f>Table1_1[[#This Row],[Units Sold]]*Table1_1[[#This Row],[Unit Price]]*1-Table1_1[[#This Row],[Discount]]</f>
        <v>1652999.82</v>
      </c>
      <c r="S1082" s="33">
        <f>Table1_1[[#This Row],[Units Sold]]*Table1_1[[#This Row],[Unit Cost]]</f>
        <v>1121760</v>
      </c>
      <c r="T1082" s="33">
        <f>Table1_1[[#This Row],[Sales Amount]]-S1082</f>
        <v>531239.82000000007</v>
      </c>
      <c r="U1082" s="32">
        <f>IFERROR(Table1_1[[#This Row],[Profit/loss]]/Table1_1[[#This Row],[Sales Amount]],0)</f>
        <v>0.32137923644782979</v>
      </c>
    </row>
    <row r="1083" spans="1:21" ht="18" x14ac:dyDescent="0.35">
      <c r="A1083" s="21" t="s">
        <v>1190</v>
      </c>
      <c r="B1083" s="36">
        <v>45825</v>
      </c>
      <c r="C1083" s="22">
        <f>YEAR(Table1_1[[#This Row],[Order Date]])</f>
        <v>2025</v>
      </c>
      <c r="D1083" s="22" t="str">
        <f>TEXT(Table1_1[[#This Row],[Order Date]],"MMMM")</f>
        <v>June</v>
      </c>
      <c r="E1083" s="22" t="s">
        <v>26</v>
      </c>
      <c r="F1083" s="22" t="s">
        <v>53</v>
      </c>
      <c r="G1083" s="22" t="s">
        <v>18</v>
      </c>
      <c r="H1083" s="22" t="s">
        <v>29</v>
      </c>
      <c r="I1083" s="22" t="s">
        <v>40</v>
      </c>
      <c r="J1083" s="22" t="s">
        <v>41</v>
      </c>
      <c r="K1083" s="22" t="s">
        <v>1628</v>
      </c>
      <c r="L1083" s="22" t="s">
        <v>57</v>
      </c>
      <c r="M1083" s="22" t="s">
        <v>24</v>
      </c>
      <c r="N1083" s="22">
        <v>12</v>
      </c>
      <c r="O1083" s="26">
        <v>48500</v>
      </c>
      <c r="P1083" s="22">
        <v>0.15</v>
      </c>
      <c r="Q1083" s="30">
        <v>30200</v>
      </c>
      <c r="R1083" s="33">
        <f>Table1_1[[#This Row],[Units Sold]]*Table1_1[[#This Row],[Unit Price]]*1-Table1_1[[#This Row],[Discount]]</f>
        <v>581999.85</v>
      </c>
      <c r="S1083" s="33">
        <f>Table1_1[[#This Row],[Units Sold]]*Table1_1[[#This Row],[Unit Cost]]</f>
        <v>362400</v>
      </c>
      <c r="T1083" s="33">
        <f>Table1_1[[#This Row],[Sales Amount]]-S1083</f>
        <v>219599.84999999998</v>
      </c>
      <c r="U1083" s="32">
        <f>IFERROR(Table1_1[[#This Row],[Profit/loss]]/Table1_1[[#This Row],[Sales Amount]],0)</f>
        <v>0.37731942714418221</v>
      </c>
    </row>
    <row r="1084" spans="1:21" ht="18" x14ac:dyDescent="0.35">
      <c r="A1084" s="21" t="s">
        <v>1191</v>
      </c>
      <c r="B1084" s="36">
        <v>45825</v>
      </c>
      <c r="C1084" s="22">
        <f>YEAR(Table1_1[[#This Row],[Order Date]])</f>
        <v>2025</v>
      </c>
      <c r="D1084" s="22" t="str">
        <f>TEXT(Table1_1[[#This Row],[Order Date]],"MMMM")</f>
        <v>June</v>
      </c>
      <c r="E1084" s="22" t="s">
        <v>82</v>
      </c>
      <c r="F1084" s="22" t="s">
        <v>183</v>
      </c>
      <c r="G1084" s="22" t="s">
        <v>101</v>
      </c>
      <c r="H1084" s="22" t="s">
        <v>29</v>
      </c>
      <c r="I1084" s="22" t="s">
        <v>54</v>
      </c>
      <c r="J1084" s="22" t="s">
        <v>55</v>
      </c>
      <c r="K1084" s="22" t="s">
        <v>56</v>
      </c>
      <c r="L1084" s="22" t="s">
        <v>33</v>
      </c>
      <c r="M1084" s="22" t="s">
        <v>34</v>
      </c>
      <c r="N1084" s="22">
        <v>25</v>
      </c>
      <c r="O1084" s="26">
        <v>7299</v>
      </c>
      <c r="P1084" s="22">
        <v>0.18</v>
      </c>
      <c r="Q1084" s="30">
        <v>5010</v>
      </c>
      <c r="R1084" s="33">
        <f>Table1_1[[#This Row],[Units Sold]]*Table1_1[[#This Row],[Unit Price]]*1-Table1_1[[#This Row],[Discount]]</f>
        <v>182474.82</v>
      </c>
      <c r="S1084" s="33">
        <f>Table1_1[[#This Row],[Units Sold]]*Table1_1[[#This Row],[Unit Cost]]</f>
        <v>125250</v>
      </c>
      <c r="T1084" s="33">
        <f>Table1_1[[#This Row],[Sales Amount]]-S1084</f>
        <v>57224.820000000007</v>
      </c>
      <c r="U1084" s="32">
        <f>IFERROR(Table1_1[[#This Row],[Profit/loss]]/Table1_1[[#This Row],[Sales Amount]],0)</f>
        <v>0.31360392628418543</v>
      </c>
    </row>
    <row r="1085" spans="1:21" ht="18" x14ac:dyDescent="0.35">
      <c r="A1085" s="21" t="s">
        <v>1192</v>
      </c>
      <c r="B1085" s="36">
        <v>45825</v>
      </c>
      <c r="C1085" s="22">
        <f>YEAR(Table1_1[[#This Row],[Order Date]])</f>
        <v>2025</v>
      </c>
      <c r="D1085" s="22" t="str">
        <f>TEXT(Table1_1[[#This Row],[Order Date]],"MMMM")</f>
        <v>June</v>
      </c>
      <c r="E1085" s="22" t="s">
        <v>48</v>
      </c>
      <c r="F1085" s="22" t="s">
        <v>68</v>
      </c>
      <c r="G1085" s="22" t="s">
        <v>101</v>
      </c>
      <c r="H1085" s="22" t="s">
        <v>19</v>
      </c>
      <c r="I1085" s="22" t="s">
        <v>30</v>
      </c>
      <c r="J1085" s="22" t="s">
        <v>31</v>
      </c>
      <c r="K1085" s="22" t="s">
        <v>106</v>
      </c>
      <c r="L1085" s="22" t="s">
        <v>57</v>
      </c>
      <c r="M1085" s="22" t="s">
        <v>24</v>
      </c>
      <c r="N1085" s="22">
        <v>35</v>
      </c>
      <c r="O1085" s="26">
        <v>52990</v>
      </c>
      <c r="P1085" s="22">
        <v>0.15</v>
      </c>
      <c r="Q1085" s="30">
        <v>35100</v>
      </c>
      <c r="R1085" s="33">
        <f>Table1_1[[#This Row],[Units Sold]]*Table1_1[[#This Row],[Unit Price]]*1-Table1_1[[#This Row],[Discount]]</f>
        <v>1854649.85</v>
      </c>
      <c r="S1085" s="33">
        <f>Table1_1[[#This Row],[Units Sold]]*Table1_1[[#This Row],[Unit Cost]]</f>
        <v>1228500</v>
      </c>
      <c r="T1085" s="33">
        <f>Table1_1[[#This Row],[Sales Amount]]-S1085</f>
        <v>626149.85000000009</v>
      </c>
      <c r="U1085" s="32">
        <f>IFERROR(Table1_1[[#This Row],[Profit/loss]]/Table1_1[[#This Row],[Sales Amount]],0)</f>
        <v>0.33761081640289137</v>
      </c>
    </row>
    <row r="1086" spans="1:21" ht="18" x14ac:dyDescent="0.35">
      <c r="A1086" s="21" t="s">
        <v>1193</v>
      </c>
      <c r="B1086" s="36">
        <v>45826</v>
      </c>
      <c r="C1086" s="22">
        <f>YEAR(Table1_1[[#This Row],[Order Date]])</f>
        <v>2025</v>
      </c>
      <c r="D1086" s="22" t="str">
        <f>TEXT(Table1_1[[#This Row],[Order Date]],"MMMM")</f>
        <v>June</v>
      </c>
      <c r="E1086" s="22" t="s">
        <v>26</v>
      </c>
      <c r="F1086" s="22" t="s">
        <v>74</v>
      </c>
      <c r="G1086" s="22" t="s">
        <v>50</v>
      </c>
      <c r="H1086" s="22" t="s">
        <v>39</v>
      </c>
      <c r="I1086" s="22" t="s">
        <v>40</v>
      </c>
      <c r="J1086" s="22" t="s">
        <v>76</v>
      </c>
      <c r="K1086" s="22" t="s">
        <v>1620</v>
      </c>
      <c r="L1086" s="22" t="s">
        <v>23</v>
      </c>
      <c r="M1086" s="22" t="s">
        <v>24</v>
      </c>
      <c r="N1086" s="22">
        <v>30</v>
      </c>
      <c r="O1086" s="26">
        <v>52990</v>
      </c>
      <c r="P1086" s="22">
        <v>0.15</v>
      </c>
      <c r="Q1086" s="30">
        <v>39500</v>
      </c>
      <c r="R1086" s="33">
        <f>Table1_1[[#This Row],[Units Sold]]*Table1_1[[#This Row],[Unit Price]]*1-Table1_1[[#This Row],[Discount]]</f>
        <v>1589699.85</v>
      </c>
      <c r="S1086" s="33">
        <f>Table1_1[[#This Row],[Units Sold]]*Table1_1[[#This Row],[Unit Cost]]</f>
        <v>1185000</v>
      </c>
      <c r="T1086" s="33">
        <f>Table1_1[[#This Row],[Sales Amount]]-S1086</f>
        <v>404699.85000000009</v>
      </c>
      <c r="U1086" s="32">
        <f>IFERROR(Table1_1[[#This Row],[Profit/loss]]/Table1_1[[#This Row],[Sales Amount]],0)</f>
        <v>0.25457626482131207</v>
      </c>
    </row>
    <row r="1087" spans="1:21" ht="18" x14ac:dyDescent="0.35">
      <c r="A1087" s="21" t="s">
        <v>1194</v>
      </c>
      <c r="B1087" s="36">
        <v>45826</v>
      </c>
      <c r="C1087" s="22">
        <f>YEAR(Table1_1[[#This Row],[Order Date]])</f>
        <v>2025</v>
      </c>
      <c r="D1087" s="22" t="str">
        <f>TEXT(Table1_1[[#This Row],[Order Date]],"MMMM")</f>
        <v>June</v>
      </c>
      <c r="E1087" s="22" t="s">
        <v>36</v>
      </c>
      <c r="F1087" s="22" t="s">
        <v>44</v>
      </c>
      <c r="G1087" s="22" t="s">
        <v>69</v>
      </c>
      <c r="H1087" s="22" t="s">
        <v>29</v>
      </c>
      <c r="I1087" s="22" t="s">
        <v>20</v>
      </c>
      <c r="J1087" s="22" t="s">
        <v>21</v>
      </c>
      <c r="K1087" s="22" t="s">
        <v>22</v>
      </c>
      <c r="L1087" s="22" t="s">
        <v>57</v>
      </c>
      <c r="M1087" s="22" t="s">
        <v>24</v>
      </c>
      <c r="N1087" s="22">
        <v>31</v>
      </c>
      <c r="O1087" s="26">
        <v>4499</v>
      </c>
      <c r="P1087" s="22">
        <v>0.05</v>
      </c>
      <c r="Q1087" s="30">
        <v>2910</v>
      </c>
      <c r="R1087" s="33">
        <f>Table1_1[[#This Row],[Units Sold]]*Table1_1[[#This Row],[Unit Price]]*1-Table1_1[[#This Row],[Discount]]</f>
        <v>139468.95000000001</v>
      </c>
      <c r="S1087" s="33">
        <f>Table1_1[[#This Row],[Units Sold]]*Table1_1[[#This Row],[Unit Cost]]</f>
        <v>90210</v>
      </c>
      <c r="T1087" s="33">
        <f>Table1_1[[#This Row],[Sales Amount]]-S1087</f>
        <v>49258.950000000012</v>
      </c>
      <c r="U1087" s="32">
        <f>IFERROR(Table1_1[[#This Row],[Profit/loss]]/Table1_1[[#This Row],[Sales Amount]],0)</f>
        <v>0.35318936580507709</v>
      </c>
    </row>
    <row r="1088" spans="1:21" ht="18" x14ac:dyDescent="0.35">
      <c r="A1088" s="21" t="s">
        <v>1195</v>
      </c>
      <c r="B1088" s="36">
        <v>45826</v>
      </c>
      <c r="C1088" s="22">
        <f>YEAR(Table1_1[[#This Row],[Order Date]])</f>
        <v>2025</v>
      </c>
      <c r="D1088" s="22" t="str">
        <f>TEXT(Table1_1[[#This Row],[Order Date]],"MMMM")</f>
        <v>June</v>
      </c>
      <c r="E1088" s="22" t="s">
        <v>36</v>
      </c>
      <c r="F1088" s="22" t="s">
        <v>121</v>
      </c>
      <c r="G1088" s="22" t="s">
        <v>84</v>
      </c>
      <c r="H1088" s="22" t="s">
        <v>19</v>
      </c>
      <c r="I1088" s="22" t="s">
        <v>40</v>
      </c>
      <c r="J1088" s="22" t="s">
        <v>64</v>
      </c>
      <c r="K1088" s="22" t="s">
        <v>1619</v>
      </c>
      <c r="L1088" s="22" t="s">
        <v>23</v>
      </c>
      <c r="M1088" s="22" t="s">
        <v>78</v>
      </c>
      <c r="N1088" s="22">
        <v>27</v>
      </c>
      <c r="O1088" s="26">
        <v>1930</v>
      </c>
      <c r="P1088" s="22">
        <v>0.05</v>
      </c>
      <c r="Q1088" s="30">
        <v>1120</v>
      </c>
      <c r="R1088" s="33">
        <f>Table1_1[[#This Row],[Units Sold]]*Table1_1[[#This Row],[Unit Price]]*1-Table1_1[[#This Row],[Discount]]</f>
        <v>52109.95</v>
      </c>
      <c r="S1088" s="33">
        <f>Table1_1[[#This Row],[Units Sold]]*Table1_1[[#This Row],[Unit Cost]]</f>
        <v>30240</v>
      </c>
      <c r="T1088" s="33">
        <f>Table1_1[[#This Row],[Sales Amount]]-S1088</f>
        <v>21869.949999999997</v>
      </c>
      <c r="U1088" s="32">
        <f>IFERROR(Table1_1[[#This Row],[Profit/loss]]/Table1_1[[#This Row],[Sales Amount]],0)</f>
        <v>0.41968856235709301</v>
      </c>
    </row>
    <row r="1089" spans="1:21" ht="18" x14ac:dyDescent="0.35">
      <c r="A1089" s="21" t="s">
        <v>1196</v>
      </c>
      <c r="B1089" s="36">
        <v>45826</v>
      </c>
      <c r="C1089" s="22">
        <f>YEAR(Table1_1[[#This Row],[Order Date]])</f>
        <v>2025</v>
      </c>
      <c r="D1089" s="22" t="str">
        <f>TEXT(Table1_1[[#This Row],[Order Date]],"MMMM")</f>
        <v>June</v>
      </c>
      <c r="E1089" s="22" t="s">
        <v>82</v>
      </c>
      <c r="F1089" s="22" t="s">
        <v>83</v>
      </c>
      <c r="G1089" s="22" t="s">
        <v>105</v>
      </c>
      <c r="H1089" s="22" t="s">
        <v>29</v>
      </c>
      <c r="I1089" s="22" t="s">
        <v>30</v>
      </c>
      <c r="J1089" s="22" t="s">
        <v>61</v>
      </c>
      <c r="K1089" s="22" t="s">
        <v>96</v>
      </c>
      <c r="L1089" s="22" t="s">
        <v>57</v>
      </c>
      <c r="M1089" s="22" t="s">
        <v>66</v>
      </c>
      <c r="N1089" s="22">
        <v>1</v>
      </c>
      <c r="O1089" s="26">
        <v>25110</v>
      </c>
      <c r="P1089" s="22">
        <v>0.18</v>
      </c>
      <c r="Q1089" s="30">
        <v>16730</v>
      </c>
      <c r="R1089" s="33">
        <f>Table1_1[[#This Row],[Units Sold]]*Table1_1[[#This Row],[Unit Price]]*1-Table1_1[[#This Row],[Discount]]</f>
        <v>25109.82</v>
      </c>
      <c r="S1089" s="33">
        <f>Table1_1[[#This Row],[Units Sold]]*Table1_1[[#This Row],[Unit Cost]]</f>
        <v>16730</v>
      </c>
      <c r="T1089" s="33">
        <f>Table1_1[[#This Row],[Sales Amount]]-S1089</f>
        <v>8379.82</v>
      </c>
      <c r="U1089" s="32">
        <f>IFERROR(Table1_1[[#This Row],[Profit/loss]]/Table1_1[[#This Row],[Sales Amount]],0)</f>
        <v>0.33372680489147272</v>
      </c>
    </row>
    <row r="1090" spans="1:21" ht="18" x14ac:dyDescent="0.35">
      <c r="A1090" s="21" t="s">
        <v>1197</v>
      </c>
      <c r="B1090" s="36">
        <v>45827</v>
      </c>
      <c r="C1090" s="22">
        <f>YEAR(Table1_1[[#This Row],[Order Date]])</f>
        <v>2025</v>
      </c>
      <c r="D1090" s="22" t="str">
        <f>TEXT(Table1_1[[#This Row],[Order Date]],"MMMM")</f>
        <v>June</v>
      </c>
      <c r="E1090" s="22" t="s">
        <v>16</v>
      </c>
      <c r="F1090" s="22" t="s">
        <v>111</v>
      </c>
      <c r="G1090" s="22" t="s">
        <v>105</v>
      </c>
      <c r="H1090" s="22" t="s">
        <v>29</v>
      </c>
      <c r="I1090" s="22" t="s">
        <v>30</v>
      </c>
      <c r="J1090" s="22" t="s">
        <v>31</v>
      </c>
      <c r="K1090" s="22" t="s">
        <v>32</v>
      </c>
      <c r="L1090" s="22" t="s">
        <v>23</v>
      </c>
      <c r="M1090" s="22" t="s">
        <v>24</v>
      </c>
      <c r="N1090" s="22">
        <v>23</v>
      </c>
      <c r="O1090" s="26">
        <v>38990</v>
      </c>
      <c r="P1090" s="22">
        <v>0.2</v>
      </c>
      <c r="Q1090" s="30">
        <v>25400</v>
      </c>
      <c r="R1090" s="33">
        <f>Table1_1[[#This Row],[Units Sold]]*Table1_1[[#This Row],[Unit Price]]*1-Table1_1[[#This Row],[Discount]]</f>
        <v>896769.8</v>
      </c>
      <c r="S1090" s="33">
        <f>Table1_1[[#This Row],[Units Sold]]*Table1_1[[#This Row],[Unit Cost]]</f>
        <v>584200</v>
      </c>
      <c r="T1090" s="33">
        <f>Table1_1[[#This Row],[Sales Amount]]-S1090</f>
        <v>312569.80000000005</v>
      </c>
      <c r="U1090" s="32">
        <f>IFERROR(Table1_1[[#This Row],[Profit/loss]]/Table1_1[[#This Row],[Sales Amount]],0)</f>
        <v>0.34855076520195039</v>
      </c>
    </row>
    <row r="1091" spans="1:21" ht="18" x14ac:dyDescent="0.35">
      <c r="A1091" s="21" t="s">
        <v>1198</v>
      </c>
      <c r="B1091" s="36">
        <v>45827</v>
      </c>
      <c r="C1091" s="22">
        <f>YEAR(Table1_1[[#This Row],[Order Date]])</f>
        <v>2025</v>
      </c>
      <c r="D1091" s="22" t="str">
        <f>TEXT(Table1_1[[#This Row],[Order Date]],"MMMM")</f>
        <v>June</v>
      </c>
      <c r="E1091" s="22" t="s">
        <v>36</v>
      </c>
      <c r="F1091" s="22" t="s">
        <v>121</v>
      </c>
      <c r="G1091" s="22" t="s">
        <v>84</v>
      </c>
      <c r="H1091" s="22" t="s">
        <v>39</v>
      </c>
      <c r="I1091" s="22" t="s">
        <v>20</v>
      </c>
      <c r="J1091" s="22" t="s">
        <v>45</v>
      </c>
      <c r="K1091" s="22" t="s">
        <v>1622</v>
      </c>
      <c r="L1091" s="22" t="s">
        <v>57</v>
      </c>
      <c r="M1091" s="22" t="s">
        <v>66</v>
      </c>
      <c r="N1091" s="22">
        <v>10</v>
      </c>
      <c r="O1091" s="26">
        <v>1599</v>
      </c>
      <c r="P1091" s="22">
        <v>0.18</v>
      </c>
      <c r="Q1091" s="30">
        <v>920</v>
      </c>
      <c r="R1091" s="33">
        <f>Table1_1[[#This Row],[Units Sold]]*Table1_1[[#This Row],[Unit Price]]*1-Table1_1[[#This Row],[Discount]]</f>
        <v>15989.82</v>
      </c>
      <c r="S1091" s="33">
        <f>Table1_1[[#This Row],[Units Sold]]*Table1_1[[#This Row],[Unit Cost]]</f>
        <v>9200</v>
      </c>
      <c r="T1091" s="33">
        <f>Table1_1[[#This Row],[Sales Amount]]-S1091</f>
        <v>6789.82</v>
      </c>
      <c r="U1091" s="32">
        <f>IFERROR(Table1_1[[#This Row],[Profit/loss]]/Table1_1[[#This Row],[Sales Amount]],0)</f>
        <v>0.42463392333372108</v>
      </c>
    </row>
    <row r="1092" spans="1:21" ht="18" x14ac:dyDescent="0.35">
      <c r="A1092" s="21" t="s">
        <v>1199</v>
      </c>
      <c r="B1092" s="36">
        <v>45827</v>
      </c>
      <c r="C1092" s="22">
        <f>YEAR(Table1_1[[#This Row],[Order Date]])</f>
        <v>2025</v>
      </c>
      <c r="D1092" s="22" t="str">
        <f>TEXT(Table1_1[[#This Row],[Order Date]],"MMMM")</f>
        <v>June</v>
      </c>
      <c r="E1092" s="22" t="s">
        <v>36</v>
      </c>
      <c r="F1092" s="22" t="s">
        <v>37</v>
      </c>
      <c r="G1092" s="22" t="s">
        <v>75</v>
      </c>
      <c r="H1092" s="22" t="s">
        <v>19</v>
      </c>
      <c r="I1092" s="22" t="s">
        <v>54</v>
      </c>
      <c r="J1092" s="22" t="s">
        <v>129</v>
      </c>
      <c r="K1092" s="22" t="s">
        <v>1630</v>
      </c>
      <c r="L1092" s="22" t="s">
        <v>57</v>
      </c>
      <c r="M1092" s="22" t="s">
        <v>24</v>
      </c>
      <c r="N1092" s="22">
        <v>16</v>
      </c>
      <c r="O1092" s="26">
        <v>29010</v>
      </c>
      <c r="P1092" s="22">
        <v>0.18</v>
      </c>
      <c r="Q1092" s="30">
        <v>19100</v>
      </c>
      <c r="R1092" s="33">
        <f>Table1_1[[#This Row],[Units Sold]]*Table1_1[[#This Row],[Unit Price]]*1-Table1_1[[#This Row],[Discount]]</f>
        <v>464159.82</v>
      </c>
      <c r="S1092" s="33">
        <f>Table1_1[[#This Row],[Units Sold]]*Table1_1[[#This Row],[Unit Cost]]</f>
        <v>305600</v>
      </c>
      <c r="T1092" s="33">
        <f>Table1_1[[#This Row],[Sales Amount]]-S1092</f>
        <v>158559.82</v>
      </c>
      <c r="U1092" s="32">
        <f>IFERROR(Table1_1[[#This Row],[Profit/loss]]/Table1_1[[#This Row],[Sales Amount]],0)</f>
        <v>0.3416060873170797</v>
      </c>
    </row>
    <row r="1093" spans="1:21" ht="18" x14ac:dyDescent="0.35">
      <c r="A1093" s="21" t="s">
        <v>1200</v>
      </c>
      <c r="B1093" s="36">
        <v>45828</v>
      </c>
      <c r="C1093" s="22">
        <f>YEAR(Table1_1[[#This Row],[Order Date]])</f>
        <v>2025</v>
      </c>
      <c r="D1093" s="22" t="str">
        <f>TEXT(Table1_1[[#This Row],[Order Date]],"MMMM")</f>
        <v>June</v>
      </c>
      <c r="E1093" s="22" t="s">
        <v>26</v>
      </c>
      <c r="F1093" s="22" t="s">
        <v>27</v>
      </c>
      <c r="G1093" s="22" t="s">
        <v>28</v>
      </c>
      <c r="H1093" s="22" t="s">
        <v>29</v>
      </c>
      <c r="I1093" s="22" t="s">
        <v>40</v>
      </c>
      <c r="J1093" s="22" t="s">
        <v>41</v>
      </c>
      <c r="K1093" s="22" t="s">
        <v>1628</v>
      </c>
      <c r="L1093" s="22" t="s">
        <v>57</v>
      </c>
      <c r="M1093" s="22" t="s">
        <v>24</v>
      </c>
      <c r="N1093" s="22">
        <v>5</v>
      </c>
      <c r="O1093" s="26">
        <v>48500</v>
      </c>
      <c r="P1093" s="22">
        <v>0.15</v>
      </c>
      <c r="Q1093" s="30">
        <v>30200</v>
      </c>
      <c r="R1093" s="33">
        <f>Table1_1[[#This Row],[Units Sold]]*Table1_1[[#This Row],[Unit Price]]*1-Table1_1[[#This Row],[Discount]]</f>
        <v>242499.85</v>
      </c>
      <c r="S1093" s="33">
        <f>Table1_1[[#This Row],[Units Sold]]*Table1_1[[#This Row],[Unit Cost]]</f>
        <v>151000</v>
      </c>
      <c r="T1093" s="33">
        <f>Table1_1[[#This Row],[Sales Amount]]-S1093</f>
        <v>91499.85</v>
      </c>
      <c r="U1093" s="32">
        <f>IFERROR(Table1_1[[#This Row],[Profit/loss]]/Table1_1[[#This Row],[Sales Amount]],0)</f>
        <v>0.37731920246548606</v>
      </c>
    </row>
    <row r="1094" spans="1:21" ht="18" x14ac:dyDescent="0.35">
      <c r="A1094" s="21" t="s">
        <v>1201</v>
      </c>
      <c r="B1094" s="36">
        <v>45828</v>
      </c>
      <c r="C1094" s="22">
        <f>YEAR(Table1_1[[#This Row],[Order Date]])</f>
        <v>2025</v>
      </c>
      <c r="D1094" s="22" t="str">
        <f>TEXT(Table1_1[[#This Row],[Order Date]],"MMMM")</f>
        <v>June</v>
      </c>
      <c r="E1094" s="22" t="s">
        <v>16</v>
      </c>
      <c r="F1094" s="22" t="s">
        <v>98</v>
      </c>
      <c r="G1094" s="22" t="s">
        <v>50</v>
      </c>
      <c r="H1094" s="22" t="s">
        <v>19</v>
      </c>
      <c r="I1094" s="22" t="s">
        <v>40</v>
      </c>
      <c r="J1094" s="22" t="s">
        <v>64</v>
      </c>
      <c r="K1094" s="22" t="s">
        <v>1629</v>
      </c>
      <c r="L1094" s="22" t="s">
        <v>23</v>
      </c>
      <c r="M1094" s="22" t="s">
        <v>34</v>
      </c>
      <c r="N1094" s="22">
        <v>19</v>
      </c>
      <c r="O1094" s="26">
        <v>3299</v>
      </c>
      <c r="P1094" s="22">
        <v>0.15</v>
      </c>
      <c r="Q1094" s="30">
        <v>2050</v>
      </c>
      <c r="R1094" s="33">
        <f>Table1_1[[#This Row],[Units Sold]]*Table1_1[[#This Row],[Unit Price]]*1-Table1_1[[#This Row],[Discount]]</f>
        <v>62680.85</v>
      </c>
      <c r="S1094" s="33">
        <f>Table1_1[[#This Row],[Units Sold]]*Table1_1[[#This Row],[Unit Cost]]</f>
        <v>38950</v>
      </c>
      <c r="T1094" s="33">
        <f>Table1_1[[#This Row],[Sales Amount]]-S1094</f>
        <v>23730.85</v>
      </c>
      <c r="U1094" s="32">
        <f>IFERROR(Table1_1[[#This Row],[Profit/loss]]/Table1_1[[#This Row],[Sales Amount]],0)</f>
        <v>0.37859808857091121</v>
      </c>
    </row>
    <row r="1095" spans="1:21" ht="18" x14ac:dyDescent="0.35">
      <c r="A1095" s="21" t="s">
        <v>1202</v>
      </c>
      <c r="B1095" s="36">
        <v>45829</v>
      </c>
      <c r="C1095" s="22">
        <f>YEAR(Table1_1[[#This Row],[Order Date]])</f>
        <v>2025</v>
      </c>
      <c r="D1095" s="22" t="str">
        <f>TEXT(Table1_1[[#This Row],[Order Date]],"MMMM")</f>
        <v>June</v>
      </c>
      <c r="E1095" s="22" t="s">
        <v>48</v>
      </c>
      <c r="F1095" s="22" t="s">
        <v>93</v>
      </c>
      <c r="G1095" s="22" t="s">
        <v>28</v>
      </c>
      <c r="H1095" s="22" t="s">
        <v>19</v>
      </c>
      <c r="I1095" s="22" t="s">
        <v>20</v>
      </c>
      <c r="J1095" s="22" t="s">
        <v>45</v>
      </c>
      <c r="K1095" s="22" t="s">
        <v>1622</v>
      </c>
      <c r="L1095" s="22" t="s">
        <v>23</v>
      </c>
      <c r="M1095" s="22" t="s">
        <v>34</v>
      </c>
      <c r="N1095" s="22">
        <v>34</v>
      </c>
      <c r="O1095" s="26">
        <v>1599</v>
      </c>
      <c r="P1095" s="22">
        <v>0.2</v>
      </c>
      <c r="Q1095" s="30">
        <v>920</v>
      </c>
      <c r="R1095" s="33">
        <f>Table1_1[[#This Row],[Units Sold]]*Table1_1[[#This Row],[Unit Price]]*1-Table1_1[[#This Row],[Discount]]</f>
        <v>54365.8</v>
      </c>
      <c r="S1095" s="33">
        <f>Table1_1[[#This Row],[Units Sold]]*Table1_1[[#This Row],[Unit Cost]]</f>
        <v>31280</v>
      </c>
      <c r="T1095" s="33">
        <f>Table1_1[[#This Row],[Sales Amount]]-S1095</f>
        <v>23085.800000000003</v>
      </c>
      <c r="U1095" s="32">
        <f>IFERROR(Table1_1[[#This Row],[Profit/loss]]/Table1_1[[#This Row],[Sales Amount]],0)</f>
        <v>0.42463828362683897</v>
      </c>
    </row>
    <row r="1096" spans="1:21" ht="18" x14ac:dyDescent="0.35">
      <c r="A1096" s="21" t="s">
        <v>1203</v>
      </c>
      <c r="B1096" s="36">
        <v>45829</v>
      </c>
      <c r="C1096" s="22">
        <f>YEAR(Table1_1[[#This Row],[Order Date]])</f>
        <v>2025</v>
      </c>
      <c r="D1096" s="22" t="str">
        <f>TEXT(Table1_1[[#This Row],[Order Date]],"MMMM")</f>
        <v>June</v>
      </c>
      <c r="E1096" s="22" t="s">
        <v>82</v>
      </c>
      <c r="F1096" s="22" t="s">
        <v>183</v>
      </c>
      <c r="G1096" s="22" t="s">
        <v>69</v>
      </c>
      <c r="H1096" s="22" t="s">
        <v>29</v>
      </c>
      <c r="I1096" s="22" t="s">
        <v>40</v>
      </c>
      <c r="J1096" s="22" t="s">
        <v>41</v>
      </c>
      <c r="K1096" s="22" t="s">
        <v>1628</v>
      </c>
      <c r="L1096" s="22" t="s">
        <v>57</v>
      </c>
      <c r="M1096" s="22" t="s">
        <v>78</v>
      </c>
      <c r="N1096" s="22">
        <v>39</v>
      </c>
      <c r="O1096" s="26">
        <v>48500</v>
      </c>
      <c r="P1096" s="22">
        <v>0.1</v>
      </c>
      <c r="Q1096" s="30">
        <v>30200</v>
      </c>
      <c r="R1096" s="33">
        <f>Table1_1[[#This Row],[Units Sold]]*Table1_1[[#This Row],[Unit Price]]*1-Table1_1[[#This Row],[Discount]]</f>
        <v>1891499.9</v>
      </c>
      <c r="S1096" s="33">
        <f>Table1_1[[#This Row],[Units Sold]]*Table1_1[[#This Row],[Unit Cost]]</f>
        <v>1177800</v>
      </c>
      <c r="T1096" s="33">
        <f>Table1_1[[#This Row],[Sales Amount]]-S1096</f>
        <v>713699.89999999991</v>
      </c>
      <c r="U1096" s="32">
        <f>IFERROR(Table1_1[[#This Row],[Profit/loss]]/Table1_1[[#This Row],[Sales Amount]],0)</f>
        <v>0.37731955470893758</v>
      </c>
    </row>
    <row r="1097" spans="1:21" ht="18" x14ac:dyDescent="0.35">
      <c r="A1097" s="21" t="s">
        <v>1204</v>
      </c>
      <c r="B1097" s="36">
        <v>45829</v>
      </c>
      <c r="C1097" s="22">
        <f>YEAR(Table1_1[[#This Row],[Order Date]])</f>
        <v>2025</v>
      </c>
      <c r="D1097" s="22" t="str">
        <f>TEXT(Table1_1[[#This Row],[Order Date]],"MMMM")</f>
        <v>June</v>
      </c>
      <c r="E1097" s="22" t="s">
        <v>26</v>
      </c>
      <c r="F1097" s="22" t="s">
        <v>27</v>
      </c>
      <c r="G1097" s="22" t="s">
        <v>105</v>
      </c>
      <c r="H1097" s="22" t="s">
        <v>39</v>
      </c>
      <c r="I1097" s="22" t="s">
        <v>40</v>
      </c>
      <c r="J1097" s="22" t="s">
        <v>64</v>
      </c>
      <c r="K1097" s="22" t="s">
        <v>1629</v>
      </c>
      <c r="L1097" s="22" t="s">
        <v>33</v>
      </c>
      <c r="M1097" s="22" t="s">
        <v>24</v>
      </c>
      <c r="N1097" s="22">
        <v>27</v>
      </c>
      <c r="O1097" s="26">
        <v>3299</v>
      </c>
      <c r="P1097" s="22">
        <v>0.12</v>
      </c>
      <c r="Q1097" s="30">
        <v>2050</v>
      </c>
      <c r="R1097" s="33">
        <f>Table1_1[[#This Row],[Units Sold]]*Table1_1[[#This Row],[Unit Price]]*1-Table1_1[[#This Row],[Discount]]</f>
        <v>89072.88</v>
      </c>
      <c r="S1097" s="33">
        <f>Table1_1[[#This Row],[Units Sold]]*Table1_1[[#This Row],[Unit Cost]]</f>
        <v>55350</v>
      </c>
      <c r="T1097" s="33">
        <f>Table1_1[[#This Row],[Sales Amount]]-S1097</f>
        <v>33722.880000000005</v>
      </c>
      <c r="U1097" s="32">
        <f>IFERROR(Table1_1[[#This Row],[Profit/loss]]/Table1_1[[#This Row],[Sales Amount]],0)</f>
        <v>0.37859873847123843</v>
      </c>
    </row>
    <row r="1098" spans="1:21" ht="18" x14ac:dyDescent="0.35">
      <c r="A1098" s="21" t="s">
        <v>1205</v>
      </c>
      <c r="B1098" s="36">
        <v>45830</v>
      </c>
      <c r="C1098" s="22">
        <f>YEAR(Table1_1[[#This Row],[Order Date]])</f>
        <v>2025</v>
      </c>
      <c r="D1098" s="22" t="str">
        <f>TEXT(Table1_1[[#This Row],[Order Date]],"MMMM")</f>
        <v>June</v>
      </c>
      <c r="E1098" s="22" t="s">
        <v>36</v>
      </c>
      <c r="F1098" s="22" t="s">
        <v>37</v>
      </c>
      <c r="G1098" s="22" t="s">
        <v>69</v>
      </c>
      <c r="H1098" s="22" t="s">
        <v>39</v>
      </c>
      <c r="I1098" s="22" t="s">
        <v>70</v>
      </c>
      <c r="J1098" s="22" t="s">
        <v>71</v>
      </c>
      <c r="K1098" s="22" t="s">
        <v>72</v>
      </c>
      <c r="L1098" s="22" t="s">
        <v>57</v>
      </c>
      <c r="M1098" s="22" t="s">
        <v>24</v>
      </c>
      <c r="N1098" s="22">
        <v>39</v>
      </c>
      <c r="O1098" s="26">
        <v>3499</v>
      </c>
      <c r="P1098" s="22">
        <v>0.12</v>
      </c>
      <c r="Q1098" s="30">
        <v>2190</v>
      </c>
      <c r="R1098" s="33">
        <f>Table1_1[[#This Row],[Units Sold]]*Table1_1[[#This Row],[Unit Price]]*1-Table1_1[[#This Row],[Discount]]</f>
        <v>136460.88</v>
      </c>
      <c r="S1098" s="33">
        <f>Table1_1[[#This Row],[Units Sold]]*Table1_1[[#This Row],[Unit Cost]]</f>
        <v>85410</v>
      </c>
      <c r="T1098" s="33">
        <f>Table1_1[[#This Row],[Sales Amount]]-S1098</f>
        <v>51050.880000000005</v>
      </c>
      <c r="U1098" s="32">
        <f>IFERROR(Table1_1[[#This Row],[Profit/loss]]/Table1_1[[#This Row],[Sales Amount]],0)</f>
        <v>0.37410633728875264</v>
      </c>
    </row>
    <row r="1099" spans="1:21" ht="18" x14ac:dyDescent="0.35">
      <c r="A1099" s="21" t="s">
        <v>1206</v>
      </c>
      <c r="B1099" s="36">
        <v>45830</v>
      </c>
      <c r="C1099" s="22">
        <f>YEAR(Table1_1[[#This Row],[Order Date]])</f>
        <v>2025</v>
      </c>
      <c r="D1099" s="22" t="str">
        <f>TEXT(Table1_1[[#This Row],[Order Date]],"MMMM")</f>
        <v>June</v>
      </c>
      <c r="E1099" s="22" t="s">
        <v>48</v>
      </c>
      <c r="F1099" s="22" t="s">
        <v>136</v>
      </c>
      <c r="G1099" s="22" t="s">
        <v>28</v>
      </c>
      <c r="H1099" s="22" t="s">
        <v>39</v>
      </c>
      <c r="I1099" s="22" t="s">
        <v>20</v>
      </c>
      <c r="J1099" s="22" t="s">
        <v>45</v>
      </c>
      <c r="K1099" s="22" t="s">
        <v>196</v>
      </c>
      <c r="L1099" s="22" t="s">
        <v>33</v>
      </c>
      <c r="M1099" s="22" t="s">
        <v>24</v>
      </c>
      <c r="N1099" s="22">
        <v>36</v>
      </c>
      <c r="O1099" s="26">
        <v>2499</v>
      </c>
      <c r="P1099" s="22">
        <v>0.12</v>
      </c>
      <c r="Q1099" s="30">
        <v>1510</v>
      </c>
      <c r="R1099" s="33">
        <f>Table1_1[[#This Row],[Units Sold]]*Table1_1[[#This Row],[Unit Price]]*1-Table1_1[[#This Row],[Discount]]</f>
        <v>89963.88</v>
      </c>
      <c r="S1099" s="33">
        <f>Table1_1[[#This Row],[Units Sold]]*Table1_1[[#This Row],[Unit Cost]]</f>
        <v>54360</v>
      </c>
      <c r="T1099" s="33">
        <f>Table1_1[[#This Row],[Sales Amount]]-S1099</f>
        <v>35603.880000000005</v>
      </c>
      <c r="U1099" s="32">
        <f>IFERROR(Table1_1[[#This Row],[Profit/loss]]/Table1_1[[#This Row],[Sales Amount]],0)</f>
        <v>0.39575749734226673</v>
      </c>
    </row>
    <row r="1100" spans="1:21" ht="18" x14ac:dyDescent="0.35">
      <c r="A1100" s="21" t="s">
        <v>1207</v>
      </c>
      <c r="B1100" s="36">
        <v>45830</v>
      </c>
      <c r="C1100" s="22">
        <f>YEAR(Table1_1[[#This Row],[Order Date]])</f>
        <v>2025</v>
      </c>
      <c r="D1100" s="22" t="str">
        <f>TEXT(Table1_1[[#This Row],[Order Date]],"MMMM")</f>
        <v>June</v>
      </c>
      <c r="E1100" s="22" t="s">
        <v>26</v>
      </c>
      <c r="F1100" s="22" t="s">
        <v>74</v>
      </c>
      <c r="G1100" s="22" t="s">
        <v>105</v>
      </c>
      <c r="H1100" s="22" t="s">
        <v>29</v>
      </c>
      <c r="I1100" s="22" t="s">
        <v>20</v>
      </c>
      <c r="J1100" s="22" t="s">
        <v>21</v>
      </c>
      <c r="K1100" s="22" t="s">
        <v>22</v>
      </c>
      <c r="L1100" s="22" t="s">
        <v>57</v>
      </c>
      <c r="M1100" s="22" t="s">
        <v>24</v>
      </c>
      <c r="N1100" s="22">
        <v>22</v>
      </c>
      <c r="O1100" s="26">
        <v>4499</v>
      </c>
      <c r="P1100" s="22">
        <v>0.2</v>
      </c>
      <c r="Q1100" s="30">
        <v>2910</v>
      </c>
      <c r="R1100" s="33">
        <f>Table1_1[[#This Row],[Units Sold]]*Table1_1[[#This Row],[Unit Price]]*1-Table1_1[[#This Row],[Discount]]</f>
        <v>98977.8</v>
      </c>
      <c r="S1100" s="33">
        <f>Table1_1[[#This Row],[Units Sold]]*Table1_1[[#This Row],[Unit Cost]]</f>
        <v>64020</v>
      </c>
      <c r="T1100" s="33">
        <f>Table1_1[[#This Row],[Sales Amount]]-S1100</f>
        <v>34957.800000000003</v>
      </c>
      <c r="U1100" s="32">
        <f>IFERROR(Table1_1[[#This Row],[Profit/loss]]/Table1_1[[#This Row],[Sales Amount]],0)</f>
        <v>0.35318829070761326</v>
      </c>
    </row>
    <row r="1101" spans="1:21" ht="18" x14ac:dyDescent="0.35">
      <c r="A1101" s="21" t="s">
        <v>1208</v>
      </c>
      <c r="B1101" s="36">
        <v>45831</v>
      </c>
      <c r="C1101" s="22">
        <f>YEAR(Table1_1[[#This Row],[Order Date]])</f>
        <v>2025</v>
      </c>
      <c r="D1101" s="22" t="str">
        <f>TEXT(Table1_1[[#This Row],[Order Date]],"MMMM")</f>
        <v>June</v>
      </c>
      <c r="E1101" s="22" t="s">
        <v>16</v>
      </c>
      <c r="F1101" s="22" t="s">
        <v>98</v>
      </c>
      <c r="G1101" s="22" t="s">
        <v>75</v>
      </c>
      <c r="H1101" s="22" t="s">
        <v>39</v>
      </c>
      <c r="I1101" s="22" t="s">
        <v>40</v>
      </c>
      <c r="J1101" s="22" t="s">
        <v>76</v>
      </c>
      <c r="K1101" s="22" t="s">
        <v>113</v>
      </c>
      <c r="L1101" s="22" t="s">
        <v>23</v>
      </c>
      <c r="M1101" s="22" t="s">
        <v>66</v>
      </c>
      <c r="N1101" s="22">
        <v>1</v>
      </c>
      <c r="O1101" s="26">
        <v>22999</v>
      </c>
      <c r="P1101" s="22">
        <v>0.12</v>
      </c>
      <c r="Q1101" s="30">
        <v>15100</v>
      </c>
      <c r="R1101" s="33">
        <f>Table1_1[[#This Row],[Units Sold]]*Table1_1[[#This Row],[Unit Price]]*1-Table1_1[[#This Row],[Discount]]</f>
        <v>22998.880000000001</v>
      </c>
      <c r="S1101" s="33">
        <f>Table1_1[[#This Row],[Units Sold]]*Table1_1[[#This Row],[Unit Cost]]</f>
        <v>15100</v>
      </c>
      <c r="T1101" s="33">
        <f>Table1_1[[#This Row],[Sales Amount]]-S1101</f>
        <v>7898.880000000001</v>
      </c>
      <c r="U1101" s="32">
        <f>IFERROR(Table1_1[[#This Row],[Profit/loss]]/Table1_1[[#This Row],[Sales Amount]],0)</f>
        <v>0.34344628955844808</v>
      </c>
    </row>
    <row r="1102" spans="1:21" ht="18" x14ac:dyDescent="0.35">
      <c r="A1102" s="21" t="s">
        <v>1209</v>
      </c>
      <c r="B1102" s="36">
        <v>45832</v>
      </c>
      <c r="C1102" s="22">
        <f>YEAR(Table1_1[[#This Row],[Order Date]])</f>
        <v>2025</v>
      </c>
      <c r="D1102" s="22" t="str">
        <f>TEXT(Table1_1[[#This Row],[Order Date]],"MMMM")</f>
        <v>June</v>
      </c>
      <c r="E1102" s="22" t="s">
        <v>16</v>
      </c>
      <c r="F1102" s="22" t="s">
        <v>111</v>
      </c>
      <c r="G1102" s="22" t="s">
        <v>28</v>
      </c>
      <c r="H1102" s="22" t="s">
        <v>19</v>
      </c>
      <c r="I1102" s="22" t="s">
        <v>70</v>
      </c>
      <c r="J1102" s="22" t="s">
        <v>71</v>
      </c>
      <c r="K1102" s="22" t="s">
        <v>80</v>
      </c>
      <c r="L1102" s="22" t="s">
        <v>57</v>
      </c>
      <c r="M1102" s="22" t="s">
        <v>78</v>
      </c>
      <c r="N1102" s="22">
        <v>10</v>
      </c>
      <c r="O1102" s="26">
        <v>1299</v>
      </c>
      <c r="P1102" s="22">
        <v>0.15</v>
      </c>
      <c r="Q1102" s="30">
        <v>720</v>
      </c>
      <c r="R1102" s="33">
        <f>Table1_1[[#This Row],[Units Sold]]*Table1_1[[#This Row],[Unit Price]]*1-Table1_1[[#This Row],[Discount]]</f>
        <v>12989.85</v>
      </c>
      <c r="S1102" s="33">
        <f>Table1_1[[#This Row],[Units Sold]]*Table1_1[[#This Row],[Unit Cost]]</f>
        <v>7200</v>
      </c>
      <c r="T1102" s="33">
        <f>Table1_1[[#This Row],[Sales Amount]]-S1102</f>
        <v>5789.85</v>
      </c>
      <c r="U1102" s="32">
        <f>IFERROR(Table1_1[[#This Row],[Profit/loss]]/Table1_1[[#This Row],[Sales Amount]],0)</f>
        <v>0.44572108222958695</v>
      </c>
    </row>
    <row r="1103" spans="1:21" ht="18" x14ac:dyDescent="0.35">
      <c r="A1103" s="21" t="s">
        <v>1210</v>
      </c>
      <c r="B1103" s="36">
        <v>45833</v>
      </c>
      <c r="C1103" s="22">
        <f>YEAR(Table1_1[[#This Row],[Order Date]])</f>
        <v>2025</v>
      </c>
      <c r="D1103" s="22" t="str">
        <f>TEXT(Table1_1[[#This Row],[Order Date]],"MMMM")</f>
        <v>June</v>
      </c>
      <c r="E1103" s="22" t="s">
        <v>36</v>
      </c>
      <c r="F1103" s="22" t="s">
        <v>37</v>
      </c>
      <c r="G1103" s="22" t="s">
        <v>28</v>
      </c>
      <c r="H1103" s="22" t="s">
        <v>29</v>
      </c>
      <c r="I1103" s="22" t="s">
        <v>40</v>
      </c>
      <c r="J1103" s="22" t="s">
        <v>64</v>
      </c>
      <c r="K1103" s="22" t="s">
        <v>1627</v>
      </c>
      <c r="L1103" s="22" t="s">
        <v>23</v>
      </c>
      <c r="M1103" s="22" t="s">
        <v>66</v>
      </c>
      <c r="N1103" s="22">
        <v>30</v>
      </c>
      <c r="O1103" s="26">
        <v>4490</v>
      </c>
      <c r="P1103" s="22">
        <v>0.12</v>
      </c>
      <c r="Q1103" s="30">
        <v>2950</v>
      </c>
      <c r="R1103" s="33">
        <f>Table1_1[[#This Row],[Units Sold]]*Table1_1[[#This Row],[Unit Price]]*1-Table1_1[[#This Row],[Discount]]</f>
        <v>134699.88</v>
      </c>
      <c r="S1103" s="33">
        <f>Table1_1[[#This Row],[Units Sold]]*Table1_1[[#This Row],[Unit Cost]]</f>
        <v>88500</v>
      </c>
      <c r="T1103" s="33">
        <f>Table1_1[[#This Row],[Sales Amount]]-S1103</f>
        <v>46199.880000000005</v>
      </c>
      <c r="U1103" s="32">
        <f>IFERROR(Table1_1[[#This Row],[Profit/loss]]/Table1_1[[#This Row],[Sales Amount]],0)</f>
        <v>0.34298382448447617</v>
      </c>
    </row>
    <row r="1104" spans="1:21" ht="18" x14ac:dyDescent="0.35">
      <c r="A1104" s="21" t="s">
        <v>1211</v>
      </c>
      <c r="B1104" s="36">
        <v>45833</v>
      </c>
      <c r="C1104" s="22">
        <f>YEAR(Table1_1[[#This Row],[Order Date]])</f>
        <v>2025</v>
      </c>
      <c r="D1104" s="22" t="str">
        <f>TEXT(Table1_1[[#This Row],[Order Date]],"MMMM")</f>
        <v>June</v>
      </c>
      <c r="E1104" s="22" t="s">
        <v>48</v>
      </c>
      <c r="F1104" s="22" t="s">
        <v>68</v>
      </c>
      <c r="G1104" s="22" t="s">
        <v>84</v>
      </c>
      <c r="H1104" s="22" t="s">
        <v>29</v>
      </c>
      <c r="I1104" s="22" t="s">
        <v>20</v>
      </c>
      <c r="J1104" s="22" t="s">
        <v>45</v>
      </c>
      <c r="K1104" s="22" t="s">
        <v>1622</v>
      </c>
      <c r="L1104" s="22" t="s">
        <v>57</v>
      </c>
      <c r="M1104" s="22" t="s">
        <v>66</v>
      </c>
      <c r="N1104" s="22">
        <v>31</v>
      </c>
      <c r="O1104" s="26">
        <v>1599</v>
      </c>
      <c r="P1104" s="22">
        <v>0.08</v>
      </c>
      <c r="Q1104" s="30">
        <v>920</v>
      </c>
      <c r="R1104" s="33">
        <f>Table1_1[[#This Row],[Units Sold]]*Table1_1[[#This Row],[Unit Price]]*1-Table1_1[[#This Row],[Discount]]</f>
        <v>49568.92</v>
      </c>
      <c r="S1104" s="33">
        <f>Table1_1[[#This Row],[Units Sold]]*Table1_1[[#This Row],[Unit Cost]]</f>
        <v>28520</v>
      </c>
      <c r="T1104" s="33">
        <f>Table1_1[[#This Row],[Sales Amount]]-S1104</f>
        <v>21048.92</v>
      </c>
      <c r="U1104" s="32">
        <f>IFERROR(Table1_1[[#This Row],[Profit/loss]]/Table1_1[[#This Row],[Sales Amount]],0)</f>
        <v>0.42463947166894089</v>
      </c>
    </row>
    <row r="1105" spans="1:21" ht="18" x14ac:dyDescent="0.35">
      <c r="A1105" s="21" t="s">
        <v>1212</v>
      </c>
      <c r="B1105" s="36">
        <v>45834</v>
      </c>
      <c r="C1105" s="22">
        <f>YEAR(Table1_1[[#This Row],[Order Date]])</f>
        <v>2025</v>
      </c>
      <c r="D1105" s="22" t="str">
        <f>TEXT(Table1_1[[#This Row],[Order Date]],"MMMM")</f>
        <v>June</v>
      </c>
      <c r="E1105" s="22" t="s">
        <v>26</v>
      </c>
      <c r="F1105" s="22" t="s">
        <v>163</v>
      </c>
      <c r="G1105" s="22" t="s">
        <v>28</v>
      </c>
      <c r="H1105" s="22" t="s">
        <v>39</v>
      </c>
      <c r="I1105" s="22" t="s">
        <v>20</v>
      </c>
      <c r="J1105" s="22" t="s">
        <v>21</v>
      </c>
      <c r="K1105" s="22" t="s">
        <v>115</v>
      </c>
      <c r="L1105" s="22" t="s">
        <v>57</v>
      </c>
      <c r="M1105" s="22" t="s">
        <v>66</v>
      </c>
      <c r="N1105" s="22">
        <v>13</v>
      </c>
      <c r="O1105" s="26">
        <v>6499</v>
      </c>
      <c r="P1105" s="22">
        <v>0.12</v>
      </c>
      <c r="Q1105" s="30">
        <v>4210</v>
      </c>
      <c r="R1105" s="33">
        <f>Table1_1[[#This Row],[Units Sold]]*Table1_1[[#This Row],[Unit Price]]*1-Table1_1[[#This Row],[Discount]]</f>
        <v>84486.88</v>
      </c>
      <c r="S1105" s="33">
        <f>Table1_1[[#This Row],[Units Sold]]*Table1_1[[#This Row],[Unit Cost]]</f>
        <v>54730</v>
      </c>
      <c r="T1105" s="33">
        <f>Table1_1[[#This Row],[Sales Amount]]-S1105</f>
        <v>29756.880000000005</v>
      </c>
      <c r="U1105" s="32">
        <f>IFERROR(Table1_1[[#This Row],[Profit/loss]]/Table1_1[[#This Row],[Sales Amount]],0)</f>
        <v>0.3522071119208095</v>
      </c>
    </row>
    <row r="1106" spans="1:21" ht="18" x14ac:dyDescent="0.35">
      <c r="A1106" s="21" t="s">
        <v>1213</v>
      </c>
      <c r="B1106" s="36">
        <v>45834</v>
      </c>
      <c r="C1106" s="22">
        <f>YEAR(Table1_1[[#This Row],[Order Date]])</f>
        <v>2025</v>
      </c>
      <c r="D1106" s="22" t="str">
        <f>TEXT(Table1_1[[#This Row],[Order Date]],"MMMM")</f>
        <v>June</v>
      </c>
      <c r="E1106" s="22" t="s">
        <v>36</v>
      </c>
      <c r="F1106" s="22" t="s">
        <v>121</v>
      </c>
      <c r="G1106" s="22" t="s">
        <v>69</v>
      </c>
      <c r="H1106" s="22" t="s">
        <v>19</v>
      </c>
      <c r="I1106" s="22" t="s">
        <v>54</v>
      </c>
      <c r="J1106" s="22" t="s">
        <v>129</v>
      </c>
      <c r="K1106" s="22" t="s">
        <v>130</v>
      </c>
      <c r="L1106" s="22" t="s">
        <v>23</v>
      </c>
      <c r="M1106" s="22" t="s">
        <v>66</v>
      </c>
      <c r="N1106" s="22">
        <v>29</v>
      </c>
      <c r="O1106" s="26">
        <v>27890</v>
      </c>
      <c r="P1106" s="22">
        <v>0.18</v>
      </c>
      <c r="Q1106" s="30">
        <v>18800</v>
      </c>
      <c r="R1106" s="33">
        <f>Table1_1[[#This Row],[Units Sold]]*Table1_1[[#This Row],[Unit Price]]*1-Table1_1[[#This Row],[Discount]]</f>
        <v>808809.82</v>
      </c>
      <c r="S1106" s="33">
        <f>Table1_1[[#This Row],[Units Sold]]*Table1_1[[#This Row],[Unit Cost]]</f>
        <v>545200</v>
      </c>
      <c r="T1106" s="33">
        <f>Table1_1[[#This Row],[Sales Amount]]-S1106</f>
        <v>263609.81999999995</v>
      </c>
      <c r="U1106" s="32">
        <f>IFERROR(Table1_1[[#This Row],[Profit/loss]]/Table1_1[[#This Row],[Sales Amount]],0)</f>
        <v>0.32592311997398843</v>
      </c>
    </row>
    <row r="1107" spans="1:21" ht="18" x14ac:dyDescent="0.35">
      <c r="A1107" s="21" t="s">
        <v>1214</v>
      </c>
      <c r="B1107" s="36">
        <v>45834</v>
      </c>
      <c r="C1107" s="22">
        <f>YEAR(Table1_1[[#This Row],[Order Date]])</f>
        <v>2025</v>
      </c>
      <c r="D1107" s="22" t="str">
        <f>TEXT(Table1_1[[#This Row],[Order Date]],"MMMM")</f>
        <v>June</v>
      </c>
      <c r="E1107" s="22" t="s">
        <v>82</v>
      </c>
      <c r="F1107" s="22" t="s">
        <v>100</v>
      </c>
      <c r="G1107" s="22" t="s">
        <v>69</v>
      </c>
      <c r="H1107" s="22" t="s">
        <v>19</v>
      </c>
      <c r="I1107" s="22" t="s">
        <v>20</v>
      </c>
      <c r="J1107" s="22" t="s">
        <v>21</v>
      </c>
      <c r="K1107" s="22" t="s">
        <v>22</v>
      </c>
      <c r="L1107" s="22" t="s">
        <v>23</v>
      </c>
      <c r="M1107" s="22" t="s">
        <v>24</v>
      </c>
      <c r="N1107" s="22">
        <v>32</v>
      </c>
      <c r="O1107" s="26">
        <v>4499</v>
      </c>
      <c r="P1107" s="22">
        <v>0.15</v>
      </c>
      <c r="Q1107" s="30">
        <v>2910</v>
      </c>
      <c r="R1107" s="33">
        <f>Table1_1[[#This Row],[Units Sold]]*Table1_1[[#This Row],[Unit Price]]*1-Table1_1[[#This Row],[Discount]]</f>
        <v>143967.85</v>
      </c>
      <c r="S1107" s="33">
        <f>Table1_1[[#This Row],[Units Sold]]*Table1_1[[#This Row],[Unit Cost]]</f>
        <v>93120</v>
      </c>
      <c r="T1107" s="33">
        <f>Table1_1[[#This Row],[Sales Amount]]-S1107</f>
        <v>50847.850000000006</v>
      </c>
      <c r="U1107" s="32">
        <f>IFERROR(Table1_1[[#This Row],[Profit/loss]]/Table1_1[[#This Row],[Sales Amount]],0)</f>
        <v>0.35318892377707944</v>
      </c>
    </row>
    <row r="1108" spans="1:21" ht="18" x14ac:dyDescent="0.35">
      <c r="A1108" s="21" t="s">
        <v>1215</v>
      </c>
      <c r="B1108" s="36">
        <v>45834</v>
      </c>
      <c r="C1108" s="22">
        <f>YEAR(Table1_1[[#This Row],[Order Date]])</f>
        <v>2025</v>
      </c>
      <c r="D1108" s="22" t="str">
        <f>TEXT(Table1_1[[#This Row],[Order Date]],"MMMM")</f>
        <v>June</v>
      </c>
      <c r="E1108" s="22" t="s">
        <v>48</v>
      </c>
      <c r="F1108" s="22" t="s">
        <v>68</v>
      </c>
      <c r="G1108" s="22" t="s">
        <v>84</v>
      </c>
      <c r="H1108" s="22" t="s">
        <v>29</v>
      </c>
      <c r="I1108" s="22" t="s">
        <v>54</v>
      </c>
      <c r="J1108" s="22" t="s">
        <v>129</v>
      </c>
      <c r="K1108" s="22" t="s">
        <v>130</v>
      </c>
      <c r="L1108" s="22" t="s">
        <v>57</v>
      </c>
      <c r="M1108" s="22" t="s">
        <v>24</v>
      </c>
      <c r="N1108" s="22">
        <v>35</v>
      </c>
      <c r="O1108" s="26">
        <v>27890</v>
      </c>
      <c r="P1108" s="22">
        <v>0.08</v>
      </c>
      <c r="Q1108" s="30">
        <v>18800</v>
      </c>
      <c r="R1108" s="33">
        <f>Table1_1[[#This Row],[Units Sold]]*Table1_1[[#This Row],[Unit Price]]*1-Table1_1[[#This Row],[Discount]]</f>
        <v>976149.92</v>
      </c>
      <c r="S1108" s="33">
        <f>Table1_1[[#This Row],[Units Sold]]*Table1_1[[#This Row],[Unit Cost]]</f>
        <v>658000</v>
      </c>
      <c r="T1108" s="33">
        <f>Table1_1[[#This Row],[Sales Amount]]-S1108</f>
        <v>318149.92000000004</v>
      </c>
      <c r="U1108" s="32">
        <f>IFERROR(Table1_1[[#This Row],[Profit/loss]]/Table1_1[[#This Row],[Sales Amount]],0)</f>
        <v>0.32592321474553831</v>
      </c>
    </row>
    <row r="1109" spans="1:21" ht="18" x14ac:dyDescent="0.35">
      <c r="A1109" s="21" t="s">
        <v>1216</v>
      </c>
      <c r="B1109" s="36">
        <v>45835</v>
      </c>
      <c r="C1109" s="22">
        <f>YEAR(Table1_1[[#This Row],[Order Date]])</f>
        <v>2025</v>
      </c>
      <c r="D1109" s="22" t="str">
        <f>TEXT(Table1_1[[#This Row],[Order Date]],"MMMM")</f>
        <v>June</v>
      </c>
      <c r="E1109" s="22" t="s">
        <v>16</v>
      </c>
      <c r="F1109" s="22" t="s">
        <v>17</v>
      </c>
      <c r="G1109" s="22" t="s">
        <v>105</v>
      </c>
      <c r="H1109" s="22" t="s">
        <v>39</v>
      </c>
      <c r="I1109" s="22" t="s">
        <v>30</v>
      </c>
      <c r="J1109" s="22" t="s">
        <v>31</v>
      </c>
      <c r="K1109" s="22" t="s">
        <v>85</v>
      </c>
      <c r="L1109" s="22" t="s">
        <v>23</v>
      </c>
      <c r="M1109" s="22" t="s">
        <v>34</v>
      </c>
      <c r="N1109" s="22">
        <v>24</v>
      </c>
      <c r="O1109" s="26">
        <v>43500</v>
      </c>
      <c r="P1109" s="22">
        <v>0.12</v>
      </c>
      <c r="Q1109" s="30">
        <v>29520</v>
      </c>
      <c r="R1109" s="33">
        <f>Table1_1[[#This Row],[Units Sold]]*Table1_1[[#This Row],[Unit Price]]*1-Table1_1[[#This Row],[Discount]]</f>
        <v>1043999.88</v>
      </c>
      <c r="S1109" s="33">
        <f>Table1_1[[#This Row],[Units Sold]]*Table1_1[[#This Row],[Unit Cost]]</f>
        <v>708480</v>
      </c>
      <c r="T1109" s="33">
        <f>Table1_1[[#This Row],[Sales Amount]]-S1109</f>
        <v>335519.88</v>
      </c>
      <c r="U1109" s="32">
        <f>IFERROR(Table1_1[[#This Row],[Profit/loss]]/Table1_1[[#This Row],[Sales Amount]],0)</f>
        <v>0.32137923234244048</v>
      </c>
    </row>
    <row r="1110" spans="1:21" ht="18" x14ac:dyDescent="0.35">
      <c r="A1110" s="21" t="s">
        <v>1217</v>
      </c>
      <c r="B1110" s="36">
        <v>45836</v>
      </c>
      <c r="C1110" s="22">
        <f>YEAR(Table1_1[[#This Row],[Order Date]])</f>
        <v>2025</v>
      </c>
      <c r="D1110" s="22" t="str">
        <f>TEXT(Table1_1[[#This Row],[Order Date]],"MMMM")</f>
        <v>June</v>
      </c>
      <c r="E1110" s="22" t="s">
        <v>36</v>
      </c>
      <c r="F1110" s="22" t="s">
        <v>121</v>
      </c>
      <c r="G1110" s="22" t="s">
        <v>101</v>
      </c>
      <c r="H1110" s="22" t="s">
        <v>29</v>
      </c>
      <c r="I1110" s="22" t="s">
        <v>40</v>
      </c>
      <c r="J1110" s="22" t="s">
        <v>41</v>
      </c>
      <c r="K1110" s="22" t="s">
        <v>42</v>
      </c>
      <c r="L1110" s="22" t="s">
        <v>57</v>
      </c>
      <c r="M1110" s="22" t="s">
        <v>24</v>
      </c>
      <c r="N1110" s="22">
        <v>11</v>
      </c>
      <c r="O1110" s="26">
        <v>55230</v>
      </c>
      <c r="P1110" s="22">
        <v>0.08</v>
      </c>
      <c r="Q1110" s="30">
        <v>33800</v>
      </c>
      <c r="R1110" s="33">
        <f>Table1_1[[#This Row],[Units Sold]]*Table1_1[[#This Row],[Unit Price]]*1-Table1_1[[#This Row],[Discount]]</f>
        <v>607529.92000000004</v>
      </c>
      <c r="S1110" s="33">
        <f>Table1_1[[#This Row],[Units Sold]]*Table1_1[[#This Row],[Unit Cost]]</f>
        <v>371800</v>
      </c>
      <c r="T1110" s="33">
        <f>Table1_1[[#This Row],[Sales Amount]]-S1110</f>
        <v>235729.92000000004</v>
      </c>
      <c r="U1110" s="32">
        <f>IFERROR(Table1_1[[#This Row],[Profit/loss]]/Table1_1[[#This Row],[Sales Amount]],0)</f>
        <v>0.38801368005052334</v>
      </c>
    </row>
    <row r="1111" spans="1:21" ht="18" x14ac:dyDescent="0.35">
      <c r="A1111" s="21" t="s">
        <v>1218</v>
      </c>
      <c r="B1111" s="36">
        <v>45837</v>
      </c>
      <c r="C1111" s="22">
        <f>YEAR(Table1_1[[#This Row],[Order Date]])</f>
        <v>2025</v>
      </c>
      <c r="D1111" s="22" t="str">
        <f>TEXT(Table1_1[[#This Row],[Order Date]],"MMMM")</f>
        <v>June</v>
      </c>
      <c r="E1111" s="22" t="s">
        <v>36</v>
      </c>
      <c r="F1111" s="22" t="s">
        <v>121</v>
      </c>
      <c r="G1111" s="22" t="s">
        <v>60</v>
      </c>
      <c r="H1111" s="22" t="s">
        <v>29</v>
      </c>
      <c r="I1111" s="22" t="s">
        <v>40</v>
      </c>
      <c r="J1111" s="22" t="s">
        <v>76</v>
      </c>
      <c r="K1111" s="22" t="s">
        <v>1620</v>
      </c>
      <c r="L1111" s="22" t="s">
        <v>57</v>
      </c>
      <c r="M1111" s="22" t="s">
        <v>34</v>
      </c>
      <c r="N1111" s="22">
        <v>32</v>
      </c>
      <c r="O1111" s="26">
        <v>52990</v>
      </c>
      <c r="P1111" s="22">
        <v>0.18</v>
      </c>
      <c r="Q1111" s="30">
        <v>39500</v>
      </c>
      <c r="R1111" s="33">
        <f>Table1_1[[#This Row],[Units Sold]]*Table1_1[[#This Row],[Unit Price]]*1-Table1_1[[#This Row],[Discount]]</f>
        <v>1695679.82</v>
      </c>
      <c r="S1111" s="33">
        <f>Table1_1[[#This Row],[Units Sold]]*Table1_1[[#This Row],[Unit Cost]]</f>
        <v>1264000</v>
      </c>
      <c r="T1111" s="33">
        <f>Table1_1[[#This Row],[Sales Amount]]-S1111</f>
        <v>431679.82000000007</v>
      </c>
      <c r="U1111" s="32">
        <f>IFERROR(Table1_1[[#This Row],[Profit/loss]]/Table1_1[[#This Row],[Sales Amount]],0)</f>
        <v>0.25457625602927803</v>
      </c>
    </row>
    <row r="1112" spans="1:21" ht="18" x14ac:dyDescent="0.35">
      <c r="A1112" s="21" t="s">
        <v>1219</v>
      </c>
      <c r="B1112" s="36">
        <v>45838</v>
      </c>
      <c r="C1112" s="22">
        <f>YEAR(Table1_1[[#This Row],[Order Date]])</f>
        <v>2025</v>
      </c>
      <c r="D1112" s="22" t="str">
        <f>TEXT(Table1_1[[#This Row],[Order Date]],"MMMM")</f>
        <v>June</v>
      </c>
      <c r="E1112" s="22" t="s">
        <v>26</v>
      </c>
      <c r="F1112" s="22" t="s">
        <v>27</v>
      </c>
      <c r="G1112" s="22" t="s">
        <v>28</v>
      </c>
      <c r="H1112" s="22" t="s">
        <v>19</v>
      </c>
      <c r="I1112" s="22" t="s">
        <v>54</v>
      </c>
      <c r="J1112" s="22" t="s">
        <v>90</v>
      </c>
      <c r="K1112" s="22" t="s">
        <v>1625</v>
      </c>
      <c r="L1112" s="22" t="s">
        <v>33</v>
      </c>
      <c r="M1112" s="22" t="s">
        <v>24</v>
      </c>
      <c r="N1112" s="22">
        <v>37</v>
      </c>
      <c r="O1112" s="26">
        <v>32800</v>
      </c>
      <c r="P1112" s="22">
        <v>0.1</v>
      </c>
      <c r="Q1112" s="30">
        <v>23100</v>
      </c>
      <c r="R1112" s="33">
        <f>Table1_1[[#This Row],[Units Sold]]*Table1_1[[#This Row],[Unit Price]]*1-Table1_1[[#This Row],[Discount]]</f>
        <v>1213599.8999999999</v>
      </c>
      <c r="S1112" s="33">
        <f>Table1_1[[#This Row],[Units Sold]]*Table1_1[[#This Row],[Unit Cost]]</f>
        <v>854700</v>
      </c>
      <c r="T1112" s="33">
        <f>Table1_1[[#This Row],[Sales Amount]]-S1112</f>
        <v>358899.89999999991</v>
      </c>
      <c r="U1112" s="32">
        <f>IFERROR(Table1_1[[#This Row],[Profit/loss]]/Table1_1[[#This Row],[Sales Amount]],0)</f>
        <v>0.29573164928573242</v>
      </c>
    </row>
    <row r="1113" spans="1:21" ht="18" x14ac:dyDescent="0.35">
      <c r="A1113" s="21" t="s">
        <v>1220</v>
      </c>
      <c r="B1113" s="36">
        <v>45838</v>
      </c>
      <c r="C1113" s="22">
        <f>YEAR(Table1_1[[#This Row],[Order Date]])</f>
        <v>2025</v>
      </c>
      <c r="D1113" s="22" t="str">
        <f>TEXT(Table1_1[[#This Row],[Order Date]],"MMMM")</f>
        <v>June</v>
      </c>
      <c r="E1113" s="22" t="s">
        <v>26</v>
      </c>
      <c r="F1113" s="22" t="s">
        <v>74</v>
      </c>
      <c r="G1113" s="22" t="s">
        <v>105</v>
      </c>
      <c r="H1113" s="22" t="s">
        <v>29</v>
      </c>
      <c r="I1113" s="22" t="s">
        <v>54</v>
      </c>
      <c r="J1113" s="22" t="s">
        <v>90</v>
      </c>
      <c r="K1113" s="22" t="s">
        <v>1625</v>
      </c>
      <c r="L1113" s="22" t="s">
        <v>33</v>
      </c>
      <c r="M1113" s="22" t="s">
        <v>66</v>
      </c>
      <c r="N1113" s="22">
        <v>1</v>
      </c>
      <c r="O1113" s="26">
        <v>32800</v>
      </c>
      <c r="P1113" s="22">
        <v>0.15</v>
      </c>
      <c r="Q1113" s="30">
        <v>23100</v>
      </c>
      <c r="R1113" s="33">
        <f>Table1_1[[#This Row],[Units Sold]]*Table1_1[[#This Row],[Unit Price]]*1-Table1_1[[#This Row],[Discount]]</f>
        <v>32799.85</v>
      </c>
      <c r="S1113" s="33">
        <f>Table1_1[[#This Row],[Units Sold]]*Table1_1[[#This Row],[Unit Cost]]</f>
        <v>23100</v>
      </c>
      <c r="T1113" s="33">
        <f>Table1_1[[#This Row],[Sales Amount]]-S1113</f>
        <v>9699.8499999999985</v>
      </c>
      <c r="U1113" s="32">
        <f>IFERROR(Table1_1[[#This Row],[Profit/loss]]/Table1_1[[#This Row],[Sales Amount]],0)</f>
        <v>0.29572848656320072</v>
      </c>
    </row>
    <row r="1114" spans="1:21" ht="18" x14ac:dyDescent="0.35">
      <c r="A1114" s="21" t="s">
        <v>1221</v>
      </c>
      <c r="B1114" s="36">
        <v>45838</v>
      </c>
      <c r="C1114" s="22">
        <f>YEAR(Table1_1[[#This Row],[Order Date]])</f>
        <v>2025</v>
      </c>
      <c r="D1114" s="22" t="str">
        <f>TEXT(Table1_1[[#This Row],[Order Date]],"MMMM")</f>
        <v>June</v>
      </c>
      <c r="E1114" s="22" t="s">
        <v>26</v>
      </c>
      <c r="F1114" s="22" t="s">
        <v>163</v>
      </c>
      <c r="G1114" s="22" t="s">
        <v>75</v>
      </c>
      <c r="H1114" s="22" t="s">
        <v>39</v>
      </c>
      <c r="I1114" s="22" t="s">
        <v>54</v>
      </c>
      <c r="J1114" s="22" t="s">
        <v>55</v>
      </c>
      <c r="K1114" s="22" t="s">
        <v>1623</v>
      </c>
      <c r="L1114" s="22" t="s">
        <v>57</v>
      </c>
      <c r="M1114" s="22" t="s">
        <v>24</v>
      </c>
      <c r="N1114" s="22">
        <v>2</v>
      </c>
      <c r="O1114" s="26">
        <v>5890</v>
      </c>
      <c r="P1114" s="22">
        <v>0.18</v>
      </c>
      <c r="Q1114" s="30">
        <v>3980</v>
      </c>
      <c r="R1114" s="33">
        <f>Table1_1[[#This Row],[Units Sold]]*Table1_1[[#This Row],[Unit Price]]*1-Table1_1[[#This Row],[Discount]]</f>
        <v>11779.82</v>
      </c>
      <c r="S1114" s="33">
        <f>Table1_1[[#This Row],[Units Sold]]*Table1_1[[#This Row],[Unit Cost]]</f>
        <v>7960</v>
      </c>
      <c r="T1114" s="33">
        <f>Table1_1[[#This Row],[Sales Amount]]-S1114</f>
        <v>3819.8199999999997</v>
      </c>
      <c r="U1114" s="32">
        <f>IFERROR(Table1_1[[#This Row],[Profit/loss]]/Table1_1[[#This Row],[Sales Amount]],0)</f>
        <v>0.32426811275554296</v>
      </c>
    </row>
    <row r="1115" spans="1:21" ht="18" x14ac:dyDescent="0.35">
      <c r="A1115" s="21" t="s">
        <v>1222</v>
      </c>
      <c r="B1115" s="36">
        <v>45838</v>
      </c>
      <c r="C1115" s="22">
        <f>YEAR(Table1_1[[#This Row],[Order Date]])</f>
        <v>2025</v>
      </c>
      <c r="D1115" s="22" t="str">
        <f>TEXT(Table1_1[[#This Row],[Order Date]],"MMMM")</f>
        <v>June</v>
      </c>
      <c r="E1115" s="22" t="s">
        <v>36</v>
      </c>
      <c r="F1115" s="22" t="s">
        <v>121</v>
      </c>
      <c r="G1115" s="22" t="s">
        <v>105</v>
      </c>
      <c r="H1115" s="22" t="s">
        <v>39</v>
      </c>
      <c r="I1115" s="22" t="s">
        <v>40</v>
      </c>
      <c r="J1115" s="22" t="s">
        <v>64</v>
      </c>
      <c r="K1115" s="22" t="s">
        <v>1619</v>
      </c>
      <c r="L1115" s="22" t="s">
        <v>33</v>
      </c>
      <c r="M1115" s="22" t="s">
        <v>24</v>
      </c>
      <c r="N1115" s="22">
        <v>25</v>
      </c>
      <c r="O1115" s="26">
        <v>1930</v>
      </c>
      <c r="P1115" s="22">
        <v>0.08</v>
      </c>
      <c r="Q1115" s="30">
        <v>1120</v>
      </c>
      <c r="R1115" s="33">
        <f>Table1_1[[#This Row],[Units Sold]]*Table1_1[[#This Row],[Unit Price]]*1-Table1_1[[#This Row],[Discount]]</f>
        <v>48249.919999999998</v>
      </c>
      <c r="S1115" s="33">
        <f>Table1_1[[#This Row],[Units Sold]]*Table1_1[[#This Row],[Unit Cost]]</f>
        <v>28000</v>
      </c>
      <c r="T1115" s="33">
        <f>Table1_1[[#This Row],[Sales Amount]]-S1115</f>
        <v>20249.919999999998</v>
      </c>
      <c r="U1115" s="32">
        <f>IFERROR(Table1_1[[#This Row],[Profit/loss]]/Table1_1[[#This Row],[Sales Amount]],0)</f>
        <v>0.41968815699590795</v>
      </c>
    </row>
    <row r="1116" spans="1:21" ht="18" x14ac:dyDescent="0.35">
      <c r="A1116" s="21" t="s">
        <v>1223</v>
      </c>
      <c r="B1116" s="36">
        <v>45839</v>
      </c>
      <c r="C1116" s="22">
        <f>YEAR(Table1_1[[#This Row],[Order Date]])</f>
        <v>2025</v>
      </c>
      <c r="D1116" s="22" t="str">
        <f>TEXT(Table1_1[[#This Row],[Order Date]],"MMMM")</f>
        <v>July</v>
      </c>
      <c r="E1116" s="22" t="s">
        <v>16</v>
      </c>
      <c r="F1116" s="22" t="s">
        <v>126</v>
      </c>
      <c r="G1116" s="22" t="s">
        <v>84</v>
      </c>
      <c r="H1116" s="22" t="s">
        <v>39</v>
      </c>
      <c r="I1116" s="22" t="s">
        <v>54</v>
      </c>
      <c r="J1116" s="22" t="s">
        <v>55</v>
      </c>
      <c r="K1116" s="22" t="s">
        <v>1623</v>
      </c>
      <c r="L1116" s="22" t="s">
        <v>33</v>
      </c>
      <c r="M1116" s="22" t="s">
        <v>34</v>
      </c>
      <c r="N1116" s="22">
        <v>17</v>
      </c>
      <c r="O1116" s="26">
        <v>5890</v>
      </c>
      <c r="P1116" s="22">
        <v>0.1</v>
      </c>
      <c r="Q1116" s="30">
        <v>3980</v>
      </c>
      <c r="R1116" s="33">
        <f>Table1_1[[#This Row],[Units Sold]]*Table1_1[[#This Row],[Unit Price]]*1-Table1_1[[#This Row],[Discount]]</f>
        <v>100129.9</v>
      </c>
      <c r="S1116" s="33">
        <f>Table1_1[[#This Row],[Units Sold]]*Table1_1[[#This Row],[Unit Cost]]</f>
        <v>67660</v>
      </c>
      <c r="T1116" s="33">
        <f>Table1_1[[#This Row],[Sales Amount]]-S1116</f>
        <v>32469.899999999994</v>
      </c>
      <c r="U1116" s="32">
        <f>IFERROR(Table1_1[[#This Row],[Profit/loss]]/Table1_1[[#This Row],[Sales Amount]],0)</f>
        <v>0.32427776318562185</v>
      </c>
    </row>
    <row r="1117" spans="1:21" ht="18" x14ac:dyDescent="0.35">
      <c r="A1117" s="21" t="s">
        <v>1224</v>
      </c>
      <c r="B1117" s="36">
        <v>45839</v>
      </c>
      <c r="C1117" s="22">
        <f>YEAR(Table1_1[[#This Row],[Order Date]])</f>
        <v>2025</v>
      </c>
      <c r="D1117" s="22" t="str">
        <f>TEXT(Table1_1[[#This Row],[Order Date]],"MMMM")</f>
        <v>July</v>
      </c>
      <c r="E1117" s="22" t="s">
        <v>36</v>
      </c>
      <c r="F1117" s="22" t="s">
        <v>44</v>
      </c>
      <c r="G1117" s="22" t="s">
        <v>105</v>
      </c>
      <c r="H1117" s="22" t="s">
        <v>19</v>
      </c>
      <c r="I1117" s="22" t="s">
        <v>30</v>
      </c>
      <c r="J1117" s="22" t="s">
        <v>61</v>
      </c>
      <c r="K1117" s="22" t="s">
        <v>96</v>
      </c>
      <c r="L1117" s="22" t="s">
        <v>57</v>
      </c>
      <c r="M1117" s="22" t="s">
        <v>66</v>
      </c>
      <c r="N1117" s="22">
        <v>12</v>
      </c>
      <c r="O1117" s="26">
        <v>25110</v>
      </c>
      <c r="P1117" s="22">
        <v>0.12</v>
      </c>
      <c r="Q1117" s="30">
        <v>16730</v>
      </c>
      <c r="R1117" s="33">
        <f>Table1_1[[#This Row],[Units Sold]]*Table1_1[[#This Row],[Unit Price]]*1-Table1_1[[#This Row],[Discount]]</f>
        <v>301319.88</v>
      </c>
      <c r="S1117" s="33">
        <f>Table1_1[[#This Row],[Units Sold]]*Table1_1[[#This Row],[Unit Cost]]</f>
        <v>200760</v>
      </c>
      <c r="T1117" s="33">
        <f>Table1_1[[#This Row],[Sales Amount]]-S1117</f>
        <v>100559.88</v>
      </c>
      <c r="U1117" s="32">
        <f>IFERROR(Table1_1[[#This Row],[Profit/loss]]/Table1_1[[#This Row],[Sales Amount]],0)</f>
        <v>0.33373131570343118</v>
      </c>
    </row>
    <row r="1118" spans="1:21" ht="18" x14ac:dyDescent="0.35">
      <c r="A1118" s="21" t="s">
        <v>1225</v>
      </c>
      <c r="B1118" s="36">
        <v>45839</v>
      </c>
      <c r="C1118" s="22">
        <f>YEAR(Table1_1[[#This Row],[Order Date]])</f>
        <v>2025</v>
      </c>
      <c r="D1118" s="22" t="str">
        <f>TEXT(Table1_1[[#This Row],[Order Date]],"MMMM")</f>
        <v>July</v>
      </c>
      <c r="E1118" s="22" t="s">
        <v>26</v>
      </c>
      <c r="F1118" s="22" t="s">
        <v>53</v>
      </c>
      <c r="G1118" s="22" t="s">
        <v>101</v>
      </c>
      <c r="H1118" s="22" t="s">
        <v>29</v>
      </c>
      <c r="I1118" s="22" t="s">
        <v>20</v>
      </c>
      <c r="J1118" s="22" t="s">
        <v>45</v>
      </c>
      <c r="K1118" s="22" t="s">
        <v>1622</v>
      </c>
      <c r="L1118" s="22" t="s">
        <v>57</v>
      </c>
      <c r="M1118" s="22" t="s">
        <v>24</v>
      </c>
      <c r="N1118" s="22">
        <v>36</v>
      </c>
      <c r="O1118" s="26">
        <v>1599</v>
      </c>
      <c r="P1118" s="22">
        <v>0.05</v>
      </c>
      <c r="Q1118" s="30">
        <v>920</v>
      </c>
      <c r="R1118" s="33">
        <f>Table1_1[[#This Row],[Units Sold]]*Table1_1[[#This Row],[Unit Price]]*1-Table1_1[[#This Row],[Discount]]</f>
        <v>57563.95</v>
      </c>
      <c r="S1118" s="33">
        <f>Table1_1[[#This Row],[Units Sold]]*Table1_1[[#This Row],[Unit Cost]]</f>
        <v>33120</v>
      </c>
      <c r="T1118" s="33">
        <f>Table1_1[[#This Row],[Sales Amount]]-S1118</f>
        <v>24443.949999999997</v>
      </c>
      <c r="U1118" s="32">
        <f>IFERROR(Table1_1[[#This Row],[Profit/loss]]/Table1_1[[#This Row],[Sales Amount]],0)</f>
        <v>0.42463990049327743</v>
      </c>
    </row>
    <row r="1119" spans="1:21" ht="18" x14ac:dyDescent="0.35">
      <c r="A1119" s="21" t="s">
        <v>1226</v>
      </c>
      <c r="B1119" s="36">
        <v>45839</v>
      </c>
      <c r="C1119" s="22">
        <f>YEAR(Table1_1[[#This Row],[Order Date]])</f>
        <v>2025</v>
      </c>
      <c r="D1119" s="22" t="str">
        <f>TEXT(Table1_1[[#This Row],[Order Date]],"MMMM")</f>
        <v>July</v>
      </c>
      <c r="E1119" s="22" t="s">
        <v>36</v>
      </c>
      <c r="F1119" s="22" t="s">
        <v>44</v>
      </c>
      <c r="G1119" s="22" t="s">
        <v>101</v>
      </c>
      <c r="H1119" s="22" t="s">
        <v>29</v>
      </c>
      <c r="I1119" s="22" t="s">
        <v>30</v>
      </c>
      <c r="J1119" s="22" t="s">
        <v>31</v>
      </c>
      <c r="K1119" s="22" t="s">
        <v>32</v>
      </c>
      <c r="L1119" s="22" t="s">
        <v>57</v>
      </c>
      <c r="M1119" s="22" t="s">
        <v>24</v>
      </c>
      <c r="N1119" s="22">
        <v>20</v>
      </c>
      <c r="O1119" s="26">
        <v>38990</v>
      </c>
      <c r="P1119" s="22">
        <v>0.1</v>
      </c>
      <c r="Q1119" s="30">
        <v>25400</v>
      </c>
      <c r="R1119" s="33">
        <f>Table1_1[[#This Row],[Units Sold]]*Table1_1[[#This Row],[Unit Price]]*1-Table1_1[[#This Row],[Discount]]</f>
        <v>779799.9</v>
      </c>
      <c r="S1119" s="33">
        <f>Table1_1[[#This Row],[Units Sold]]*Table1_1[[#This Row],[Unit Cost]]</f>
        <v>508000</v>
      </c>
      <c r="T1119" s="33">
        <f>Table1_1[[#This Row],[Sales Amount]]-S1119</f>
        <v>271799.90000000002</v>
      </c>
      <c r="U1119" s="32">
        <f>IFERROR(Table1_1[[#This Row],[Profit/loss]]/Table1_1[[#This Row],[Sales Amount]],0)</f>
        <v>0.34855082694932382</v>
      </c>
    </row>
    <row r="1120" spans="1:21" ht="18" x14ac:dyDescent="0.35">
      <c r="A1120" s="21" t="s">
        <v>1227</v>
      </c>
      <c r="B1120" s="36">
        <v>45839</v>
      </c>
      <c r="C1120" s="22">
        <f>YEAR(Table1_1[[#This Row],[Order Date]])</f>
        <v>2025</v>
      </c>
      <c r="D1120" s="22" t="str">
        <f>TEXT(Table1_1[[#This Row],[Order Date]],"MMMM")</f>
        <v>July</v>
      </c>
      <c r="E1120" s="22" t="s">
        <v>16</v>
      </c>
      <c r="F1120" s="22" t="s">
        <v>126</v>
      </c>
      <c r="G1120" s="22" t="s">
        <v>101</v>
      </c>
      <c r="H1120" s="22" t="s">
        <v>19</v>
      </c>
      <c r="I1120" s="22" t="s">
        <v>70</v>
      </c>
      <c r="J1120" s="22" t="s">
        <v>71</v>
      </c>
      <c r="K1120" s="22" t="s">
        <v>72</v>
      </c>
      <c r="L1120" s="22" t="s">
        <v>33</v>
      </c>
      <c r="M1120" s="22" t="s">
        <v>34</v>
      </c>
      <c r="N1120" s="22">
        <v>4</v>
      </c>
      <c r="O1120" s="26">
        <v>3499</v>
      </c>
      <c r="P1120" s="22">
        <v>0.12</v>
      </c>
      <c r="Q1120" s="30">
        <v>2190</v>
      </c>
      <c r="R1120" s="33">
        <f>Table1_1[[#This Row],[Units Sold]]*Table1_1[[#This Row],[Unit Price]]*1-Table1_1[[#This Row],[Discount]]</f>
        <v>13995.88</v>
      </c>
      <c r="S1120" s="33">
        <f>Table1_1[[#This Row],[Units Sold]]*Table1_1[[#This Row],[Unit Cost]]</f>
        <v>8760</v>
      </c>
      <c r="T1120" s="33">
        <f>Table1_1[[#This Row],[Sales Amount]]-S1120</f>
        <v>5235.8799999999992</v>
      </c>
      <c r="U1120" s="32">
        <f>IFERROR(Table1_1[[#This Row],[Profit/loss]]/Table1_1[[#This Row],[Sales Amount]],0)</f>
        <v>0.37410152130484109</v>
      </c>
    </row>
    <row r="1121" spans="1:21" ht="18" x14ac:dyDescent="0.35">
      <c r="A1121" s="21" t="s">
        <v>1228</v>
      </c>
      <c r="B1121" s="36">
        <v>45839</v>
      </c>
      <c r="C1121" s="22">
        <f>YEAR(Table1_1[[#This Row],[Order Date]])</f>
        <v>2025</v>
      </c>
      <c r="D1121" s="22" t="str">
        <f>TEXT(Table1_1[[#This Row],[Order Date]],"MMMM")</f>
        <v>July</v>
      </c>
      <c r="E1121" s="22" t="s">
        <v>26</v>
      </c>
      <c r="F1121" s="22" t="s">
        <v>27</v>
      </c>
      <c r="G1121" s="22" t="s">
        <v>38</v>
      </c>
      <c r="H1121" s="22" t="s">
        <v>29</v>
      </c>
      <c r="I1121" s="22" t="s">
        <v>20</v>
      </c>
      <c r="J1121" s="22" t="s">
        <v>21</v>
      </c>
      <c r="K1121" s="22" t="s">
        <v>115</v>
      </c>
      <c r="L1121" s="22" t="s">
        <v>23</v>
      </c>
      <c r="M1121" s="22" t="s">
        <v>24</v>
      </c>
      <c r="N1121" s="22">
        <v>2</v>
      </c>
      <c r="O1121" s="26">
        <v>6499</v>
      </c>
      <c r="P1121" s="22">
        <v>0.08</v>
      </c>
      <c r="Q1121" s="30">
        <v>4210</v>
      </c>
      <c r="R1121" s="33">
        <f>Table1_1[[#This Row],[Units Sold]]*Table1_1[[#This Row],[Unit Price]]*1-Table1_1[[#This Row],[Discount]]</f>
        <v>12997.92</v>
      </c>
      <c r="S1121" s="33">
        <f>Table1_1[[#This Row],[Units Sold]]*Table1_1[[#This Row],[Unit Cost]]</f>
        <v>8420</v>
      </c>
      <c r="T1121" s="33">
        <f>Table1_1[[#This Row],[Sales Amount]]-S1121</f>
        <v>4577.92</v>
      </c>
      <c r="U1121" s="32">
        <f>IFERROR(Table1_1[[#This Row],[Profit/loss]]/Table1_1[[#This Row],[Sales Amount]],0)</f>
        <v>0.35220404495488511</v>
      </c>
    </row>
    <row r="1122" spans="1:21" ht="18" x14ac:dyDescent="0.35">
      <c r="A1122" s="21" t="s">
        <v>1229</v>
      </c>
      <c r="B1122" s="36">
        <v>45839</v>
      </c>
      <c r="C1122" s="22">
        <f>YEAR(Table1_1[[#This Row],[Order Date]])</f>
        <v>2025</v>
      </c>
      <c r="D1122" s="22" t="str">
        <f>TEXT(Table1_1[[#This Row],[Order Date]],"MMMM")</f>
        <v>July</v>
      </c>
      <c r="E1122" s="22" t="s">
        <v>48</v>
      </c>
      <c r="F1122" s="22" t="s">
        <v>136</v>
      </c>
      <c r="G1122" s="22" t="s">
        <v>84</v>
      </c>
      <c r="H1122" s="22" t="s">
        <v>29</v>
      </c>
      <c r="I1122" s="22" t="s">
        <v>70</v>
      </c>
      <c r="J1122" s="22" t="s">
        <v>71</v>
      </c>
      <c r="K1122" s="22" t="s">
        <v>72</v>
      </c>
      <c r="L1122" s="22" t="s">
        <v>33</v>
      </c>
      <c r="M1122" s="22" t="s">
        <v>66</v>
      </c>
      <c r="N1122" s="22">
        <v>22</v>
      </c>
      <c r="O1122" s="26">
        <v>3499</v>
      </c>
      <c r="P1122" s="22">
        <v>0.15</v>
      </c>
      <c r="Q1122" s="30">
        <v>2190</v>
      </c>
      <c r="R1122" s="33">
        <f>Table1_1[[#This Row],[Units Sold]]*Table1_1[[#This Row],[Unit Price]]*1-Table1_1[[#This Row],[Discount]]</f>
        <v>76977.850000000006</v>
      </c>
      <c r="S1122" s="33">
        <f>Table1_1[[#This Row],[Units Sold]]*Table1_1[[#This Row],[Unit Cost]]</f>
        <v>48180</v>
      </c>
      <c r="T1122" s="33">
        <f>Table1_1[[#This Row],[Sales Amount]]-S1122</f>
        <v>28797.850000000006</v>
      </c>
      <c r="U1122" s="32">
        <f>IFERROR(Table1_1[[#This Row],[Profit/loss]]/Table1_1[[#This Row],[Sales Amount]],0)</f>
        <v>0.37410566805905859</v>
      </c>
    </row>
    <row r="1123" spans="1:21" ht="18" x14ac:dyDescent="0.35">
      <c r="A1123" s="21" t="s">
        <v>1230</v>
      </c>
      <c r="B1123" s="36">
        <v>45840</v>
      </c>
      <c r="C1123" s="22">
        <f>YEAR(Table1_1[[#This Row],[Order Date]])</f>
        <v>2025</v>
      </c>
      <c r="D1123" s="22" t="str">
        <f>TEXT(Table1_1[[#This Row],[Order Date]],"MMMM")</f>
        <v>July</v>
      </c>
      <c r="E1123" s="22" t="s">
        <v>16</v>
      </c>
      <c r="F1123" s="22" t="s">
        <v>17</v>
      </c>
      <c r="G1123" s="22" t="s">
        <v>50</v>
      </c>
      <c r="H1123" s="22" t="s">
        <v>29</v>
      </c>
      <c r="I1123" s="22" t="s">
        <v>70</v>
      </c>
      <c r="J1123" s="22" t="s">
        <v>71</v>
      </c>
      <c r="K1123" s="22" t="s">
        <v>72</v>
      </c>
      <c r="L1123" s="22" t="s">
        <v>33</v>
      </c>
      <c r="M1123" s="22" t="s">
        <v>24</v>
      </c>
      <c r="N1123" s="22">
        <v>14</v>
      </c>
      <c r="O1123" s="26">
        <v>3499</v>
      </c>
      <c r="P1123" s="22">
        <v>0.05</v>
      </c>
      <c r="Q1123" s="30">
        <v>2190</v>
      </c>
      <c r="R1123" s="33">
        <f>Table1_1[[#This Row],[Units Sold]]*Table1_1[[#This Row],[Unit Price]]*1-Table1_1[[#This Row],[Discount]]</f>
        <v>48985.95</v>
      </c>
      <c r="S1123" s="33">
        <f>Table1_1[[#This Row],[Units Sold]]*Table1_1[[#This Row],[Unit Cost]]</f>
        <v>30660</v>
      </c>
      <c r="T1123" s="33">
        <f>Table1_1[[#This Row],[Sales Amount]]-S1123</f>
        <v>18325.949999999997</v>
      </c>
      <c r="U1123" s="32">
        <f>IFERROR(Table1_1[[#This Row],[Profit/loss]]/Table1_1[[#This Row],[Sales Amount]],0)</f>
        <v>0.37410624883257337</v>
      </c>
    </row>
    <row r="1124" spans="1:21" ht="18" x14ac:dyDescent="0.35">
      <c r="A1124" s="21" t="s">
        <v>1231</v>
      </c>
      <c r="B1124" s="36">
        <v>45840</v>
      </c>
      <c r="C1124" s="22">
        <f>YEAR(Table1_1[[#This Row],[Order Date]])</f>
        <v>2025</v>
      </c>
      <c r="D1124" s="22" t="str">
        <f>TEXT(Table1_1[[#This Row],[Order Date]],"MMMM")</f>
        <v>July</v>
      </c>
      <c r="E1124" s="22" t="s">
        <v>26</v>
      </c>
      <c r="F1124" s="22" t="s">
        <v>74</v>
      </c>
      <c r="G1124" s="22" t="s">
        <v>84</v>
      </c>
      <c r="H1124" s="22" t="s">
        <v>39</v>
      </c>
      <c r="I1124" s="22" t="s">
        <v>40</v>
      </c>
      <c r="J1124" s="22" t="s">
        <v>41</v>
      </c>
      <c r="K1124" s="22" t="s">
        <v>42</v>
      </c>
      <c r="L1124" s="22" t="s">
        <v>23</v>
      </c>
      <c r="M1124" s="22" t="s">
        <v>24</v>
      </c>
      <c r="N1124" s="22">
        <v>32</v>
      </c>
      <c r="O1124" s="26">
        <v>55230</v>
      </c>
      <c r="P1124" s="22">
        <v>0.18</v>
      </c>
      <c r="Q1124" s="30">
        <v>33800</v>
      </c>
      <c r="R1124" s="33">
        <f>Table1_1[[#This Row],[Units Sold]]*Table1_1[[#This Row],[Unit Price]]*1-Table1_1[[#This Row],[Discount]]</f>
        <v>1767359.82</v>
      </c>
      <c r="S1124" s="33">
        <f>Table1_1[[#This Row],[Units Sold]]*Table1_1[[#This Row],[Unit Cost]]</f>
        <v>1081600</v>
      </c>
      <c r="T1124" s="33">
        <f>Table1_1[[#This Row],[Sales Amount]]-S1124</f>
        <v>685759.82000000007</v>
      </c>
      <c r="U1124" s="32">
        <f>IFERROR(Table1_1[[#This Row],[Profit/loss]]/Table1_1[[#This Row],[Sales Amount]],0)</f>
        <v>0.38801369830847465</v>
      </c>
    </row>
    <row r="1125" spans="1:21" ht="18" x14ac:dyDescent="0.35">
      <c r="A1125" s="21" t="s">
        <v>1232</v>
      </c>
      <c r="B1125" s="36">
        <v>45840</v>
      </c>
      <c r="C1125" s="22">
        <f>YEAR(Table1_1[[#This Row],[Order Date]])</f>
        <v>2025</v>
      </c>
      <c r="D1125" s="22" t="str">
        <f>TEXT(Table1_1[[#This Row],[Order Date]],"MMMM")</f>
        <v>July</v>
      </c>
      <c r="E1125" s="22" t="s">
        <v>82</v>
      </c>
      <c r="F1125" s="22" t="s">
        <v>83</v>
      </c>
      <c r="G1125" s="22" t="s">
        <v>60</v>
      </c>
      <c r="H1125" s="22" t="s">
        <v>19</v>
      </c>
      <c r="I1125" s="22" t="s">
        <v>40</v>
      </c>
      <c r="J1125" s="22" t="s">
        <v>76</v>
      </c>
      <c r="K1125" s="22" t="s">
        <v>1626</v>
      </c>
      <c r="L1125" s="22" t="s">
        <v>33</v>
      </c>
      <c r="M1125" s="22" t="s">
        <v>66</v>
      </c>
      <c r="N1125" s="22">
        <v>1</v>
      </c>
      <c r="O1125" s="26">
        <v>25999</v>
      </c>
      <c r="P1125" s="22">
        <v>0.1</v>
      </c>
      <c r="Q1125" s="30">
        <v>17800</v>
      </c>
      <c r="R1125" s="33">
        <f>Table1_1[[#This Row],[Units Sold]]*Table1_1[[#This Row],[Unit Price]]*1-Table1_1[[#This Row],[Discount]]</f>
        <v>25998.9</v>
      </c>
      <c r="S1125" s="33">
        <f>Table1_1[[#This Row],[Units Sold]]*Table1_1[[#This Row],[Unit Cost]]</f>
        <v>17800</v>
      </c>
      <c r="T1125" s="33">
        <f>Table1_1[[#This Row],[Sales Amount]]-S1125</f>
        <v>8198.9000000000015</v>
      </c>
      <c r="U1125" s="32">
        <f>IFERROR(Table1_1[[#This Row],[Profit/loss]]/Table1_1[[#This Row],[Sales Amount]],0)</f>
        <v>0.31535564966210111</v>
      </c>
    </row>
    <row r="1126" spans="1:21" ht="18" x14ac:dyDescent="0.35">
      <c r="A1126" s="21" t="s">
        <v>1233</v>
      </c>
      <c r="B1126" s="36">
        <v>45841</v>
      </c>
      <c r="C1126" s="22">
        <f>YEAR(Table1_1[[#This Row],[Order Date]])</f>
        <v>2025</v>
      </c>
      <c r="D1126" s="22" t="str">
        <f>TEXT(Table1_1[[#This Row],[Order Date]],"MMMM")</f>
        <v>July</v>
      </c>
      <c r="E1126" s="22" t="s">
        <v>16</v>
      </c>
      <c r="F1126" s="22" t="s">
        <v>98</v>
      </c>
      <c r="G1126" s="22" t="s">
        <v>28</v>
      </c>
      <c r="H1126" s="22" t="s">
        <v>39</v>
      </c>
      <c r="I1126" s="22" t="s">
        <v>20</v>
      </c>
      <c r="J1126" s="22" t="s">
        <v>21</v>
      </c>
      <c r="K1126" s="22" t="s">
        <v>115</v>
      </c>
      <c r="L1126" s="22" t="s">
        <v>57</v>
      </c>
      <c r="M1126" s="22" t="s">
        <v>66</v>
      </c>
      <c r="N1126" s="22">
        <v>28</v>
      </c>
      <c r="O1126" s="26">
        <v>6499</v>
      </c>
      <c r="P1126" s="22">
        <v>0.05</v>
      </c>
      <c r="Q1126" s="30">
        <v>4210</v>
      </c>
      <c r="R1126" s="33">
        <f>Table1_1[[#This Row],[Units Sold]]*Table1_1[[#This Row],[Unit Price]]*1-Table1_1[[#This Row],[Discount]]</f>
        <v>181971.95</v>
      </c>
      <c r="S1126" s="33">
        <f>Table1_1[[#This Row],[Units Sold]]*Table1_1[[#This Row],[Unit Cost]]</f>
        <v>117880</v>
      </c>
      <c r="T1126" s="33">
        <f>Table1_1[[#This Row],[Sales Amount]]-S1126</f>
        <v>64091.950000000012</v>
      </c>
      <c r="U1126" s="32">
        <f>IFERROR(Table1_1[[#This Row],[Profit/loss]]/Table1_1[[#This Row],[Sales Amount]],0)</f>
        <v>0.35220785401266519</v>
      </c>
    </row>
    <row r="1127" spans="1:21" ht="18" x14ac:dyDescent="0.35">
      <c r="A1127" s="21" t="s">
        <v>1234</v>
      </c>
      <c r="B1127" s="36">
        <v>45842</v>
      </c>
      <c r="C1127" s="22">
        <f>YEAR(Table1_1[[#This Row],[Order Date]])</f>
        <v>2025</v>
      </c>
      <c r="D1127" s="22" t="str">
        <f>TEXT(Table1_1[[#This Row],[Order Date]],"MMMM")</f>
        <v>July</v>
      </c>
      <c r="E1127" s="22" t="s">
        <v>16</v>
      </c>
      <c r="F1127" s="22" t="s">
        <v>98</v>
      </c>
      <c r="G1127" s="22" t="s">
        <v>38</v>
      </c>
      <c r="H1127" s="22" t="s">
        <v>29</v>
      </c>
      <c r="I1127" s="22" t="s">
        <v>54</v>
      </c>
      <c r="J1127" s="22" t="s">
        <v>90</v>
      </c>
      <c r="K1127" s="22" t="s">
        <v>1631</v>
      </c>
      <c r="L1127" s="22" t="s">
        <v>33</v>
      </c>
      <c r="M1127" s="22" t="s">
        <v>66</v>
      </c>
      <c r="N1127" s="22">
        <v>38</v>
      </c>
      <c r="O1127" s="26">
        <v>29010</v>
      </c>
      <c r="P1127" s="22">
        <v>0.2</v>
      </c>
      <c r="Q1127" s="30">
        <v>19150</v>
      </c>
      <c r="R1127" s="33">
        <f>Table1_1[[#This Row],[Units Sold]]*Table1_1[[#This Row],[Unit Price]]*1-Table1_1[[#This Row],[Discount]]</f>
        <v>1102379.8</v>
      </c>
      <c r="S1127" s="33">
        <f>Table1_1[[#This Row],[Units Sold]]*Table1_1[[#This Row],[Unit Cost]]</f>
        <v>727700</v>
      </c>
      <c r="T1127" s="33">
        <f>Table1_1[[#This Row],[Sales Amount]]-S1127</f>
        <v>374679.80000000005</v>
      </c>
      <c r="U1127" s="32">
        <f>IFERROR(Table1_1[[#This Row],[Profit/loss]]/Table1_1[[#This Row],[Sales Amount]],0)</f>
        <v>0.33988267927260646</v>
      </c>
    </row>
    <row r="1128" spans="1:21" ht="18" x14ac:dyDescent="0.35">
      <c r="A1128" s="21" t="s">
        <v>1235</v>
      </c>
      <c r="B1128" s="36">
        <v>45843</v>
      </c>
      <c r="C1128" s="22">
        <f>YEAR(Table1_1[[#This Row],[Order Date]])</f>
        <v>2025</v>
      </c>
      <c r="D1128" s="22" t="str">
        <f>TEXT(Table1_1[[#This Row],[Order Date]],"MMMM")</f>
        <v>July</v>
      </c>
      <c r="E1128" s="22" t="s">
        <v>26</v>
      </c>
      <c r="F1128" s="22" t="s">
        <v>163</v>
      </c>
      <c r="G1128" s="22" t="s">
        <v>75</v>
      </c>
      <c r="H1128" s="22" t="s">
        <v>39</v>
      </c>
      <c r="I1128" s="22" t="s">
        <v>20</v>
      </c>
      <c r="J1128" s="22" t="s">
        <v>45</v>
      </c>
      <c r="K1128" s="22" t="s">
        <v>196</v>
      </c>
      <c r="L1128" s="22" t="s">
        <v>33</v>
      </c>
      <c r="M1128" s="22" t="s">
        <v>24</v>
      </c>
      <c r="N1128" s="22">
        <v>31</v>
      </c>
      <c r="O1128" s="26">
        <v>2499</v>
      </c>
      <c r="P1128" s="22">
        <v>0.05</v>
      </c>
      <c r="Q1128" s="30">
        <v>1510</v>
      </c>
      <c r="R1128" s="33">
        <f>Table1_1[[#This Row],[Units Sold]]*Table1_1[[#This Row],[Unit Price]]*1-Table1_1[[#This Row],[Discount]]</f>
        <v>77468.95</v>
      </c>
      <c r="S1128" s="33">
        <f>Table1_1[[#This Row],[Units Sold]]*Table1_1[[#This Row],[Unit Cost]]</f>
        <v>46810</v>
      </c>
      <c r="T1128" s="33">
        <f>Table1_1[[#This Row],[Sales Amount]]-S1128</f>
        <v>30658.949999999997</v>
      </c>
      <c r="U1128" s="32">
        <f>IFERROR(Table1_1[[#This Row],[Profit/loss]]/Table1_1[[#This Row],[Sales Amount]],0)</f>
        <v>0.39575791333172838</v>
      </c>
    </row>
    <row r="1129" spans="1:21" ht="18" x14ac:dyDescent="0.35">
      <c r="A1129" s="21" t="s">
        <v>1236</v>
      </c>
      <c r="B1129" s="36">
        <v>45843</v>
      </c>
      <c r="C1129" s="22">
        <f>YEAR(Table1_1[[#This Row],[Order Date]])</f>
        <v>2025</v>
      </c>
      <c r="D1129" s="22" t="str">
        <f>TEXT(Table1_1[[#This Row],[Order Date]],"MMMM")</f>
        <v>July</v>
      </c>
      <c r="E1129" s="22" t="s">
        <v>26</v>
      </c>
      <c r="F1129" s="22" t="s">
        <v>74</v>
      </c>
      <c r="G1129" s="22" t="s">
        <v>60</v>
      </c>
      <c r="H1129" s="22" t="s">
        <v>29</v>
      </c>
      <c r="I1129" s="22" t="s">
        <v>30</v>
      </c>
      <c r="J1129" s="22" t="s">
        <v>31</v>
      </c>
      <c r="K1129" s="22" t="s">
        <v>85</v>
      </c>
      <c r="L1129" s="22" t="s">
        <v>57</v>
      </c>
      <c r="M1129" s="22" t="s">
        <v>24</v>
      </c>
      <c r="N1129" s="22">
        <v>7</v>
      </c>
      <c r="O1129" s="26">
        <v>43500</v>
      </c>
      <c r="P1129" s="22">
        <v>0.05</v>
      </c>
      <c r="Q1129" s="30">
        <v>29520</v>
      </c>
      <c r="R1129" s="33">
        <f>Table1_1[[#This Row],[Units Sold]]*Table1_1[[#This Row],[Unit Price]]*1-Table1_1[[#This Row],[Discount]]</f>
        <v>304499.95</v>
      </c>
      <c r="S1129" s="33">
        <f>Table1_1[[#This Row],[Units Sold]]*Table1_1[[#This Row],[Unit Cost]]</f>
        <v>206640</v>
      </c>
      <c r="T1129" s="33">
        <f>Table1_1[[#This Row],[Sales Amount]]-S1129</f>
        <v>97859.950000000012</v>
      </c>
      <c r="U1129" s="32">
        <f>IFERROR(Table1_1[[#This Row],[Profit/loss]]/Table1_1[[#This Row],[Sales Amount]],0)</f>
        <v>0.32137919891284056</v>
      </c>
    </row>
    <row r="1130" spans="1:21" ht="18" x14ac:dyDescent="0.35">
      <c r="A1130" s="21" t="s">
        <v>1237</v>
      </c>
      <c r="B1130" s="36">
        <v>45843</v>
      </c>
      <c r="C1130" s="22">
        <f>YEAR(Table1_1[[#This Row],[Order Date]])</f>
        <v>2025</v>
      </c>
      <c r="D1130" s="22" t="str">
        <f>TEXT(Table1_1[[#This Row],[Order Date]],"MMMM")</f>
        <v>July</v>
      </c>
      <c r="E1130" s="22" t="s">
        <v>48</v>
      </c>
      <c r="F1130" s="22" t="s">
        <v>136</v>
      </c>
      <c r="G1130" s="22" t="s">
        <v>28</v>
      </c>
      <c r="H1130" s="22" t="s">
        <v>39</v>
      </c>
      <c r="I1130" s="22" t="s">
        <v>20</v>
      </c>
      <c r="J1130" s="22" t="s">
        <v>45</v>
      </c>
      <c r="K1130" s="22" t="s">
        <v>1618</v>
      </c>
      <c r="L1130" s="22" t="s">
        <v>57</v>
      </c>
      <c r="M1130" s="22" t="s">
        <v>78</v>
      </c>
      <c r="N1130" s="22">
        <v>33</v>
      </c>
      <c r="O1130" s="26">
        <v>1899</v>
      </c>
      <c r="P1130" s="22">
        <v>0.05</v>
      </c>
      <c r="Q1130" s="30">
        <v>1080</v>
      </c>
      <c r="R1130" s="33">
        <f>Table1_1[[#This Row],[Units Sold]]*Table1_1[[#This Row],[Unit Price]]*1-Table1_1[[#This Row],[Discount]]</f>
        <v>62666.95</v>
      </c>
      <c r="S1130" s="33">
        <f>Table1_1[[#This Row],[Units Sold]]*Table1_1[[#This Row],[Unit Cost]]</f>
        <v>35640</v>
      </c>
      <c r="T1130" s="33">
        <f>Table1_1[[#This Row],[Sales Amount]]-S1130</f>
        <v>27026.949999999997</v>
      </c>
      <c r="U1130" s="32">
        <f>IFERROR(Table1_1[[#This Row],[Profit/loss]]/Table1_1[[#This Row],[Sales Amount]],0)</f>
        <v>0.43127916708887215</v>
      </c>
    </row>
    <row r="1131" spans="1:21" ht="18" x14ac:dyDescent="0.35">
      <c r="A1131" s="21" t="s">
        <v>1238</v>
      </c>
      <c r="B1131" s="36">
        <v>45844</v>
      </c>
      <c r="C1131" s="22">
        <f>YEAR(Table1_1[[#This Row],[Order Date]])</f>
        <v>2025</v>
      </c>
      <c r="D1131" s="22" t="str">
        <f>TEXT(Table1_1[[#This Row],[Order Date]],"MMMM")</f>
        <v>July</v>
      </c>
      <c r="E1131" s="22" t="s">
        <v>82</v>
      </c>
      <c r="F1131" s="22" t="s">
        <v>100</v>
      </c>
      <c r="G1131" s="22" t="s">
        <v>60</v>
      </c>
      <c r="H1131" s="22" t="s">
        <v>29</v>
      </c>
      <c r="I1131" s="22" t="s">
        <v>70</v>
      </c>
      <c r="J1131" s="22" t="s">
        <v>71</v>
      </c>
      <c r="K1131" s="22" t="s">
        <v>80</v>
      </c>
      <c r="L1131" s="22" t="s">
        <v>33</v>
      </c>
      <c r="M1131" s="22" t="s">
        <v>24</v>
      </c>
      <c r="N1131" s="22">
        <v>33</v>
      </c>
      <c r="O1131" s="26">
        <v>1299</v>
      </c>
      <c r="P1131" s="22">
        <v>0.1</v>
      </c>
      <c r="Q1131" s="30">
        <v>720</v>
      </c>
      <c r="R1131" s="33">
        <f>Table1_1[[#This Row],[Units Sold]]*Table1_1[[#This Row],[Unit Price]]*1-Table1_1[[#This Row],[Discount]]</f>
        <v>42866.9</v>
      </c>
      <c r="S1131" s="33">
        <f>Table1_1[[#This Row],[Units Sold]]*Table1_1[[#This Row],[Unit Cost]]</f>
        <v>23760</v>
      </c>
      <c r="T1131" s="33">
        <f>Table1_1[[#This Row],[Sales Amount]]-S1131</f>
        <v>19106.900000000001</v>
      </c>
      <c r="U1131" s="32">
        <f>IFERROR(Table1_1[[#This Row],[Profit/loss]]/Table1_1[[#This Row],[Sales Amount]],0)</f>
        <v>0.44572618967081828</v>
      </c>
    </row>
    <row r="1132" spans="1:21" ht="18" x14ac:dyDescent="0.35">
      <c r="A1132" s="21" t="s">
        <v>1239</v>
      </c>
      <c r="B1132" s="36">
        <v>45844</v>
      </c>
      <c r="C1132" s="22">
        <f>YEAR(Table1_1[[#This Row],[Order Date]])</f>
        <v>2025</v>
      </c>
      <c r="D1132" s="22" t="str">
        <f>TEXT(Table1_1[[#This Row],[Order Date]],"MMMM")</f>
        <v>July</v>
      </c>
      <c r="E1132" s="22" t="s">
        <v>82</v>
      </c>
      <c r="F1132" s="22" t="s">
        <v>87</v>
      </c>
      <c r="G1132" s="22" t="s">
        <v>60</v>
      </c>
      <c r="H1132" s="22" t="s">
        <v>39</v>
      </c>
      <c r="I1132" s="22" t="s">
        <v>70</v>
      </c>
      <c r="J1132" s="22" t="s">
        <v>71</v>
      </c>
      <c r="K1132" s="22" t="s">
        <v>88</v>
      </c>
      <c r="L1132" s="22" t="s">
        <v>23</v>
      </c>
      <c r="M1132" s="22" t="s">
        <v>34</v>
      </c>
      <c r="N1132" s="22">
        <v>17</v>
      </c>
      <c r="O1132" s="26">
        <v>999</v>
      </c>
      <c r="P1132" s="22">
        <v>0.18</v>
      </c>
      <c r="Q1132" s="30">
        <v>540</v>
      </c>
      <c r="R1132" s="33">
        <f>Table1_1[[#This Row],[Units Sold]]*Table1_1[[#This Row],[Unit Price]]*1-Table1_1[[#This Row],[Discount]]</f>
        <v>16982.82</v>
      </c>
      <c r="S1132" s="33">
        <f>Table1_1[[#This Row],[Units Sold]]*Table1_1[[#This Row],[Unit Cost]]</f>
        <v>9180</v>
      </c>
      <c r="T1132" s="33">
        <f>Table1_1[[#This Row],[Sales Amount]]-S1132</f>
        <v>7802.82</v>
      </c>
      <c r="U1132" s="32">
        <f>IFERROR(Table1_1[[#This Row],[Profit/loss]]/Table1_1[[#This Row],[Sales Amount]],0)</f>
        <v>0.45945373029920827</v>
      </c>
    </row>
    <row r="1133" spans="1:21" ht="18" x14ac:dyDescent="0.35">
      <c r="A1133" s="21" t="s">
        <v>1240</v>
      </c>
      <c r="B1133" s="36">
        <v>45845</v>
      </c>
      <c r="C1133" s="22">
        <f>YEAR(Table1_1[[#This Row],[Order Date]])</f>
        <v>2025</v>
      </c>
      <c r="D1133" s="22" t="str">
        <f>TEXT(Table1_1[[#This Row],[Order Date]],"MMMM")</f>
        <v>July</v>
      </c>
      <c r="E1133" s="22" t="s">
        <v>82</v>
      </c>
      <c r="F1133" s="22" t="s">
        <v>100</v>
      </c>
      <c r="G1133" s="22" t="s">
        <v>75</v>
      </c>
      <c r="H1133" s="22" t="s">
        <v>29</v>
      </c>
      <c r="I1133" s="22" t="s">
        <v>54</v>
      </c>
      <c r="J1133" s="22" t="s">
        <v>90</v>
      </c>
      <c r="K1133" s="22" t="s">
        <v>1621</v>
      </c>
      <c r="L1133" s="22" t="s">
        <v>23</v>
      </c>
      <c r="M1133" s="22" t="s">
        <v>24</v>
      </c>
      <c r="N1133" s="22">
        <v>36</v>
      </c>
      <c r="O1133" s="26">
        <v>31990</v>
      </c>
      <c r="P1133" s="22">
        <v>0.1</v>
      </c>
      <c r="Q1133" s="30">
        <v>21800</v>
      </c>
      <c r="R1133" s="33">
        <f>Table1_1[[#This Row],[Units Sold]]*Table1_1[[#This Row],[Unit Price]]*1-Table1_1[[#This Row],[Discount]]</f>
        <v>1151639.8999999999</v>
      </c>
      <c r="S1133" s="33">
        <f>Table1_1[[#This Row],[Units Sold]]*Table1_1[[#This Row],[Unit Cost]]</f>
        <v>784800</v>
      </c>
      <c r="T1133" s="33">
        <f>Table1_1[[#This Row],[Sales Amount]]-S1133</f>
        <v>366839.89999999991</v>
      </c>
      <c r="U1133" s="32">
        <f>IFERROR(Table1_1[[#This Row],[Profit/loss]]/Table1_1[[#This Row],[Sales Amount]],0)</f>
        <v>0.31853698365261568</v>
      </c>
    </row>
    <row r="1134" spans="1:21" ht="18" x14ac:dyDescent="0.35">
      <c r="A1134" s="21" t="s">
        <v>1241</v>
      </c>
      <c r="B1134" s="36">
        <v>45845</v>
      </c>
      <c r="C1134" s="22">
        <f>YEAR(Table1_1[[#This Row],[Order Date]])</f>
        <v>2025</v>
      </c>
      <c r="D1134" s="22" t="str">
        <f>TEXT(Table1_1[[#This Row],[Order Date]],"MMMM")</f>
        <v>July</v>
      </c>
      <c r="E1134" s="22" t="s">
        <v>26</v>
      </c>
      <c r="F1134" s="22" t="s">
        <v>53</v>
      </c>
      <c r="G1134" s="22" t="s">
        <v>28</v>
      </c>
      <c r="H1134" s="22" t="s">
        <v>19</v>
      </c>
      <c r="I1134" s="22" t="s">
        <v>20</v>
      </c>
      <c r="J1134" s="22" t="s">
        <v>21</v>
      </c>
      <c r="K1134" s="22" t="s">
        <v>22</v>
      </c>
      <c r="L1134" s="22" t="s">
        <v>23</v>
      </c>
      <c r="M1134" s="22" t="s">
        <v>24</v>
      </c>
      <c r="N1134" s="22">
        <v>25</v>
      </c>
      <c r="O1134" s="26">
        <v>4499</v>
      </c>
      <c r="P1134" s="22">
        <v>0.1</v>
      </c>
      <c r="Q1134" s="30">
        <v>2910</v>
      </c>
      <c r="R1134" s="33">
        <f>Table1_1[[#This Row],[Units Sold]]*Table1_1[[#This Row],[Unit Price]]*1-Table1_1[[#This Row],[Discount]]</f>
        <v>112474.9</v>
      </c>
      <c r="S1134" s="33">
        <f>Table1_1[[#This Row],[Units Sold]]*Table1_1[[#This Row],[Unit Cost]]</f>
        <v>72750</v>
      </c>
      <c r="T1134" s="33">
        <f>Table1_1[[#This Row],[Sales Amount]]-S1134</f>
        <v>39724.899999999994</v>
      </c>
      <c r="U1134" s="32">
        <f>IFERROR(Table1_1[[#This Row],[Profit/loss]]/Table1_1[[#This Row],[Sales Amount]],0)</f>
        <v>0.35318902261749063</v>
      </c>
    </row>
    <row r="1135" spans="1:21" ht="18" x14ac:dyDescent="0.35">
      <c r="A1135" s="21" t="s">
        <v>1242</v>
      </c>
      <c r="B1135" s="36">
        <v>45846</v>
      </c>
      <c r="C1135" s="22">
        <f>YEAR(Table1_1[[#This Row],[Order Date]])</f>
        <v>2025</v>
      </c>
      <c r="D1135" s="22" t="str">
        <f>TEXT(Table1_1[[#This Row],[Order Date]],"MMMM")</f>
        <v>July</v>
      </c>
      <c r="E1135" s="22" t="s">
        <v>48</v>
      </c>
      <c r="F1135" s="22" t="s">
        <v>136</v>
      </c>
      <c r="G1135" s="22" t="s">
        <v>28</v>
      </c>
      <c r="H1135" s="22" t="s">
        <v>19</v>
      </c>
      <c r="I1135" s="22" t="s">
        <v>70</v>
      </c>
      <c r="J1135" s="22" t="s">
        <v>71</v>
      </c>
      <c r="K1135" s="22" t="s">
        <v>80</v>
      </c>
      <c r="L1135" s="22" t="s">
        <v>23</v>
      </c>
      <c r="M1135" s="22" t="s">
        <v>24</v>
      </c>
      <c r="N1135" s="22">
        <v>22</v>
      </c>
      <c r="O1135" s="26">
        <v>1299</v>
      </c>
      <c r="P1135" s="22">
        <v>0.05</v>
      </c>
      <c r="Q1135" s="30">
        <v>720</v>
      </c>
      <c r="R1135" s="33">
        <f>Table1_1[[#This Row],[Units Sold]]*Table1_1[[#This Row],[Unit Price]]*1-Table1_1[[#This Row],[Discount]]</f>
        <v>28577.95</v>
      </c>
      <c r="S1135" s="33">
        <f>Table1_1[[#This Row],[Units Sold]]*Table1_1[[#This Row],[Unit Cost]]</f>
        <v>15840</v>
      </c>
      <c r="T1135" s="33">
        <f>Table1_1[[#This Row],[Sales Amount]]-S1135</f>
        <v>12737.95</v>
      </c>
      <c r="U1135" s="32">
        <f>IFERROR(Table1_1[[#This Row],[Profit/loss]]/Table1_1[[#This Row],[Sales Amount]],0)</f>
        <v>0.44572651292342524</v>
      </c>
    </row>
    <row r="1136" spans="1:21" ht="18" x14ac:dyDescent="0.35">
      <c r="A1136" s="21" t="s">
        <v>1243</v>
      </c>
      <c r="B1136" s="36">
        <v>45846</v>
      </c>
      <c r="C1136" s="22">
        <f>YEAR(Table1_1[[#This Row],[Order Date]])</f>
        <v>2025</v>
      </c>
      <c r="D1136" s="22" t="str">
        <f>TEXT(Table1_1[[#This Row],[Order Date]],"MMMM")</f>
        <v>July</v>
      </c>
      <c r="E1136" s="22" t="s">
        <v>26</v>
      </c>
      <c r="F1136" s="22" t="s">
        <v>27</v>
      </c>
      <c r="G1136" s="22" t="s">
        <v>105</v>
      </c>
      <c r="H1136" s="22" t="s">
        <v>29</v>
      </c>
      <c r="I1136" s="22" t="s">
        <v>70</v>
      </c>
      <c r="J1136" s="22" t="s">
        <v>71</v>
      </c>
      <c r="K1136" s="22" t="s">
        <v>88</v>
      </c>
      <c r="L1136" s="22" t="s">
        <v>23</v>
      </c>
      <c r="M1136" s="22" t="s">
        <v>24</v>
      </c>
      <c r="N1136" s="22">
        <v>11</v>
      </c>
      <c r="O1136" s="26">
        <v>999</v>
      </c>
      <c r="P1136" s="22">
        <v>0.12</v>
      </c>
      <c r="Q1136" s="30">
        <v>540</v>
      </c>
      <c r="R1136" s="33">
        <f>Table1_1[[#This Row],[Units Sold]]*Table1_1[[#This Row],[Unit Price]]*1-Table1_1[[#This Row],[Discount]]</f>
        <v>10988.88</v>
      </c>
      <c r="S1136" s="33">
        <f>Table1_1[[#This Row],[Units Sold]]*Table1_1[[#This Row],[Unit Cost]]</f>
        <v>5940</v>
      </c>
      <c r="T1136" s="33">
        <f>Table1_1[[#This Row],[Sales Amount]]-S1136</f>
        <v>5048.8799999999992</v>
      </c>
      <c r="U1136" s="32">
        <f>IFERROR(Table1_1[[#This Row],[Profit/loss]]/Table1_1[[#This Row],[Sales Amount]],0)</f>
        <v>0.45945355668639565</v>
      </c>
    </row>
    <row r="1137" spans="1:21" ht="18" x14ac:dyDescent="0.35">
      <c r="A1137" s="21" t="s">
        <v>1244</v>
      </c>
      <c r="B1137" s="36">
        <v>45846</v>
      </c>
      <c r="C1137" s="22">
        <f>YEAR(Table1_1[[#This Row],[Order Date]])</f>
        <v>2025</v>
      </c>
      <c r="D1137" s="22" t="str">
        <f>TEXT(Table1_1[[#This Row],[Order Date]],"MMMM")</f>
        <v>July</v>
      </c>
      <c r="E1137" s="22" t="s">
        <v>26</v>
      </c>
      <c r="F1137" s="22" t="s">
        <v>27</v>
      </c>
      <c r="G1137" s="22" t="s">
        <v>101</v>
      </c>
      <c r="H1137" s="22" t="s">
        <v>19</v>
      </c>
      <c r="I1137" s="22" t="s">
        <v>54</v>
      </c>
      <c r="J1137" s="22" t="s">
        <v>55</v>
      </c>
      <c r="K1137" s="22" t="s">
        <v>56</v>
      </c>
      <c r="L1137" s="22" t="s">
        <v>33</v>
      </c>
      <c r="M1137" s="22" t="s">
        <v>24</v>
      </c>
      <c r="N1137" s="22">
        <v>27</v>
      </c>
      <c r="O1137" s="26">
        <v>7299</v>
      </c>
      <c r="P1137" s="22">
        <v>0.05</v>
      </c>
      <c r="Q1137" s="30">
        <v>5010</v>
      </c>
      <c r="R1137" s="33">
        <f>Table1_1[[#This Row],[Units Sold]]*Table1_1[[#This Row],[Unit Price]]*1-Table1_1[[#This Row],[Discount]]</f>
        <v>197072.95</v>
      </c>
      <c r="S1137" s="33">
        <f>Table1_1[[#This Row],[Units Sold]]*Table1_1[[#This Row],[Unit Cost]]</f>
        <v>135270</v>
      </c>
      <c r="T1137" s="33">
        <f>Table1_1[[#This Row],[Sales Amount]]-S1137</f>
        <v>61802.950000000012</v>
      </c>
      <c r="U1137" s="32">
        <f>IFERROR(Table1_1[[#This Row],[Profit/loss]]/Table1_1[[#This Row],[Sales Amount]],0)</f>
        <v>0.31360442922278275</v>
      </c>
    </row>
    <row r="1138" spans="1:21" ht="18" x14ac:dyDescent="0.35">
      <c r="A1138" s="21" t="s">
        <v>1245</v>
      </c>
      <c r="B1138" s="36">
        <v>45847</v>
      </c>
      <c r="C1138" s="22">
        <f>YEAR(Table1_1[[#This Row],[Order Date]])</f>
        <v>2025</v>
      </c>
      <c r="D1138" s="22" t="str">
        <f>TEXT(Table1_1[[#This Row],[Order Date]],"MMMM")</f>
        <v>July</v>
      </c>
      <c r="E1138" s="22" t="s">
        <v>26</v>
      </c>
      <c r="F1138" s="22" t="s">
        <v>53</v>
      </c>
      <c r="G1138" s="22" t="s">
        <v>60</v>
      </c>
      <c r="H1138" s="22" t="s">
        <v>19</v>
      </c>
      <c r="I1138" s="22" t="s">
        <v>70</v>
      </c>
      <c r="J1138" s="22" t="s">
        <v>71</v>
      </c>
      <c r="K1138" s="22" t="s">
        <v>88</v>
      </c>
      <c r="L1138" s="22" t="s">
        <v>57</v>
      </c>
      <c r="M1138" s="22" t="s">
        <v>24</v>
      </c>
      <c r="N1138" s="22">
        <v>29</v>
      </c>
      <c r="O1138" s="26">
        <v>999</v>
      </c>
      <c r="P1138" s="22">
        <v>0.1</v>
      </c>
      <c r="Q1138" s="30">
        <v>540</v>
      </c>
      <c r="R1138" s="33">
        <f>Table1_1[[#This Row],[Units Sold]]*Table1_1[[#This Row],[Unit Price]]*1-Table1_1[[#This Row],[Discount]]</f>
        <v>28970.9</v>
      </c>
      <c r="S1138" s="33">
        <f>Table1_1[[#This Row],[Units Sold]]*Table1_1[[#This Row],[Unit Cost]]</f>
        <v>15660</v>
      </c>
      <c r="T1138" s="33">
        <f>Table1_1[[#This Row],[Sales Amount]]-S1138</f>
        <v>13310.900000000001</v>
      </c>
      <c r="U1138" s="32">
        <f>IFERROR(Table1_1[[#This Row],[Profit/loss]]/Table1_1[[#This Row],[Sales Amount]],0)</f>
        <v>0.45945759365432215</v>
      </c>
    </row>
    <row r="1139" spans="1:21" ht="18" x14ac:dyDescent="0.35">
      <c r="A1139" s="21" t="s">
        <v>1246</v>
      </c>
      <c r="B1139" s="36">
        <v>45847</v>
      </c>
      <c r="C1139" s="22">
        <f>YEAR(Table1_1[[#This Row],[Order Date]])</f>
        <v>2025</v>
      </c>
      <c r="D1139" s="22" t="str">
        <f>TEXT(Table1_1[[#This Row],[Order Date]],"MMMM")</f>
        <v>July</v>
      </c>
      <c r="E1139" s="22" t="s">
        <v>48</v>
      </c>
      <c r="F1139" s="22" t="s">
        <v>136</v>
      </c>
      <c r="G1139" s="22" t="s">
        <v>75</v>
      </c>
      <c r="H1139" s="22" t="s">
        <v>19</v>
      </c>
      <c r="I1139" s="22" t="s">
        <v>54</v>
      </c>
      <c r="J1139" s="22" t="s">
        <v>55</v>
      </c>
      <c r="K1139" s="22" t="s">
        <v>1623</v>
      </c>
      <c r="L1139" s="22" t="s">
        <v>33</v>
      </c>
      <c r="M1139" s="22" t="s">
        <v>24</v>
      </c>
      <c r="N1139" s="22">
        <v>28</v>
      </c>
      <c r="O1139" s="26">
        <v>5890</v>
      </c>
      <c r="P1139" s="22">
        <v>0.15</v>
      </c>
      <c r="Q1139" s="30">
        <v>3980</v>
      </c>
      <c r="R1139" s="33">
        <f>Table1_1[[#This Row],[Units Sold]]*Table1_1[[#This Row],[Unit Price]]*1-Table1_1[[#This Row],[Discount]]</f>
        <v>164919.85</v>
      </c>
      <c r="S1139" s="33">
        <f>Table1_1[[#This Row],[Units Sold]]*Table1_1[[#This Row],[Unit Cost]]</f>
        <v>111440</v>
      </c>
      <c r="T1139" s="33">
        <f>Table1_1[[#This Row],[Sales Amount]]-S1139</f>
        <v>53479.850000000006</v>
      </c>
      <c r="U1139" s="32">
        <f>IFERROR(Table1_1[[#This Row],[Profit/loss]]/Table1_1[[#This Row],[Sales Amount]],0)</f>
        <v>0.32427782343968908</v>
      </c>
    </row>
    <row r="1140" spans="1:21" ht="18" x14ac:dyDescent="0.35">
      <c r="A1140" s="21" t="s">
        <v>1247</v>
      </c>
      <c r="B1140" s="36">
        <v>45848</v>
      </c>
      <c r="C1140" s="22">
        <f>YEAR(Table1_1[[#This Row],[Order Date]])</f>
        <v>2025</v>
      </c>
      <c r="D1140" s="22" t="str">
        <f>TEXT(Table1_1[[#This Row],[Order Date]],"MMMM")</f>
        <v>July</v>
      </c>
      <c r="E1140" s="22" t="s">
        <v>26</v>
      </c>
      <c r="F1140" s="22" t="s">
        <v>74</v>
      </c>
      <c r="G1140" s="22" t="s">
        <v>75</v>
      </c>
      <c r="H1140" s="22" t="s">
        <v>29</v>
      </c>
      <c r="I1140" s="22" t="s">
        <v>20</v>
      </c>
      <c r="J1140" s="22" t="s">
        <v>45</v>
      </c>
      <c r="K1140" s="22" t="s">
        <v>1622</v>
      </c>
      <c r="L1140" s="22" t="s">
        <v>23</v>
      </c>
      <c r="M1140" s="22" t="s">
        <v>24</v>
      </c>
      <c r="N1140" s="22">
        <v>6</v>
      </c>
      <c r="O1140" s="26">
        <v>1599</v>
      </c>
      <c r="P1140" s="22">
        <v>0.1</v>
      </c>
      <c r="Q1140" s="30">
        <v>920</v>
      </c>
      <c r="R1140" s="33">
        <f>Table1_1[[#This Row],[Units Sold]]*Table1_1[[#This Row],[Unit Price]]*1-Table1_1[[#This Row],[Discount]]</f>
        <v>9593.9</v>
      </c>
      <c r="S1140" s="33">
        <f>Table1_1[[#This Row],[Units Sold]]*Table1_1[[#This Row],[Unit Cost]]</f>
        <v>5520</v>
      </c>
      <c r="T1140" s="33">
        <f>Table1_1[[#This Row],[Sales Amount]]-S1140</f>
        <v>4073.8999999999996</v>
      </c>
      <c r="U1140" s="32">
        <f>IFERROR(Table1_1[[#This Row],[Profit/loss]]/Table1_1[[#This Row],[Sales Amount]],0)</f>
        <v>0.42463440311030964</v>
      </c>
    </row>
    <row r="1141" spans="1:21" ht="18" x14ac:dyDescent="0.35">
      <c r="A1141" s="21" t="s">
        <v>1248</v>
      </c>
      <c r="B1141" s="36">
        <v>45849</v>
      </c>
      <c r="C1141" s="22">
        <f>YEAR(Table1_1[[#This Row],[Order Date]])</f>
        <v>2025</v>
      </c>
      <c r="D1141" s="22" t="str">
        <f>TEXT(Table1_1[[#This Row],[Order Date]],"MMMM")</f>
        <v>July</v>
      </c>
      <c r="E1141" s="22" t="s">
        <v>82</v>
      </c>
      <c r="F1141" s="22" t="s">
        <v>87</v>
      </c>
      <c r="G1141" s="22" t="s">
        <v>18</v>
      </c>
      <c r="H1141" s="22" t="s">
        <v>19</v>
      </c>
      <c r="I1141" s="22" t="s">
        <v>54</v>
      </c>
      <c r="J1141" s="22" t="s">
        <v>90</v>
      </c>
      <c r="K1141" s="22" t="s">
        <v>1631</v>
      </c>
      <c r="L1141" s="22" t="s">
        <v>57</v>
      </c>
      <c r="M1141" s="22" t="s">
        <v>78</v>
      </c>
      <c r="N1141" s="22">
        <v>11</v>
      </c>
      <c r="O1141" s="26">
        <v>29010</v>
      </c>
      <c r="P1141" s="22">
        <v>0.2</v>
      </c>
      <c r="Q1141" s="30">
        <v>19150</v>
      </c>
      <c r="R1141" s="33">
        <f>Table1_1[[#This Row],[Units Sold]]*Table1_1[[#This Row],[Unit Price]]*1-Table1_1[[#This Row],[Discount]]</f>
        <v>319109.8</v>
      </c>
      <c r="S1141" s="33">
        <f>Table1_1[[#This Row],[Units Sold]]*Table1_1[[#This Row],[Unit Cost]]</f>
        <v>210650</v>
      </c>
      <c r="T1141" s="33">
        <f>Table1_1[[#This Row],[Sales Amount]]-S1141</f>
        <v>108459.79999999999</v>
      </c>
      <c r="U1141" s="32">
        <f>IFERROR(Table1_1[[#This Row],[Profit/loss]]/Table1_1[[#This Row],[Sales Amount]],0)</f>
        <v>0.33988238531063603</v>
      </c>
    </row>
    <row r="1142" spans="1:21" ht="18" x14ac:dyDescent="0.35">
      <c r="A1142" s="21" t="s">
        <v>1249</v>
      </c>
      <c r="B1142" s="36">
        <v>45849</v>
      </c>
      <c r="C1142" s="22">
        <f>YEAR(Table1_1[[#This Row],[Order Date]])</f>
        <v>2025</v>
      </c>
      <c r="D1142" s="22" t="str">
        <f>TEXT(Table1_1[[#This Row],[Order Date]],"MMMM")</f>
        <v>July</v>
      </c>
      <c r="E1142" s="22" t="s">
        <v>26</v>
      </c>
      <c r="F1142" s="22" t="s">
        <v>163</v>
      </c>
      <c r="G1142" s="22" t="s">
        <v>105</v>
      </c>
      <c r="H1142" s="22" t="s">
        <v>39</v>
      </c>
      <c r="I1142" s="22" t="s">
        <v>40</v>
      </c>
      <c r="J1142" s="22" t="s">
        <v>64</v>
      </c>
      <c r="K1142" s="22" t="s">
        <v>1629</v>
      </c>
      <c r="L1142" s="22" t="s">
        <v>57</v>
      </c>
      <c r="M1142" s="22" t="s">
        <v>24</v>
      </c>
      <c r="N1142" s="22">
        <v>37</v>
      </c>
      <c r="O1142" s="26">
        <v>3299</v>
      </c>
      <c r="P1142" s="22">
        <v>0.1</v>
      </c>
      <c r="Q1142" s="30">
        <v>2050</v>
      </c>
      <c r="R1142" s="33">
        <f>Table1_1[[#This Row],[Units Sold]]*Table1_1[[#This Row],[Unit Price]]*1-Table1_1[[#This Row],[Discount]]</f>
        <v>122062.9</v>
      </c>
      <c r="S1142" s="33">
        <f>Table1_1[[#This Row],[Units Sold]]*Table1_1[[#This Row],[Unit Cost]]</f>
        <v>75850</v>
      </c>
      <c r="T1142" s="33">
        <f>Table1_1[[#This Row],[Sales Amount]]-S1142</f>
        <v>46212.899999999994</v>
      </c>
      <c r="U1142" s="32">
        <f>IFERROR(Table1_1[[#This Row],[Profit/loss]]/Table1_1[[#This Row],[Sales Amount]],0)</f>
        <v>0.37859906654683773</v>
      </c>
    </row>
    <row r="1143" spans="1:21" ht="18" x14ac:dyDescent="0.35">
      <c r="A1143" s="21" t="s">
        <v>1250</v>
      </c>
      <c r="B1143" s="36">
        <v>45849</v>
      </c>
      <c r="C1143" s="22">
        <f>YEAR(Table1_1[[#This Row],[Order Date]])</f>
        <v>2025</v>
      </c>
      <c r="D1143" s="22" t="str">
        <f>TEXT(Table1_1[[#This Row],[Order Date]],"MMMM")</f>
        <v>July</v>
      </c>
      <c r="E1143" s="22" t="s">
        <v>82</v>
      </c>
      <c r="F1143" s="22" t="s">
        <v>87</v>
      </c>
      <c r="G1143" s="22" t="s">
        <v>101</v>
      </c>
      <c r="H1143" s="22" t="s">
        <v>29</v>
      </c>
      <c r="I1143" s="22" t="s">
        <v>54</v>
      </c>
      <c r="J1143" s="22" t="s">
        <v>55</v>
      </c>
      <c r="K1143" s="22" t="s">
        <v>1623</v>
      </c>
      <c r="L1143" s="22" t="s">
        <v>23</v>
      </c>
      <c r="M1143" s="22" t="s">
        <v>24</v>
      </c>
      <c r="N1143" s="22">
        <v>19</v>
      </c>
      <c r="O1143" s="26">
        <v>5890</v>
      </c>
      <c r="P1143" s="22">
        <v>0.2</v>
      </c>
      <c r="Q1143" s="30">
        <v>3980</v>
      </c>
      <c r="R1143" s="33">
        <f>Table1_1[[#This Row],[Units Sold]]*Table1_1[[#This Row],[Unit Price]]*1-Table1_1[[#This Row],[Discount]]</f>
        <v>111909.8</v>
      </c>
      <c r="S1143" s="33">
        <f>Table1_1[[#This Row],[Units Sold]]*Table1_1[[#This Row],[Unit Cost]]</f>
        <v>75620</v>
      </c>
      <c r="T1143" s="33">
        <f>Table1_1[[#This Row],[Sales Amount]]-S1143</f>
        <v>36289.800000000003</v>
      </c>
      <c r="U1143" s="32">
        <f>IFERROR(Table1_1[[#This Row],[Profit/loss]]/Table1_1[[#This Row],[Sales Amount]],0)</f>
        <v>0.32427723041234996</v>
      </c>
    </row>
    <row r="1144" spans="1:21" ht="18" x14ac:dyDescent="0.35">
      <c r="A1144" s="21" t="s">
        <v>1251</v>
      </c>
      <c r="B1144" s="36">
        <v>45850</v>
      </c>
      <c r="C1144" s="22">
        <f>YEAR(Table1_1[[#This Row],[Order Date]])</f>
        <v>2025</v>
      </c>
      <c r="D1144" s="22" t="str">
        <f>TEXT(Table1_1[[#This Row],[Order Date]],"MMMM")</f>
        <v>July</v>
      </c>
      <c r="E1144" s="22" t="s">
        <v>26</v>
      </c>
      <c r="F1144" s="22" t="s">
        <v>74</v>
      </c>
      <c r="G1144" s="22" t="s">
        <v>38</v>
      </c>
      <c r="H1144" s="22" t="s">
        <v>29</v>
      </c>
      <c r="I1144" s="22" t="s">
        <v>40</v>
      </c>
      <c r="J1144" s="22" t="s">
        <v>64</v>
      </c>
      <c r="K1144" s="22" t="s">
        <v>1619</v>
      </c>
      <c r="L1144" s="22" t="s">
        <v>23</v>
      </c>
      <c r="M1144" s="22" t="s">
        <v>34</v>
      </c>
      <c r="N1144" s="22">
        <v>8</v>
      </c>
      <c r="O1144" s="26">
        <v>1930</v>
      </c>
      <c r="P1144" s="22">
        <v>0.1</v>
      </c>
      <c r="Q1144" s="30">
        <v>1120</v>
      </c>
      <c r="R1144" s="33">
        <f>Table1_1[[#This Row],[Units Sold]]*Table1_1[[#This Row],[Unit Price]]*1-Table1_1[[#This Row],[Discount]]</f>
        <v>15439.9</v>
      </c>
      <c r="S1144" s="33">
        <f>Table1_1[[#This Row],[Units Sold]]*Table1_1[[#This Row],[Unit Cost]]</f>
        <v>8960</v>
      </c>
      <c r="T1144" s="33">
        <f>Table1_1[[#This Row],[Sales Amount]]-S1144</f>
        <v>6479.9</v>
      </c>
      <c r="U1144" s="32">
        <f>IFERROR(Table1_1[[#This Row],[Profit/loss]]/Table1_1[[#This Row],[Sales Amount]],0)</f>
        <v>0.41968536065648093</v>
      </c>
    </row>
    <row r="1145" spans="1:21" ht="18" x14ac:dyDescent="0.35">
      <c r="A1145" s="21" t="s">
        <v>1252</v>
      </c>
      <c r="B1145" s="36">
        <v>45850</v>
      </c>
      <c r="C1145" s="22">
        <f>YEAR(Table1_1[[#This Row],[Order Date]])</f>
        <v>2025</v>
      </c>
      <c r="D1145" s="22" t="str">
        <f>TEXT(Table1_1[[#This Row],[Order Date]],"MMMM")</f>
        <v>July</v>
      </c>
      <c r="E1145" s="22" t="s">
        <v>36</v>
      </c>
      <c r="F1145" s="22" t="s">
        <v>59</v>
      </c>
      <c r="G1145" s="22" t="s">
        <v>18</v>
      </c>
      <c r="H1145" s="22" t="s">
        <v>39</v>
      </c>
      <c r="I1145" s="22" t="s">
        <v>40</v>
      </c>
      <c r="J1145" s="22" t="s">
        <v>64</v>
      </c>
      <c r="K1145" s="22" t="s">
        <v>1627</v>
      </c>
      <c r="L1145" s="22" t="s">
        <v>33</v>
      </c>
      <c r="M1145" s="22" t="s">
        <v>24</v>
      </c>
      <c r="N1145" s="22">
        <v>9</v>
      </c>
      <c r="O1145" s="26">
        <v>4490</v>
      </c>
      <c r="P1145" s="22">
        <v>0.15</v>
      </c>
      <c r="Q1145" s="30">
        <v>2950</v>
      </c>
      <c r="R1145" s="33">
        <f>Table1_1[[#This Row],[Units Sold]]*Table1_1[[#This Row],[Unit Price]]*1-Table1_1[[#This Row],[Discount]]</f>
        <v>40409.85</v>
      </c>
      <c r="S1145" s="33">
        <f>Table1_1[[#This Row],[Units Sold]]*Table1_1[[#This Row],[Unit Cost]]</f>
        <v>26550</v>
      </c>
      <c r="T1145" s="33">
        <f>Table1_1[[#This Row],[Sales Amount]]-S1145</f>
        <v>13859.849999999999</v>
      </c>
      <c r="U1145" s="32">
        <f>IFERROR(Table1_1[[#This Row],[Profit/loss]]/Table1_1[[#This Row],[Sales Amount]],0)</f>
        <v>0.34298197097984773</v>
      </c>
    </row>
    <row r="1146" spans="1:21" ht="18" x14ac:dyDescent="0.35">
      <c r="A1146" s="21" t="s">
        <v>1253</v>
      </c>
      <c r="B1146" s="36">
        <v>45850</v>
      </c>
      <c r="C1146" s="22">
        <f>YEAR(Table1_1[[#This Row],[Order Date]])</f>
        <v>2025</v>
      </c>
      <c r="D1146" s="22" t="str">
        <f>TEXT(Table1_1[[#This Row],[Order Date]],"MMMM")</f>
        <v>July</v>
      </c>
      <c r="E1146" s="22" t="s">
        <v>82</v>
      </c>
      <c r="F1146" s="22" t="s">
        <v>87</v>
      </c>
      <c r="G1146" s="22" t="s">
        <v>101</v>
      </c>
      <c r="H1146" s="22" t="s">
        <v>29</v>
      </c>
      <c r="I1146" s="22" t="s">
        <v>54</v>
      </c>
      <c r="J1146" s="22" t="s">
        <v>90</v>
      </c>
      <c r="K1146" s="22" t="s">
        <v>1625</v>
      </c>
      <c r="L1146" s="22" t="s">
        <v>33</v>
      </c>
      <c r="M1146" s="22" t="s">
        <v>34</v>
      </c>
      <c r="N1146" s="22">
        <v>8</v>
      </c>
      <c r="O1146" s="26">
        <v>32800</v>
      </c>
      <c r="P1146" s="22">
        <v>0.2</v>
      </c>
      <c r="Q1146" s="30">
        <v>23100</v>
      </c>
      <c r="R1146" s="33">
        <f>Table1_1[[#This Row],[Units Sold]]*Table1_1[[#This Row],[Unit Price]]*1-Table1_1[[#This Row],[Discount]]</f>
        <v>262399.8</v>
      </c>
      <c r="S1146" s="33">
        <f>Table1_1[[#This Row],[Units Sold]]*Table1_1[[#This Row],[Unit Cost]]</f>
        <v>184800</v>
      </c>
      <c r="T1146" s="33">
        <f>Table1_1[[#This Row],[Sales Amount]]-S1146</f>
        <v>77599.799999999988</v>
      </c>
      <c r="U1146" s="32">
        <f>IFERROR(Table1_1[[#This Row],[Profit/loss]]/Table1_1[[#This Row],[Sales Amount]],0)</f>
        <v>0.29573117052680675</v>
      </c>
    </row>
    <row r="1147" spans="1:21" ht="18" x14ac:dyDescent="0.35">
      <c r="A1147" s="21" t="s">
        <v>1254</v>
      </c>
      <c r="B1147" s="36">
        <v>45850</v>
      </c>
      <c r="C1147" s="22">
        <f>YEAR(Table1_1[[#This Row],[Order Date]])</f>
        <v>2025</v>
      </c>
      <c r="D1147" s="22" t="str">
        <f>TEXT(Table1_1[[#This Row],[Order Date]],"MMMM")</f>
        <v>July</v>
      </c>
      <c r="E1147" s="22" t="s">
        <v>82</v>
      </c>
      <c r="F1147" s="22" t="s">
        <v>183</v>
      </c>
      <c r="G1147" s="22" t="s">
        <v>101</v>
      </c>
      <c r="H1147" s="22" t="s">
        <v>39</v>
      </c>
      <c r="I1147" s="22" t="s">
        <v>40</v>
      </c>
      <c r="J1147" s="22" t="s">
        <v>64</v>
      </c>
      <c r="K1147" s="22" t="s">
        <v>1619</v>
      </c>
      <c r="L1147" s="22" t="s">
        <v>23</v>
      </c>
      <c r="M1147" s="22" t="s">
        <v>78</v>
      </c>
      <c r="N1147" s="22">
        <v>19</v>
      </c>
      <c r="O1147" s="26">
        <v>1930</v>
      </c>
      <c r="P1147" s="22">
        <v>0.08</v>
      </c>
      <c r="Q1147" s="30">
        <v>1120</v>
      </c>
      <c r="R1147" s="33">
        <f>Table1_1[[#This Row],[Units Sold]]*Table1_1[[#This Row],[Unit Price]]*1-Table1_1[[#This Row],[Discount]]</f>
        <v>36669.919999999998</v>
      </c>
      <c r="S1147" s="33">
        <f>Table1_1[[#This Row],[Units Sold]]*Table1_1[[#This Row],[Unit Cost]]</f>
        <v>21280</v>
      </c>
      <c r="T1147" s="33">
        <f>Table1_1[[#This Row],[Sales Amount]]-S1147</f>
        <v>15389.919999999998</v>
      </c>
      <c r="U1147" s="32">
        <f>IFERROR(Table1_1[[#This Row],[Profit/loss]]/Table1_1[[#This Row],[Sales Amount]],0)</f>
        <v>0.41968785315048407</v>
      </c>
    </row>
    <row r="1148" spans="1:21" ht="18" x14ac:dyDescent="0.35">
      <c r="A1148" s="21" t="s">
        <v>1255</v>
      </c>
      <c r="B1148" s="36">
        <v>45850</v>
      </c>
      <c r="C1148" s="22">
        <f>YEAR(Table1_1[[#This Row],[Order Date]])</f>
        <v>2025</v>
      </c>
      <c r="D1148" s="22" t="str">
        <f>TEXT(Table1_1[[#This Row],[Order Date]],"MMMM")</f>
        <v>July</v>
      </c>
      <c r="E1148" s="22" t="s">
        <v>82</v>
      </c>
      <c r="F1148" s="22" t="s">
        <v>183</v>
      </c>
      <c r="G1148" s="22" t="s">
        <v>18</v>
      </c>
      <c r="H1148" s="22" t="s">
        <v>19</v>
      </c>
      <c r="I1148" s="22" t="s">
        <v>20</v>
      </c>
      <c r="J1148" s="22" t="s">
        <v>21</v>
      </c>
      <c r="K1148" s="22" t="s">
        <v>115</v>
      </c>
      <c r="L1148" s="22" t="s">
        <v>57</v>
      </c>
      <c r="M1148" s="22" t="s">
        <v>66</v>
      </c>
      <c r="N1148" s="22">
        <v>12</v>
      </c>
      <c r="O1148" s="26">
        <v>6499</v>
      </c>
      <c r="P1148" s="22">
        <v>0.2</v>
      </c>
      <c r="Q1148" s="30">
        <v>4210</v>
      </c>
      <c r="R1148" s="33">
        <f>Table1_1[[#This Row],[Units Sold]]*Table1_1[[#This Row],[Unit Price]]*1-Table1_1[[#This Row],[Discount]]</f>
        <v>77987.8</v>
      </c>
      <c r="S1148" s="33">
        <f>Table1_1[[#This Row],[Units Sold]]*Table1_1[[#This Row],[Unit Cost]]</f>
        <v>50520</v>
      </c>
      <c r="T1148" s="33">
        <f>Table1_1[[#This Row],[Sales Amount]]-S1148</f>
        <v>27467.800000000003</v>
      </c>
      <c r="U1148" s="32">
        <f>IFERROR(Table1_1[[#This Row],[Profit/loss]]/Table1_1[[#This Row],[Sales Amount]],0)</f>
        <v>0.35220637074003885</v>
      </c>
    </row>
    <row r="1149" spans="1:21" ht="18" x14ac:dyDescent="0.35">
      <c r="A1149" s="21" t="s">
        <v>1256</v>
      </c>
      <c r="B1149" s="36">
        <v>45851</v>
      </c>
      <c r="C1149" s="22">
        <f>YEAR(Table1_1[[#This Row],[Order Date]])</f>
        <v>2025</v>
      </c>
      <c r="D1149" s="22" t="str">
        <f>TEXT(Table1_1[[#This Row],[Order Date]],"MMMM")</f>
        <v>July</v>
      </c>
      <c r="E1149" s="22" t="s">
        <v>48</v>
      </c>
      <c r="F1149" s="22" t="s">
        <v>49</v>
      </c>
      <c r="G1149" s="22" t="s">
        <v>69</v>
      </c>
      <c r="H1149" s="22" t="s">
        <v>39</v>
      </c>
      <c r="I1149" s="22" t="s">
        <v>30</v>
      </c>
      <c r="J1149" s="22" t="s">
        <v>31</v>
      </c>
      <c r="K1149" s="22" t="s">
        <v>85</v>
      </c>
      <c r="L1149" s="22" t="s">
        <v>23</v>
      </c>
      <c r="M1149" s="22" t="s">
        <v>24</v>
      </c>
      <c r="N1149" s="22">
        <v>4</v>
      </c>
      <c r="O1149" s="26">
        <v>43500</v>
      </c>
      <c r="P1149" s="22">
        <v>0.2</v>
      </c>
      <c r="Q1149" s="30">
        <v>29520</v>
      </c>
      <c r="R1149" s="33">
        <f>Table1_1[[#This Row],[Units Sold]]*Table1_1[[#This Row],[Unit Price]]*1-Table1_1[[#This Row],[Discount]]</f>
        <v>173999.8</v>
      </c>
      <c r="S1149" s="33">
        <f>Table1_1[[#This Row],[Units Sold]]*Table1_1[[#This Row],[Unit Cost]]</f>
        <v>118080</v>
      </c>
      <c r="T1149" s="33">
        <f>Table1_1[[#This Row],[Sales Amount]]-S1149</f>
        <v>55919.799999999988</v>
      </c>
      <c r="U1149" s="32">
        <f>IFERROR(Table1_1[[#This Row],[Profit/loss]]/Table1_1[[#This Row],[Sales Amount]],0)</f>
        <v>0.32137853032014974</v>
      </c>
    </row>
    <row r="1150" spans="1:21" ht="18" x14ac:dyDescent="0.35">
      <c r="A1150" s="21" t="s">
        <v>1257</v>
      </c>
      <c r="B1150" s="36">
        <v>45851</v>
      </c>
      <c r="C1150" s="22">
        <f>YEAR(Table1_1[[#This Row],[Order Date]])</f>
        <v>2025</v>
      </c>
      <c r="D1150" s="22" t="str">
        <f>TEXT(Table1_1[[#This Row],[Order Date]],"MMMM")</f>
        <v>July</v>
      </c>
      <c r="E1150" s="22" t="s">
        <v>48</v>
      </c>
      <c r="F1150" s="22" t="s">
        <v>68</v>
      </c>
      <c r="G1150" s="22" t="s">
        <v>105</v>
      </c>
      <c r="H1150" s="22" t="s">
        <v>19</v>
      </c>
      <c r="I1150" s="22" t="s">
        <v>54</v>
      </c>
      <c r="J1150" s="22" t="s">
        <v>55</v>
      </c>
      <c r="K1150" s="22" t="s">
        <v>56</v>
      </c>
      <c r="L1150" s="22" t="s">
        <v>33</v>
      </c>
      <c r="M1150" s="22" t="s">
        <v>24</v>
      </c>
      <c r="N1150" s="22">
        <v>25</v>
      </c>
      <c r="O1150" s="26">
        <v>7299</v>
      </c>
      <c r="P1150" s="22">
        <v>0.08</v>
      </c>
      <c r="Q1150" s="30">
        <v>5010</v>
      </c>
      <c r="R1150" s="33">
        <f>Table1_1[[#This Row],[Units Sold]]*Table1_1[[#This Row],[Unit Price]]*1-Table1_1[[#This Row],[Discount]]</f>
        <v>182474.92</v>
      </c>
      <c r="S1150" s="33">
        <f>Table1_1[[#This Row],[Units Sold]]*Table1_1[[#This Row],[Unit Cost]]</f>
        <v>125250</v>
      </c>
      <c r="T1150" s="33">
        <f>Table1_1[[#This Row],[Sales Amount]]-S1150</f>
        <v>57224.920000000013</v>
      </c>
      <c r="U1150" s="32">
        <f>IFERROR(Table1_1[[#This Row],[Profit/loss]]/Table1_1[[#This Row],[Sales Amount]],0)</f>
        <v>0.31360430244331666</v>
      </c>
    </row>
    <row r="1151" spans="1:21" ht="18" x14ac:dyDescent="0.35">
      <c r="A1151" s="21" t="s">
        <v>1258</v>
      </c>
      <c r="B1151" s="36">
        <v>45852</v>
      </c>
      <c r="C1151" s="22">
        <f>YEAR(Table1_1[[#This Row],[Order Date]])</f>
        <v>2025</v>
      </c>
      <c r="D1151" s="22" t="str">
        <f>TEXT(Table1_1[[#This Row],[Order Date]],"MMMM")</f>
        <v>July</v>
      </c>
      <c r="E1151" s="22" t="s">
        <v>48</v>
      </c>
      <c r="F1151" s="22" t="s">
        <v>93</v>
      </c>
      <c r="G1151" s="22" t="s">
        <v>18</v>
      </c>
      <c r="H1151" s="22" t="s">
        <v>19</v>
      </c>
      <c r="I1151" s="22" t="s">
        <v>40</v>
      </c>
      <c r="J1151" s="22" t="s">
        <v>76</v>
      </c>
      <c r="K1151" s="22" t="s">
        <v>113</v>
      </c>
      <c r="L1151" s="22" t="s">
        <v>57</v>
      </c>
      <c r="M1151" s="22" t="s">
        <v>24</v>
      </c>
      <c r="N1151" s="22">
        <v>14</v>
      </c>
      <c r="O1151" s="26">
        <v>22999</v>
      </c>
      <c r="P1151" s="22">
        <v>0.2</v>
      </c>
      <c r="Q1151" s="30">
        <v>15100</v>
      </c>
      <c r="R1151" s="33">
        <f>Table1_1[[#This Row],[Units Sold]]*Table1_1[[#This Row],[Unit Price]]*1-Table1_1[[#This Row],[Discount]]</f>
        <v>321985.8</v>
      </c>
      <c r="S1151" s="33">
        <f>Table1_1[[#This Row],[Units Sold]]*Table1_1[[#This Row],[Unit Cost]]</f>
        <v>211400</v>
      </c>
      <c r="T1151" s="33">
        <f>Table1_1[[#This Row],[Sales Amount]]-S1151</f>
        <v>110585.79999999999</v>
      </c>
      <c r="U1151" s="32">
        <f>IFERROR(Table1_1[[#This Row],[Profit/loss]]/Table1_1[[#This Row],[Sales Amount]],0)</f>
        <v>0.34344930739181662</v>
      </c>
    </row>
    <row r="1152" spans="1:21" ht="18" x14ac:dyDescent="0.35">
      <c r="A1152" s="21" t="s">
        <v>1259</v>
      </c>
      <c r="B1152" s="36">
        <v>45852</v>
      </c>
      <c r="C1152" s="22">
        <f>YEAR(Table1_1[[#This Row],[Order Date]])</f>
        <v>2025</v>
      </c>
      <c r="D1152" s="22" t="str">
        <f>TEXT(Table1_1[[#This Row],[Order Date]],"MMMM")</f>
        <v>July</v>
      </c>
      <c r="E1152" s="22" t="s">
        <v>48</v>
      </c>
      <c r="F1152" s="22" t="s">
        <v>136</v>
      </c>
      <c r="G1152" s="22" t="s">
        <v>105</v>
      </c>
      <c r="H1152" s="22" t="s">
        <v>19</v>
      </c>
      <c r="I1152" s="22" t="s">
        <v>54</v>
      </c>
      <c r="J1152" s="22" t="s">
        <v>90</v>
      </c>
      <c r="K1152" s="22" t="s">
        <v>1631</v>
      </c>
      <c r="L1152" s="22" t="s">
        <v>33</v>
      </c>
      <c r="M1152" s="22" t="s">
        <v>66</v>
      </c>
      <c r="N1152" s="22">
        <v>4</v>
      </c>
      <c r="O1152" s="26">
        <v>29010</v>
      </c>
      <c r="P1152" s="22">
        <v>0.12</v>
      </c>
      <c r="Q1152" s="30">
        <v>19150</v>
      </c>
      <c r="R1152" s="33">
        <f>Table1_1[[#This Row],[Units Sold]]*Table1_1[[#This Row],[Unit Price]]*1-Table1_1[[#This Row],[Discount]]</f>
        <v>116039.88</v>
      </c>
      <c r="S1152" s="33">
        <f>Table1_1[[#This Row],[Units Sold]]*Table1_1[[#This Row],[Unit Cost]]</f>
        <v>76600</v>
      </c>
      <c r="T1152" s="33">
        <f>Table1_1[[#This Row],[Sales Amount]]-S1152</f>
        <v>39439.880000000005</v>
      </c>
      <c r="U1152" s="32">
        <f>IFERROR(Table1_1[[#This Row],[Profit/loss]]/Table1_1[[#This Row],[Sales Amount]],0)</f>
        <v>0.33988211638964122</v>
      </c>
    </row>
    <row r="1153" spans="1:21" ht="18" x14ac:dyDescent="0.35">
      <c r="A1153" s="21" t="s">
        <v>1260</v>
      </c>
      <c r="B1153" s="36">
        <v>45852</v>
      </c>
      <c r="C1153" s="22">
        <f>YEAR(Table1_1[[#This Row],[Order Date]])</f>
        <v>2025</v>
      </c>
      <c r="D1153" s="22" t="str">
        <f>TEXT(Table1_1[[#This Row],[Order Date]],"MMMM")</f>
        <v>July</v>
      </c>
      <c r="E1153" s="22" t="s">
        <v>26</v>
      </c>
      <c r="F1153" s="22" t="s">
        <v>163</v>
      </c>
      <c r="G1153" s="22" t="s">
        <v>18</v>
      </c>
      <c r="H1153" s="22" t="s">
        <v>29</v>
      </c>
      <c r="I1153" s="22" t="s">
        <v>54</v>
      </c>
      <c r="J1153" s="22" t="s">
        <v>90</v>
      </c>
      <c r="K1153" s="22" t="s">
        <v>1625</v>
      </c>
      <c r="L1153" s="22" t="s">
        <v>33</v>
      </c>
      <c r="M1153" s="22" t="s">
        <v>24</v>
      </c>
      <c r="N1153" s="22">
        <v>25</v>
      </c>
      <c r="O1153" s="26">
        <v>32800</v>
      </c>
      <c r="P1153" s="22">
        <v>0.12</v>
      </c>
      <c r="Q1153" s="30">
        <v>23100</v>
      </c>
      <c r="R1153" s="33">
        <f>Table1_1[[#This Row],[Units Sold]]*Table1_1[[#This Row],[Unit Price]]*1-Table1_1[[#This Row],[Discount]]</f>
        <v>819999.88</v>
      </c>
      <c r="S1153" s="33">
        <f>Table1_1[[#This Row],[Units Sold]]*Table1_1[[#This Row],[Unit Cost]]</f>
        <v>577500</v>
      </c>
      <c r="T1153" s="33">
        <f>Table1_1[[#This Row],[Sales Amount]]-S1153</f>
        <v>242499.88</v>
      </c>
      <c r="U1153" s="32">
        <f>IFERROR(Table1_1[[#This Row],[Profit/loss]]/Table1_1[[#This Row],[Sales Amount]],0)</f>
        <v>0.2957316042534055</v>
      </c>
    </row>
    <row r="1154" spans="1:21" ht="18" x14ac:dyDescent="0.35">
      <c r="A1154" s="21" t="s">
        <v>1261</v>
      </c>
      <c r="B1154" s="36">
        <v>45852</v>
      </c>
      <c r="C1154" s="22">
        <f>YEAR(Table1_1[[#This Row],[Order Date]])</f>
        <v>2025</v>
      </c>
      <c r="D1154" s="22" t="str">
        <f>TEXT(Table1_1[[#This Row],[Order Date]],"MMMM")</f>
        <v>July</v>
      </c>
      <c r="E1154" s="22" t="s">
        <v>48</v>
      </c>
      <c r="F1154" s="22" t="s">
        <v>93</v>
      </c>
      <c r="G1154" s="22" t="s">
        <v>101</v>
      </c>
      <c r="H1154" s="22" t="s">
        <v>39</v>
      </c>
      <c r="I1154" s="22" t="s">
        <v>40</v>
      </c>
      <c r="J1154" s="22" t="s">
        <v>41</v>
      </c>
      <c r="K1154" s="22" t="s">
        <v>1628</v>
      </c>
      <c r="L1154" s="22" t="s">
        <v>23</v>
      </c>
      <c r="M1154" s="22" t="s">
        <v>66</v>
      </c>
      <c r="N1154" s="22">
        <v>7</v>
      </c>
      <c r="O1154" s="26">
        <v>48500</v>
      </c>
      <c r="P1154" s="22">
        <v>0.12</v>
      </c>
      <c r="Q1154" s="30">
        <v>30200</v>
      </c>
      <c r="R1154" s="33">
        <f>Table1_1[[#This Row],[Units Sold]]*Table1_1[[#This Row],[Unit Price]]*1-Table1_1[[#This Row],[Discount]]</f>
        <v>339499.88</v>
      </c>
      <c r="S1154" s="33">
        <f>Table1_1[[#This Row],[Units Sold]]*Table1_1[[#This Row],[Unit Cost]]</f>
        <v>211400</v>
      </c>
      <c r="T1154" s="33">
        <f>Table1_1[[#This Row],[Sales Amount]]-S1154</f>
        <v>128099.88</v>
      </c>
      <c r="U1154" s="32">
        <f>IFERROR(Table1_1[[#This Row],[Profit/loss]]/Table1_1[[#This Row],[Sales Amount]],0)</f>
        <v>0.37731936753556439</v>
      </c>
    </row>
    <row r="1155" spans="1:21" ht="18" x14ac:dyDescent="0.35">
      <c r="A1155" s="21" t="s">
        <v>1262</v>
      </c>
      <c r="B1155" s="36">
        <v>45853</v>
      </c>
      <c r="C1155" s="22">
        <f>YEAR(Table1_1[[#This Row],[Order Date]])</f>
        <v>2025</v>
      </c>
      <c r="D1155" s="22" t="str">
        <f>TEXT(Table1_1[[#This Row],[Order Date]],"MMMM")</f>
        <v>July</v>
      </c>
      <c r="E1155" s="22" t="s">
        <v>36</v>
      </c>
      <c r="F1155" s="22" t="s">
        <v>59</v>
      </c>
      <c r="G1155" s="22" t="s">
        <v>69</v>
      </c>
      <c r="H1155" s="22" t="s">
        <v>19</v>
      </c>
      <c r="I1155" s="22" t="s">
        <v>20</v>
      </c>
      <c r="J1155" s="22" t="s">
        <v>45</v>
      </c>
      <c r="K1155" s="22" t="s">
        <v>1622</v>
      </c>
      <c r="L1155" s="22" t="s">
        <v>57</v>
      </c>
      <c r="M1155" s="22" t="s">
        <v>34</v>
      </c>
      <c r="N1155" s="22">
        <v>21</v>
      </c>
      <c r="O1155" s="26">
        <v>1599</v>
      </c>
      <c r="P1155" s="22">
        <v>0.1</v>
      </c>
      <c r="Q1155" s="30">
        <v>920</v>
      </c>
      <c r="R1155" s="33">
        <f>Table1_1[[#This Row],[Units Sold]]*Table1_1[[#This Row],[Unit Price]]*1-Table1_1[[#This Row],[Discount]]</f>
        <v>33578.9</v>
      </c>
      <c r="S1155" s="33">
        <f>Table1_1[[#This Row],[Units Sold]]*Table1_1[[#This Row],[Unit Cost]]</f>
        <v>19320</v>
      </c>
      <c r="T1155" s="33">
        <f>Table1_1[[#This Row],[Sales Amount]]-S1155</f>
        <v>14258.900000000001</v>
      </c>
      <c r="U1155" s="32">
        <f>IFERROR(Table1_1[[#This Row],[Profit/loss]]/Table1_1[[#This Row],[Sales Amount]],0)</f>
        <v>0.42463868679438577</v>
      </c>
    </row>
    <row r="1156" spans="1:21" ht="18" x14ac:dyDescent="0.35">
      <c r="A1156" s="21" t="s">
        <v>1263</v>
      </c>
      <c r="B1156" s="36">
        <v>45853</v>
      </c>
      <c r="C1156" s="22">
        <f>YEAR(Table1_1[[#This Row],[Order Date]])</f>
        <v>2025</v>
      </c>
      <c r="D1156" s="22" t="str">
        <f>TEXT(Table1_1[[#This Row],[Order Date]],"MMMM")</f>
        <v>July</v>
      </c>
      <c r="E1156" s="22" t="s">
        <v>36</v>
      </c>
      <c r="F1156" s="22" t="s">
        <v>44</v>
      </c>
      <c r="G1156" s="22" t="s">
        <v>84</v>
      </c>
      <c r="H1156" s="22" t="s">
        <v>39</v>
      </c>
      <c r="I1156" s="22" t="s">
        <v>30</v>
      </c>
      <c r="J1156" s="22" t="s">
        <v>61</v>
      </c>
      <c r="K1156" s="22" t="s">
        <v>62</v>
      </c>
      <c r="L1156" s="22" t="s">
        <v>23</v>
      </c>
      <c r="M1156" s="22" t="s">
        <v>24</v>
      </c>
      <c r="N1156" s="22">
        <v>22</v>
      </c>
      <c r="O1156" s="26">
        <v>12490</v>
      </c>
      <c r="P1156" s="22">
        <v>0.12</v>
      </c>
      <c r="Q1156" s="30">
        <v>7900</v>
      </c>
      <c r="R1156" s="33">
        <f>Table1_1[[#This Row],[Units Sold]]*Table1_1[[#This Row],[Unit Price]]*1-Table1_1[[#This Row],[Discount]]</f>
        <v>274779.88</v>
      </c>
      <c r="S1156" s="33">
        <f>Table1_1[[#This Row],[Units Sold]]*Table1_1[[#This Row],[Unit Cost]]</f>
        <v>173800</v>
      </c>
      <c r="T1156" s="33">
        <f>Table1_1[[#This Row],[Sales Amount]]-S1156</f>
        <v>100979.88</v>
      </c>
      <c r="U1156" s="32">
        <f>IFERROR(Table1_1[[#This Row],[Profit/loss]]/Table1_1[[#This Row],[Sales Amount]],0)</f>
        <v>0.36749371897243716</v>
      </c>
    </row>
    <row r="1157" spans="1:21" ht="18" x14ac:dyDescent="0.35">
      <c r="A1157" s="21" t="s">
        <v>1264</v>
      </c>
      <c r="B1157" s="36">
        <v>45853</v>
      </c>
      <c r="C1157" s="22">
        <f>YEAR(Table1_1[[#This Row],[Order Date]])</f>
        <v>2025</v>
      </c>
      <c r="D1157" s="22" t="str">
        <f>TEXT(Table1_1[[#This Row],[Order Date]],"MMMM")</f>
        <v>July</v>
      </c>
      <c r="E1157" s="22" t="s">
        <v>48</v>
      </c>
      <c r="F1157" s="22" t="s">
        <v>136</v>
      </c>
      <c r="G1157" s="22" t="s">
        <v>28</v>
      </c>
      <c r="H1157" s="22" t="s">
        <v>19</v>
      </c>
      <c r="I1157" s="22" t="s">
        <v>30</v>
      </c>
      <c r="J1157" s="22" t="s">
        <v>61</v>
      </c>
      <c r="K1157" s="22" t="s">
        <v>62</v>
      </c>
      <c r="L1157" s="22" t="s">
        <v>23</v>
      </c>
      <c r="M1157" s="22" t="s">
        <v>24</v>
      </c>
      <c r="N1157" s="22">
        <v>35</v>
      </c>
      <c r="O1157" s="26">
        <v>12490</v>
      </c>
      <c r="P1157" s="22">
        <v>0.12</v>
      </c>
      <c r="Q1157" s="30">
        <v>7900</v>
      </c>
      <c r="R1157" s="33">
        <f>Table1_1[[#This Row],[Units Sold]]*Table1_1[[#This Row],[Unit Price]]*1-Table1_1[[#This Row],[Discount]]</f>
        <v>437149.88</v>
      </c>
      <c r="S1157" s="33">
        <f>Table1_1[[#This Row],[Units Sold]]*Table1_1[[#This Row],[Unit Cost]]</f>
        <v>276500</v>
      </c>
      <c r="T1157" s="33">
        <f>Table1_1[[#This Row],[Sales Amount]]-S1157</f>
        <v>160649.88</v>
      </c>
      <c r="U1157" s="32">
        <f>IFERROR(Table1_1[[#This Row],[Profit/loss]]/Table1_1[[#This Row],[Sales Amount]],0)</f>
        <v>0.36749382156984695</v>
      </c>
    </row>
    <row r="1158" spans="1:21" ht="18" x14ac:dyDescent="0.35">
      <c r="A1158" s="21" t="s">
        <v>1265</v>
      </c>
      <c r="B1158" s="36">
        <v>45854</v>
      </c>
      <c r="C1158" s="22">
        <f>YEAR(Table1_1[[#This Row],[Order Date]])</f>
        <v>2025</v>
      </c>
      <c r="D1158" s="22" t="str">
        <f>TEXT(Table1_1[[#This Row],[Order Date]],"MMMM")</f>
        <v>July</v>
      </c>
      <c r="E1158" s="22" t="s">
        <v>26</v>
      </c>
      <c r="F1158" s="22" t="s">
        <v>74</v>
      </c>
      <c r="G1158" s="22" t="s">
        <v>84</v>
      </c>
      <c r="H1158" s="22" t="s">
        <v>39</v>
      </c>
      <c r="I1158" s="22" t="s">
        <v>20</v>
      </c>
      <c r="J1158" s="22" t="s">
        <v>21</v>
      </c>
      <c r="K1158" s="22" t="s">
        <v>22</v>
      </c>
      <c r="L1158" s="22" t="s">
        <v>23</v>
      </c>
      <c r="M1158" s="22" t="s">
        <v>78</v>
      </c>
      <c r="N1158" s="22">
        <v>1</v>
      </c>
      <c r="O1158" s="26">
        <v>4499</v>
      </c>
      <c r="P1158" s="22">
        <v>0.12</v>
      </c>
      <c r="Q1158" s="30">
        <v>2910</v>
      </c>
      <c r="R1158" s="33">
        <f>Table1_1[[#This Row],[Units Sold]]*Table1_1[[#This Row],[Unit Price]]*1-Table1_1[[#This Row],[Discount]]</f>
        <v>4498.88</v>
      </c>
      <c r="S1158" s="33">
        <f>Table1_1[[#This Row],[Units Sold]]*Table1_1[[#This Row],[Unit Cost]]</f>
        <v>2910</v>
      </c>
      <c r="T1158" s="33">
        <f>Table1_1[[#This Row],[Sales Amount]]-S1158</f>
        <v>1588.88</v>
      </c>
      <c r="U1158" s="32">
        <f>IFERROR(Table1_1[[#This Row],[Profit/loss]]/Table1_1[[#This Row],[Sales Amount]],0)</f>
        <v>0.3531723451170069</v>
      </c>
    </row>
    <row r="1159" spans="1:21" ht="18" x14ac:dyDescent="0.35">
      <c r="A1159" s="21" t="s">
        <v>1266</v>
      </c>
      <c r="B1159" s="36">
        <v>45854</v>
      </c>
      <c r="C1159" s="22">
        <f>YEAR(Table1_1[[#This Row],[Order Date]])</f>
        <v>2025</v>
      </c>
      <c r="D1159" s="22" t="str">
        <f>TEXT(Table1_1[[#This Row],[Order Date]],"MMMM")</f>
        <v>July</v>
      </c>
      <c r="E1159" s="22" t="s">
        <v>48</v>
      </c>
      <c r="F1159" s="22" t="s">
        <v>136</v>
      </c>
      <c r="G1159" s="22" t="s">
        <v>60</v>
      </c>
      <c r="H1159" s="22" t="s">
        <v>19</v>
      </c>
      <c r="I1159" s="22" t="s">
        <v>54</v>
      </c>
      <c r="J1159" s="22" t="s">
        <v>55</v>
      </c>
      <c r="K1159" s="22" t="s">
        <v>148</v>
      </c>
      <c r="L1159" s="22" t="s">
        <v>57</v>
      </c>
      <c r="M1159" s="22" t="s">
        <v>34</v>
      </c>
      <c r="N1159" s="22">
        <v>6</v>
      </c>
      <c r="O1159" s="26">
        <v>4680</v>
      </c>
      <c r="P1159" s="22">
        <v>0.1</v>
      </c>
      <c r="Q1159" s="30">
        <v>3250</v>
      </c>
      <c r="R1159" s="33">
        <f>Table1_1[[#This Row],[Units Sold]]*Table1_1[[#This Row],[Unit Price]]*1-Table1_1[[#This Row],[Discount]]</f>
        <v>28079.9</v>
      </c>
      <c r="S1159" s="33">
        <f>Table1_1[[#This Row],[Units Sold]]*Table1_1[[#This Row],[Unit Cost]]</f>
        <v>19500</v>
      </c>
      <c r="T1159" s="33">
        <f>Table1_1[[#This Row],[Sales Amount]]-S1159</f>
        <v>8579.9000000000015</v>
      </c>
      <c r="U1159" s="32">
        <f>IFERROR(Table1_1[[#This Row],[Profit/loss]]/Table1_1[[#This Row],[Sales Amount]],0)</f>
        <v>0.30555308245399737</v>
      </c>
    </row>
    <row r="1160" spans="1:21" ht="18" x14ac:dyDescent="0.35">
      <c r="A1160" s="21" t="s">
        <v>1267</v>
      </c>
      <c r="B1160" s="36">
        <v>45854</v>
      </c>
      <c r="C1160" s="22">
        <f>YEAR(Table1_1[[#This Row],[Order Date]])</f>
        <v>2025</v>
      </c>
      <c r="D1160" s="22" t="str">
        <f>TEXT(Table1_1[[#This Row],[Order Date]],"MMMM")</f>
        <v>July</v>
      </c>
      <c r="E1160" s="22" t="s">
        <v>36</v>
      </c>
      <c r="F1160" s="22" t="s">
        <v>59</v>
      </c>
      <c r="G1160" s="22" t="s">
        <v>28</v>
      </c>
      <c r="H1160" s="22" t="s">
        <v>39</v>
      </c>
      <c r="I1160" s="22" t="s">
        <v>30</v>
      </c>
      <c r="J1160" s="22" t="s">
        <v>31</v>
      </c>
      <c r="K1160" s="22" t="s">
        <v>85</v>
      </c>
      <c r="L1160" s="22" t="s">
        <v>33</v>
      </c>
      <c r="M1160" s="22" t="s">
        <v>34</v>
      </c>
      <c r="N1160" s="22">
        <v>35</v>
      </c>
      <c r="O1160" s="26">
        <v>43500</v>
      </c>
      <c r="P1160" s="22">
        <v>0.2</v>
      </c>
      <c r="Q1160" s="30">
        <v>29520</v>
      </c>
      <c r="R1160" s="33">
        <f>Table1_1[[#This Row],[Units Sold]]*Table1_1[[#This Row],[Unit Price]]*1-Table1_1[[#This Row],[Discount]]</f>
        <v>1522499.8</v>
      </c>
      <c r="S1160" s="33">
        <f>Table1_1[[#This Row],[Units Sold]]*Table1_1[[#This Row],[Unit Cost]]</f>
        <v>1033200</v>
      </c>
      <c r="T1160" s="33">
        <f>Table1_1[[#This Row],[Sales Amount]]-S1160</f>
        <v>489299.80000000005</v>
      </c>
      <c r="U1160" s="32">
        <f>IFERROR(Table1_1[[#This Row],[Profit/loss]]/Table1_1[[#This Row],[Sales Amount]],0)</f>
        <v>0.32137922119924089</v>
      </c>
    </row>
    <row r="1161" spans="1:21" ht="18" x14ac:dyDescent="0.35">
      <c r="A1161" s="21" t="s">
        <v>1268</v>
      </c>
      <c r="B1161" s="36">
        <v>45854</v>
      </c>
      <c r="C1161" s="22">
        <f>YEAR(Table1_1[[#This Row],[Order Date]])</f>
        <v>2025</v>
      </c>
      <c r="D1161" s="22" t="str">
        <f>TEXT(Table1_1[[#This Row],[Order Date]],"MMMM")</f>
        <v>July</v>
      </c>
      <c r="E1161" s="22" t="s">
        <v>26</v>
      </c>
      <c r="F1161" s="22" t="s">
        <v>163</v>
      </c>
      <c r="G1161" s="22" t="s">
        <v>50</v>
      </c>
      <c r="H1161" s="22" t="s">
        <v>19</v>
      </c>
      <c r="I1161" s="22" t="s">
        <v>40</v>
      </c>
      <c r="J1161" s="22" t="s">
        <v>41</v>
      </c>
      <c r="K1161" s="22" t="s">
        <v>1628</v>
      </c>
      <c r="L1161" s="22" t="s">
        <v>57</v>
      </c>
      <c r="M1161" s="22" t="s">
        <v>78</v>
      </c>
      <c r="N1161" s="22">
        <v>11</v>
      </c>
      <c r="O1161" s="26">
        <v>48500</v>
      </c>
      <c r="P1161" s="22">
        <v>0.18</v>
      </c>
      <c r="Q1161" s="30">
        <v>30200</v>
      </c>
      <c r="R1161" s="33">
        <f>Table1_1[[#This Row],[Units Sold]]*Table1_1[[#This Row],[Unit Price]]*1-Table1_1[[#This Row],[Discount]]</f>
        <v>533499.81999999995</v>
      </c>
      <c r="S1161" s="33">
        <f>Table1_1[[#This Row],[Units Sold]]*Table1_1[[#This Row],[Unit Cost]]</f>
        <v>332200</v>
      </c>
      <c r="T1161" s="33">
        <f>Table1_1[[#This Row],[Sales Amount]]-S1161</f>
        <v>201299.81999999995</v>
      </c>
      <c r="U1161" s="32">
        <f>IFERROR(Table1_1[[#This Row],[Profit/loss]]/Table1_1[[#This Row],[Sales Amount]],0)</f>
        <v>0.37731937753980865</v>
      </c>
    </row>
    <row r="1162" spans="1:21" ht="18" x14ac:dyDescent="0.35">
      <c r="A1162" s="21" t="s">
        <v>1269</v>
      </c>
      <c r="B1162" s="36">
        <v>45854</v>
      </c>
      <c r="C1162" s="22">
        <f>YEAR(Table1_1[[#This Row],[Order Date]])</f>
        <v>2025</v>
      </c>
      <c r="D1162" s="22" t="str">
        <f>TEXT(Table1_1[[#This Row],[Order Date]],"MMMM")</f>
        <v>July</v>
      </c>
      <c r="E1162" s="22" t="s">
        <v>26</v>
      </c>
      <c r="F1162" s="22" t="s">
        <v>27</v>
      </c>
      <c r="G1162" s="22" t="s">
        <v>28</v>
      </c>
      <c r="H1162" s="22" t="s">
        <v>29</v>
      </c>
      <c r="I1162" s="22" t="s">
        <v>20</v>
      </c>
      <c r="J1162" s="22" t="s">
        <v>45</v>
      </c>
      <c r="K1162" s="22" t="s">
        <v>1622</v>
      </c>
      <c r="L1162" s="22" t="s">
        <v>33</v>
      </c>
      <c r="M1162" s="22" t="s">
        <v>24</v>
      </c>
      <c r="N1162" s="22">
        <v>31</v>
      </c>
      <c r="O1162" s="26">
        <v>1599</v>
      </c>
      <c r="P1162" s="22">
        <v>0.2</v>
      </c>
      <c r="Q1162" s="30">
        <v>920</v>
      </c>
      <c r="R1162" s="33">
        <f>Table1_1[[#This Row],[Units Sold]]*Table1_1[[#This Row],[Unit Price]]*1-Table1_1[[#This Row],[Discount]]</f>
        <v>49568.800000000003</v>
      </c>
      <c r="S1162" s="33">
        <f>Table1_1[[#This Row],[Units Sold]]*Table1_1[[#This Row],[Unit Cost]]</f>
        <v>28520</v>
      </c>
      <c r="T1162" s="33">
        <f>Table1_1[[#This Row],[Sales Amount]]-S1162</f>
        <v>21048.800000000003</v>
      </c>
      <c r="U1162" s="32">
        <f>IFERROR(Table1_1[[#This Row],[Profit/loss]]/Table1_1[[#This Row],[Sales Amount]],0)</f>
        <v>0.4246380787914979</v>
      </c>
    </row>
    <row r="1163" spans="1:21" ht="18" x14ac:dyDescent="0.35">
      <c r="A1163" s="21" t="s">
        <v>1270</v>
      </c>
      <c r="B1163" s="36">
        <v>45855</v>
      </c>
      <c r="C1163" s="22">
        <f>YEAR(Table1_1[[#This Row],[Order Date]])</f>
        <v>2025</v>
      </c>
      <c r="D1163" s="22" t="str">
        <f>TEXT(Table1_1[[#This Row],[Order Date]],"MMMM")</f>
        <v>July</v>
      </c>
      <c r="E1163" s="22" t="s">
        <v>26</v>
      </c>
      <c r="F1163" s="22" t="s">
        <v>74</v>
      </c>
      <c r="G1163" s="22" t="s">
        <v>105</v>
      </c>
      <c r="H1163" s="22" t="s">
        <v>19</v>
      </c>
      <c r="I1163" s="22" t="s">
        <v>70</v>
      </c>
      <c r="J1163" s="22" t="s">
        <v>71</v>
      </c>
      <c r="K1163" s="22" t="s">
        <v>80</v>
      </c>
      <c r="L1163" s="22" t="s">
        <v>23</v>
      </c>
      <c r="M1163" s="22" t="s">
        <v>34</v>
      </c>
      <c r="N1163" s="22">
        <v>25</v>
      </c>
      <c r="O1163" s="26">
        <v>1299</v>
      </c>
      <c r="P1163" s="22">
        <v>0.2</v>
      </c>
      <c r="Q1163" s="30">
        <v>720</v>
      </c>
      <c r="R1163" s="33">
        <f>Table1_1[[#This Row],[Units Sold]]*Table1_1[[#This Row],[Unit Price]]*1-Table1_1[[#This Row],[Discount]]</f>
        <v>32474.799999999999</v>
      </c>
      <c r="S1163" s="33">
        <f>Table1_1[[#This Row],[Units Sold]]*Table1_1[[#This Row],[Unit Cost]]</f>
        <v>18000</v>
      </c>
      <c r="T1163" s="33">
        <f>Table1_1[[#This Row],[Sales Amount]]-S1163</f>
        <v>14474.8</v>
      </c>
      <c r="U1163" s="32">
        <f>IFERROR(Table1_1[[#This Row],[Profit/loss]]/Table1_1[[#This Row],[Sales Amount]],0)</f>
        <v>0.44572406912436718</v>
      </c>
    </row>
    <row r="1164" spans="1:21" ht="18" x14ac:dyDescent="0.35">
      <c r="A1164" s="21" t="s">
        <v>1271</v>
      </c>
      <c r="B1164" s="36">
        <v>45855</v>
      </c>
      <c r="C1164" s="22">
        <f>YEAR(Table1_1[[#This Row],[Order Date]])</f>
        <v>2025</v>
      </c>
      <c r="D1164" s="22" t="str">
        <f>TEXT(Table1_1[[#This Row],[Order Date]],"MMMM")</f>
        <v>July</v>
      </c>
      <c r="E1164" s="22" t="s">
        <v>36</v>
      </c>
      <c r="F1164" s="22" t="s">
        <v>59</v>
      </c>
      <c r="G1164" s="22" t="s">
        <v>60</v>
      </c>
      <c r="H1164" s="22" t="s">
        <v>19</v>
      </c>
      <c r="I1164" s="22" t="s">
        <v>20</v>
      </c>
      <c r="J1164" s="22" t="s">
        <v>45</v>
      </c>
      <c r="K1164" s="22" t="s">
        <v>196</v>
      </c>
      <c r="L1164" s="22" t="s">
        <v>33</v>
      </c>
      <c r="M1164" s="22" t="s">
        <v>78</v>
      </c>
      <c r="N1164" s="22">
        <v>3</v>
      </c>
      <c r="O1164" s="26">
        <v>2499</v>
      </c>
      <c r="P1164" s="22">
        <v>0.18</v>
      </c>
      <c r="Q1164" s="30">
        <v>1510</v>
      </c>
      <c r="R1164" s="33">
        <f>Table1_1[[#This Row],[Units Sold]]*Table1_1[[#This Row],[Unit Price]]*1-Table1_1[[#This Row],[Discount]]</f>
        <v>7496.82</v>
      </c>
      <c r="S1164" s="33">
        <f>Table1_1[[#This Row],[Units Sold]]*Table1_1[[#This Row],[Unit Cost]]</f>
        <v>4530</v>
      </c>
      <c r="T1164" s="33">
        <f>Table1_1[[#This Row],[Sales Amount]]-S1164</f>
        <v>2966.8199999999997</v>
      </c>
      <c r="U1164" s="32">
        <f>IFERROR(Table1_1[[#This Row],[Profit/loss]]/Table1_1[[#This Row],[Sales Amount]],0)</f>
        <v>0.39574379536923654</v>
      </c>
    </row>
    <row r="1165" spans="1:21" ht="18" x14ac:dyDescent="0.35">
      <c r="A1165" s="21" t="s">
        <v>1272</v>
      </c>
      <c r="B1165" s="36">
        <v>45856</v>
      </c>
      <c r="C1165" s="22">
        <f>YEAR(Table1_1[[#This Row],[Order Date]])</f>
        <v>2025</v>
      </c>
      <c r="D1165" s="22" t="str">
        <f>TEXT(Table1_1[[#This Row],[Order Date]],"MMMM")</f>
        <v>July</v>
      </c>
      <c r="E1165" s="22" t="s">
        <v>82</v>
      </c>
      <c r="F1165" s="22" t="s">
        <v>183</v>
      </c>
      <c r="G1165" s="22" t="s">
        <v>60</v>
      </c>
      <c r="H1165" s="22" t="s">
        <v>29</v>
      </c>
      <c r="I1165" s="22" t="s">
        <v>30</v>
      </c>
      <c r="J1165" s="22" t="s">
        <v>31</v>
      </c>
      <c r="K1165" s="22" t="s">
        <v>85</v>
      </c>
      <c r="L1165" s="22" t="s">
        <v>23</v>
      </c>
      <c r="M1165" s="22" t="s">
        <v>34</v>
      </c>
      <c r="N1165" s="22">
        <v>5</v>
      </c>
      <c r="O1165" s="26">
        <v>43500</v>
      </c>
      <c r="P1165" s="22">
        <v>0.08</v>
      </c>
      <c r="Q1165" s="30">
        <v>29520</v>
      </c>
      <c r="R1165" s="33">
        <f>Table1_1[[#This Row],[Units Sold]]*Table1_1[[#This Row],[Unit Price]]*1-Table1_1[[#This Row],[Discount]]</f>
        <v>217499.92</v>
      </c>
      <c r="S1165" s="33">
        <f>Table1_1[[#This Row],[Units Sold]]*Table1_1[[#This Row],[Unit Cost]]</f>
        <v>147600</v>
      </c>
      <c r="T1165" s="33">
        <f>Table1_1[[#This Row],[Sales Amount]]-S1165</f>
        <v>69899.920000000013</v>
      </c>
      <c r="U1165" s="32">
        <f>IFERROR(Table1_1[[#This Row],[Profit/loss]]/Table1_1[[#This Row],[Sales Amount]],0)</f>
        <v>0.32137906073712585</v>
      </c>
    </row>
    <row r="1166" spans="1:21" ht="18" x14ac:dyDescent="0.35">
      <c r="A1166" s="21" t="s">
        <v>1273</v>
      </c>
      <c r="B1166" s="36">
        <v>45857</v>
      </c>
      <c r="C1166" s="22">
        <f>YEAR(Table1_1[[#This Row],[Order Date]])</f>
        <v>2025</v>
      </c>
      <c r="D1166" s="22" t="str">
        <f>TEXT(Table1_1[[#This Row],[Order Date]],"MMMM")</f>
        <v>July</v>
      </c>
      <c r="E1166" s="22" t="s">
        <v>82</v>
      </c>
      <c r="F1166" s="22" t="s">
        <v>183</v>
      </c>
      <c r="G1166" s="22" t="s">
        <v>28</v>
      </c>
      <c r="H1166" s="22" t="s">
        <v>29</v>
      </c>
      <c r="I1166" s="22" t="s">
        <v>70</v>
      </c>
      <c r="J1166" s="22" t="s">
        <v>71</v>
      </c>
      <c r="K1166" s="22" t="s">
        <v>88</v>
      </c>
      <c r="L1166" s="22" t="s">
        <v>57</v>
      </c>
      <c r="M1166" s="22" t="s">
        <v>34</v>
      </c>
      <c r="N1166" s="22">
        <v>36</v>
      </c>
      <c r="O1166" s="26">
        <v>999</v>
      </c>
      <c r="P1166" s="22">
        <v>0.2</v>
      </c>
      <c r="Q1166" s="30">
        <v>540</v>
      </c>
      <c r="R1166" s="33">
        <f>Table1_1[[#This Row],[Units Sold]]*Table1_1[[#This Row],[Unit Price]]*1-Table1_1[[#This Row],[Discount]]</f>
        <v>35963.800000000003</v>
      </c>
      <c r="S1166" s="33">
        <f>Table1_1[[#This Row],[Units Sold]]*Table1_1[[#This Row],[Unit Cost]]</f>
        <v>19440</v>
      </c>
      <c r="T1166" s="33">
        <f>Table1_1[[#This Row],[Sales Amount]]-S1166</f>
        <v>16523.800000000003</v>
      </c>
      <c r="U1166" s="32">
        <f>IFERROR(Table1_1[[#This Row],[Profit/loss]]/Table1_1[[#This Row],[Sales Amount]],0)</f>
        <v>0.45945645343373065</v>
      </c>
    </row>
    <row r="1167" spans="1:21" ht="18" x14ac:dyDescent="0.35">
      <c r="A1167" s="21" t="s">
        <v>1274</v>
      </c>
      <c r="B1167" s="36">
        <v>45857</v>
      </c>
      <c r="C1167" s="22">
        <f>YEAR(Table1_1[[#This Row],[Order Date]])</f>
        <v>2025</v>
      </c>
      <c r="D1167" s="22" t="str">
        <f>TEXT(Table1_1[[#This Row],[Order Date]],"MMMM")</f>
        <v>July</v>
      </c>
      <c r="E1167" s="22" t="s">
        <v>36</v>
      </c>
      <c r="F1167" s="22" t="s">
        <v>59</v>
      </c>
      <c r="G1167" s="22" t="s">
        <v>84</v>
      </c>
      <c r="H1167" s="22" t="s">
        <v>39</v>
      </c>
      <c r="I1167" s="22" t="s">
        <v>20</v>
      </c>
      <c r="J1167" s="22" t="s">
        <v>45</v>
      </c>
      <c r="K1167" s="22" t="s">
        <v>196</v>
      </c>
      <c r="L1167" s="22" t="s">
        <v>23</v>
      </c>
      <c r="M1167" s="22" t="s">
        <v>24</v>
      </c>
      <c r="N1167" s="22">
        <v>5</v>
      </c>
      <c r="O1167" s="26">
        <v>2499</v>
      </c>
      <c r="P1167" s="22">
        <v>0.12</v>
      </c>
      <c r="Q1167" s="30">
        <v>1510</v>
      </c>
      <c r="R1167" s="33">
        <f>Table1_1[[#This Row],[Units Sold]]*Table1_1[[#This Row],[Unit Price]]*1-Table1_1[[#This Row],[Discount]]</f>
        <v>12494.88</v>
      </c>
      <c r="S1167" s="33">
        <f>Table1_1[[#This Row],[Units Sold]]*Table1_1[[#This Row],[Unit Cost]]</f>
        <v>7550</v>
      </c>
      <c r="T1167" s="33">
        <f>Table1_1[[#This Row],[Sales Amount]]-S1167</f>
        <v>4944.8799999999992</v>
      </c>
      <c r="U1167" s="32">
        <f>IFERROR(Table1_1[[#This Row],[Profit/loss]]/Table1_1[[#This Row],[Sales Amount]],0)</f>
        <v>0.39575250022409175</v>
      </c>
    </row>
    <row r="1168" spans="1:21" ht="18" x14ac:dyDescent="0.35">
      <c r="A1168" s="21" t="s">
        <v>1275</v>
      </c>
      <c r="B1168" s="36">
        <v>45858</v>
      </c>
      <c r="C1168" s="22">
        <f>YEAR(Table1_1[[#This Row],[Order Date]])</f>
        <v>2025</v>
      </c>
      <c r="D1168" s="22" t="str">
        <f>TEXT(Table1_1[[#This Row],[Order Date]],"MMMM")</f>
        <v>July</v>
      </c>
      <c r="E1168" s="22" t="s">
        <v>82</v>
      </c>
      <c r="F1168" s="22" t="s">
        <v>183</v>
      </c>
      <c r="G1168" s="22" t="s">
        <v>38</v>
      </c>
      <c r="H1168" s="22" t="s">
        <v>29</v>
      </c>
      <c r="I1168" s="22" t="s">
        <v>54</v>
      </c>
      <c r="J1168" s="22" t="s">
        <v>55</v>
      </c>
      <c r="K1168" s="22" t="s">
        <v>148</v>
      </c>
      <c r="L1168" s="22" t="s">
        <v>57</v>
      </c>
      <c r="M1168" s="22" t="s">
        <v>24</v>
      </c>
      <c r="N1168" s="22">
        <v>33</v>
      </c>
      <c r="O1168" s="26">
        <v>4680</v>
      </c>
      <c r="P1168" s="22">
        <v>0.12</v>
      </c>
      <c r="Q1168" s="30">
        <v>3250</v>
      </c>
      <c r="R1168" s="33">
        <f>Table1_1[[#This Row],[Units Sold]]*Table1_1[[#This Row],[Unit Price]]*1-Table1_1[[#This Row],[Discount]]</f>
        <v>154439.88</v>
      </c>
      <c r="S1168" s="33">
        <f>Table1_1[[#This Row],[Units Sold]]*Table1_1[[#This Row],[Unit Cost]]</f>
        <v>107250</v>
      </c>
      <c r="T1168" s="33">
        <f>Table1_1[[#This Row],[Sales Amount]]-S1168</f>
        <v>47189.880000000005</v>
      </c>
      <c r="U1168" s="32">
        <f>IFERROR(Table1_1[[#This Row],[Profit/loss]]/Table1_1[[#This Row],[Sales Amount]],0)</f>
        <v>0.30555501597126339</v>
      </c>
    </row>
    <row r="1169" spans="1:21" ht="18" x14ac:dyDescent="0.35">
      <c r="A1169" s="21" t="s">
        <v>1276</v>
      </c>
      <c r="B1169" s="36">
        <v>45859</v>
      </c>
      <c r="C1169" s="22">
        <f>YEAR(Table1_1[[#This Row],[Order Date]])</f>
        <v>2025</v>
      </c>
      <c r="D1169" s="22" t="str">
        <f>TEXT(Table1_1[[#This Row],[Order Date]],"MMMM")</f>
        <v>July</v>
      </c>
      <c r="E1169" s="22" t="s">
        <v>26</v>
      </c>
      <c r="F1169" s="22" t="s">
        <v>53</v>
      </c>
      <c r="G1169" s="22" t="s">
        <v>60</v>
      </c>
      <c r="H1169" s="22" t="s">
        <v>39</v>
      </c>
      <c r="I1169" s="22" t="s">
        <v>20</v>
      </c>
      <c r="J1169" s="22" t="s">
        <v>45</v>
      </c>
      <c r="K1169" s="22" t="s">
        <v>1622</v>
      </c>
      <c r="L1169" s="22" t="s">
        <v>23</v>
      </c>
      <c r="M1169" s="22" t="s">
        <v>24</v>
      </c>
      <c r="N1169" s="22">
        <v>37</v>
      </c>
      <c r="O1169" s="26">
        <v>1599</v>
      </c>
      <c r="P1169" s="22">
        <v>0.05</v>
      </c>
      <c r="Q1169" s="30">
        <v>920</v>
      </c>
      <c r="R1169" s="33">
        <f>Table1_1[[#This Row],[Units Sold]]*Table1_1[[#This Row],[Unit Price]]*1-Table1_1[[#This Row],[Discount]]</f>
        <v>59162.95</v>
      </c>
      <c r="S1169" s="33">
        <f>Table1_1[[#This Row],[Units Sold]]*Table1_1[[#This Row],[Unit Cost]]</f>
        <v>34040</v>
      </c>
      <c r="T1169" s="33">
        <f>Table1_1[[#This Row],[Sales Amount]]-S1169</f>
        <v>25122.949999999997</v>
      </c>
      <c r="U1169" s="32">
        <f>IFERROR(Table1_1[[#This Row],[Profit/loss]]/Table1_1[[#This Row],[Sales Amount]],0)</f>
        <v>0.42463991400023154</v>
      </c>
    </row>
    <row r="1170" spans="1:21" ht="18" x14ac:dyDescent="0.35">
      <c r="A1170" s="21" t="s">
        <v>1277</v>
      </c>
      <c r="B1170" s="36">
        <v>45859</v>
      </c>
      <c r="C1170" s="22">
        <f>YEAR(Table1_1[[#This Row],[Order Date]])</f>
        <v>2025</v>
      </c>
      <c r="D1170" s="22" t="str">
        <f>TEXT(Table1_1[[#This Row],[Order Date]],"MMMM")</f>
        <v>July</v>
      </c>
      <c r="E1170" s="22" t="s">
        <v>48</v>
      </c>
      <c r="F1170" s="22" t="s">
        <v>49</v>
      </c>
      <c r="G1170" s="22" t="s">
        <v>50</v>
      </c>
      <c r="H1170" s="22" t="s">
        <v>29</v>
      </c>
      <c r="I1170" s="22" t="s">
        <v>40</v>
      </c>
      <c r="J1170" s="22" t="s">
        <v>41</v>
      </c>
      <c r="K1170" s="22" t="s">
        <v>42</v>
      </c>
      <c r="L1170" s="22" t="s">
        <v>23</v>
      </c>
      <c r="M1170" s="22" t="s">
        <v>66</v>
      </c>
      <c r="N1170" s="22">
        <v>39</v>
      </c>
      <c r="O1170" s="26">
        <v>55230</v>
      </c>
      <c r="P1170" s="22">
        <v>0.12</v>
      </c>
      <c r="Q1170" s="30">
        <v>33800</v>
      </c>
      <c r="R1170" s="33">
        <f>Table1_1[[#This Row],[Units Sold]]*Table1_1[[#This Row],[Unit Price]]*1-Table1_1[[#This Row],[Discount]]</f>
        <v>2153969.88</v>
      </c>
      <c r="S1170" s="33">
        <f>Table1_1[[#This Row],[Units Sold]]*Table1_1[[#This Row],[Unit Cost]]</f>
        <v>1318200</v>
      </c>
      <c r="T1170" s="33">
        <f>Table1_1[[#This Row],[Sales Amount]]-S1170</f>
        <v>835769.87999999989</v>
      </c>
      <c r="U1170" s="32">
        <f>IFERROR(Table1_1[[#This Row],[Profit/loss]]/Table1_1[[#This Row],[Sales Amount]],0)</f>
        <v>0.3880137265429171</v>
      </c>
    </row>
    <row r="1171" spans="1:21" ht="18" x14ac:dyDescent="0.35">
      <c r="A1171" s="21" t="s">
        <v>1278</v>
      </c>
      <c r="B1171" s="36">
        <v>45859</v>
      </c>
      <c r="C1171" s="22">
        <f>YEAR(Table1_1[[#This Row],[Order Date]])</f>
        <v>2025</v>
      </c>
      <c r="D1171" s="22" t="str">
        <f>TEXT(Table1_1[[#This Row],[Order Date]],"MMMM")</f>
        <v>July</v>
      </c>
      <c r="E1171" s="22" t="s">
        <v>36</v>
      </c>
      <c r="F1171" s="22" t="s">
        <v>59</v>
      </c>
      <c r="G1171" s="22" t="s">
        <v>105</v>
      </c>
      <c r="H1171" s="22" t="s">
        <v>29</v>
      </c>
      <c r="I1171" s="22" t="s">
        <v>30</v>
      </c>
      <c r="J1171" s="22" t="s">
        <v>61</v>
      </c>
      <c r="K1171" s="22" t="s">
        <v>96</v>
      </c>
      <c r="L1171" s="22" t="s">
        <v>33</v>
      </c>
      <c r="M1171" s="22" t="s">
        <v>78</v>
      </c>
      <c r="N1171" s="22">
        <v>20</v>
      </c>
      <c r="O1171" s="26">
        <v>25110</v>
      </c>
      <c r="P1171" s="22">
        <v>0.18</v>
      </c>
      <c r="Q1171" s="30">
        <v>16730</v>
      </c>
      <c r="R1171" s="33">
        <f>Table1_1[[#This Row],[Units Sold]]*Table1_1[[#This Row],[Unit Price]]*1-Table1_1[[#This Row],[Discount]]</f>
        <v>502199.82</v>
      </c>
      <c r="S1171" s="33">
        <f>Table1_1[[#This Row],[Units Sold]]*Table1_1[[#This Row],[Unit Cost]]</f>
        <v>334600</v>
      </c>
      <c r="T1171" s="33">
        <f>Table1_1[[#This Row],[Sales Amount]]-S1171</f>
        <v>167599.82</v>
      </c>
      <c r="U1171" s="32">
        <f>IFERROR(Table1_1[[#This Row],[Profit/loss]]/Table1_1[[#This Row],[Sales Amount]],0)</f>
        <v>0.3337313422374385</v>
      </c>
    </row>
    <row r="1172" spans="1:21" ht="18" x14ac:dyDescent="0.35">
      <c r="A1172" s="21" t="s">
        <v>1279</v>
      </c>
      <c r="B1172" s="36">
        <v>45861</v>
      </c>
      <c r="C1172" s="22">
        <f>YEAR(Table1_1[[#This Row],[Order Date]])</f>
        <v>2025</v>
      </c>
      <c r="D1172" s="22" t="str">
        <f>TEXT(Table1_1[[#This Row],[Order Date]],"MMMM")</f>
        <v>July</v>
      </c>
      <c r="E1172" s="22" t="s">
        <v>16</v>
      </c>
      <c r="F1172" s="22" t="s">
        <v>111</v>
      </c>
      <c r="G1172" s="22" t="s">
        <v>105</v>
      </c>
      <c r="H1172" s="22" t="s">
        <v>19</v>
      </c>
      <c r="I1172" s="22" t="s">
        <v>20</v>
      </c>
      <c r="J1172" s="22" t="s">
        <v>21</v>
      </c>
      <c r="K1172" s="22" t="s">
        <v>51</v>
      </c>
      <c r="L1172" s="22" t="s">
        <v>23</v>
      </c>
      <c r="M1172" s="22" t="s">
        <v>78</v>
      </c>
      <c r="N1172" s="22">
        <v>10</v>
      </c>
      <c r="O1172" s="26">
        <v>5999</v>
      </c>
      <c r="P1172" s="22">
        <v>0.2</v>
      </c>
      <c r="Q1172" s="30">
        <v>3890</v>
      </c>
      <c r="R1172" s="33">
        <f>Table1_1[[#This Row],[Units Sold]]*Table1_1[[#This Row],[Unit Price]]*1-Table1_1[[#This Row],[Discount]]</f>
        <v>59989.8</v>
      </c>
      <c r="S1172" s="33">
        <f>Table1_1[[#This Row],[Units Sold]]*Table1_1[[#This Row],[Unit Cost]]</f>
        <v>38900</v>
      </c>
      <c r="T1172" s="33">
        <f>Table1_1[[#This Row],[Sales Amount]]-S1172</f>
        <v>21089.800000000003</v>
      </c>
      <c r="U1172" s="32">
        <f>IFERROR(Table1_1[[#This Row],[Profit/loss]]/Table1_1[[#This Row],[Sales Amount]],0)</f>
        <v>0.35155643125998087</v>
      </c>
    </row>
    <row r="1173" spans="1:21" ht="18" x14ac:dyDescent="0.35">
      <c r="A1173" s="21" t="s">
        <v>1280</v>
      </c>
      <c r="B1173" s="36">
        <v>45861</v>
      </c>
      <c r="C1173" s="22">
        <f>YEAR(Table1_1[[#This Row],[Order Date]])</f>
        <v>2025</v>
      </c>
      <c r="D1173" s="22" t="str">
        <f>TEXT(Table1_1[[#This Row],[Order Date]],"MMMM")</f>
        <v>July</v>
      </c>
      <c r="E1173" s="22" t="s">
        <v>36</v>
      </c>
      <c r="F1173" s="22" t="s">
        <v>121</v>
      </c>
      <c r="G1173" s="22" t="s">
        <v>18</v>
      </c>
      <c r="H1173" s="22" t="s">
        <v>19</v>
      </c>
      <c r="I1173" s="22" t="s">
        <v>30</v>
      </c>
      <c r="J1173" s="22" t="s">
        <v>31</v>
      </c>
      <c r="K1173" s="22" t="s">
        <v>106</v>
      </c>
      <c r="L1173" s="22" t="s">
        <v>33</v>
      </c>
      <c r="M1173" s="22" t="s">
        <v>78</v>
      </c>
      <c r="N1173" s="22">
        <v>39</v>
      </c>
      <c r="O1173" s="26">
        <v>52990</v>
      </c>
      <c r="P1173" s="22">
        <v>0.2</v>
      </c>
      <c r="Q1173" s="30">
        <v>35100</v>
      </c>
      <c r="R1173" s="33">
        <f>Table1_1[[#This Row],[Units Sold]]*Table1_1[[#This Row],[Unit Price]]*1-Table1_1[[#This Row],[Discount]]</f>
        <v>2066609.8</v>
      </c>
      <c r="S1173" s="33">
        <f>Table1_1[[#This Row],[Units Sold]]*Table1_1[[#This Row],[Unit Cost]]</f>
        <v>1368900</v>
      </c>
      <c r="T1173" s="33">
        <f>Table1_1[[#This Row],[Sales Amount]]-S1173</f>
        <v>697709.8</v>
      </c>
      <c r="U1173" s="32">
        <f>IFERROR(Table1_1[[#This Row],[Profit/loss]]/Table1_1[[#This Row],[Sales Amount]],0)</f>
        <v>0.33761080587152931</v>
      </c>
    </row>
    <row r="1174" spans="1:21" ht="18" x14ac:dyDescent="0.35">
      <c r="A1174" s="21" t="s">
        <v>1281</v>
      </c>
      <c r="B1174" s="36">
        <v>45862</v>
      </c>
      <c r="C1174" s="22">
        <f>YEAR(Table1_1[[#This Row],[Order Date]])</f>
        <v>2025</v>
      </c>
      <c r="D1174" s="22" t="str">
        <f>TEXT(Table1_1[[#This Row],[Order Date]],"MMMM")</f>
        <v>July</v>
      </c>
      <c r="E1174" s="22" t="s">
        <v>82</v>
      </c>
      <c r="F1174" s="22" t="s">
        <v>87</v>
      </c>
      <c r="G1174" s="22" t="s">
        <v>101</v>
      </c>
      <c r="H1174" s="22" t="s">
        <v>29</v>
      </c>
      <c r="I1174" s="22" t="s">
        <v>20</v>
      </c>
      <c r="J1174" s="22" t="s">
        <v>45</v>
      </c>
      <c r="K1174" s="22" t="s">
        <v>196</v>
      </c>
      <c r="L1174" s="22" t="s">
        <v>57</v>
      </c>
      <c r="M1174" s="22" t="s">
        <v>66</v>
      </c>
      <c r="N1174" s="22">
        <v>9</v>
      </c>
      <c r="O1174" s="26">
        <v>2499</v>
      </c>
      <c r="P1174" s="22">
        <v>0.1</v>
      </c>
      <c r="Q1174" s="30">
        <v>1510</v>
      </c>
      <c r="R1174" s="33">
        <f>Table1_1[[#This Row],[Units Sold]]*Table1_1[[#This Row],[Unit Price]]*1-Table1_1[[#This Row],[Discount]]</f>
        <v>22490.9</v>
      </c>
      <c r="S1174" s="33">
        <f>Table1_1[[#This Row],[Units Sold]]*Table1_1[[#This Row],[Unit Cost]]</f>
        <v>13590</v>
      </c>
      <c r="T1174" s="33">
        <f>Table1_1[[#This Row],[Sales Amount]]-S1174</f>
        <v>8900.9000000000015</v>
      </c>
      <c r="U1174" s="32">
        <f>IFERROR(Table1_1[[#This Row],[Profit/loss]]/Table1_1[[#This Row],[Sales Amount]],0)</f>
        <v>0.39575561671609411</v>
      </c>
    </row>
    <row r="1175" spans="1:21" ht="18" x14ac:dyDescent="0.35">
      <c r="A1175" s="21" t="s">
        <v>1282</v>
      </c>
      <c r="B1175" s="36">
        <v>45862</v>
      </c>
      <c r="C1175" s="22">
        <f>YEAR(Table1_1[[#This Row],[Order Date]])</f>
        <v>2025</v>
      </c>
      <c r="D1175" s="22" t="str">
        <f>TEXT(Table1_1[[#This Row],[Order Date]],"MMMM")</f>
        <v>July</v>
      </c>
      <c r="E1175" s="22" t="s">
        <v>26</v>
      </c>
      <c r="F1175" s="22" t="s">
        <v>27</v>
      </c>
      <c r="G1175" s="22" t="s">
        <v>101</v>
      </c>
      <c r="H1175" s="22" t="s">
        <v>29</v>
      </c>
      <c r="I1175" s="22" t="s">
        <v>40</v>
      </c>
      <c r="J1175" s="22" t="s">
        <v>76</v>
      </c>
      <c r="K1175" s="22" t="s">
        <v>113</v>
      </c>
      <c r="L1175" s="22" t="s">
        <v>33</v>
      </c>
      <c r="M1175" s="22" t="s">
        <v>66</v>
      </c>
      <c r="N1175" s="22">
        <v>25</v>
      </c>
      <c r="O1175" s="26">
        <v>22999</v>
      </c>
      <c r="P1175" s="22">
        <v>0.12</v>
      </c>
      <c r="Q1175" s="30">
        <v>15100</v>
      </c>
      <c r="R1175" s="33">
        <f>Table1_1[[#This Row],[Units Sold]]*Table1_1[[#This Row],[Unit Price]]*1-Table1_1[[#This Row],[Discount]]</f>
        <v>574974.88</v>
      </c>
      <c r="S1175" s="33">
        <f>Table1_1[[#This Row],[Units Sold]]*Table1_1[[#This Row],[Unit Cost]]</f>
        <v>377500</v>
      </c>
      <c r="T1175" s="33">
        <f>Table1_1[[#This Row],[Sales Amount]]-S1175</f>
        <v>197474.88</v>
      </c>
      <c r="U1175" s="32">
        <f>IFERROR(Table1_1[[#This Row],[Profit/loss]]/Table1_1[[#This Row],[Sales Amount]],0)</f>
        <v>0.34344957817983285</v>
      </c>
    </row>
    <row r="1176" spans="1:21" ht="18" x14ac:dyDescent="0.35">
      <c r="A1176" s="21" t="s">
        <v>1283</v>
      </c>
      <c r="B1176" s="36">
        <v>45864</v>
      </c>
      <c r="C1176" s="22">
        <f>YEAR(Table1_1[[#This Row],[Order Date]])</f>
        <v>2025</v>
      </c>
      <c r="D1176" s="22" t="str">
        <f>TEXT(Table1_1[[#This Row],[Order Date]],"MMMM")</f>
        <v>July</v>
      </c>
      <c r="E1176" s="22" t="s">
        <v>26</v>
      </c>
      <c r="F1176" s="22" t="s">
        <v>27</v>
      </c>
      <c r="G1176" s="22" t="s">
        <v>38</v>
      </c>
      <c r="H1176" s="22" t="s">
        <v>29</v>
      </c>
      <c r="I1176" s="22" t="s">
        <v>30</v>
      </c>
      <c r="J1176" s="22" t="s">
        <v>61</v>
      </c>
      <c r="K1176" s="22" t="s">
        <v>186</v>
      </c>
      <c r="L1176" s="22" t="s">
        <v>33</v>
      </c>
      <c r="M1176" s="22" t="s">
        <v>24</v>
      </c>
      <c r="N1176" s="22">
        <v>32</v>
      </c>
      <c r="O1176" s="26">
        <v>6999</v>
      </c>
      <c r="P1176" s="22">
        <v>0.08</v>
      </c>
      <c r="Q1176" s="30">
        <v>4320</v>
      </c>
      <c r="R1176" s="33">
        <f>Table1_1[[#This Row],[Units Sold]]*Table1_1[[#This Row],[Unit Price]]*1-Table1_1[[#This Row],[Discount]]</f>
        <v>223967.92</v>
      </c>
      <c r="S1176" s="33">
        <f>Table1_1[[#This Row],[Units Sold]]*Table1_1[[#This Row],[Unit Cost]]</f>
        <v>138240</v>
      </c>
      <c r="T1176" s="33">
        <f>Table1_1[[#This Row],[Sales Amount]]-S1176</f>
        <v>85727.920000000013</v>
      </c>
      <c r="U1176" s="32">
        <f>IFERROR(Table1_1[[#This Row],[Profit/loss]]/Table1_1[[#This Row],[Sales Amount]],0)</f>
        <v>0.38276874652405579</v>
      </c>
    </row>
    <row r="1177" spans="1:21" ht="18" x14ac:dyDescent="0.35">
      <c r="A1177" s="21" t="s">
        <v>1284</v>
      </c>
      <c r="B1177" s="36">
        <v>45864</v>
      </c>
      <c r="C1177" s="22">
        <f>YEAR(Table1_1[[#This Row],[Order Date]])</f>
        <v>2025</v>
      </c>
      <c r="D1177" s="22" t="str">
        <f>TEXT(Table1_1[[#This Row],[Order Date]],"MMMM")</f>
        <v>July</v>
      </c>
      <c r="E1177" s="22" t="s">
        <v>82</v>
      </c>
      <c r="F1177" s="22" t="s">
        <v>100</v>
      </c>
      <c r="G1177" s="22" t="s">
        <v>50</v>
      </c>
      <c r="H1177" s="22" t="s">
        <v>29</v>
      </c>
      <c r="I1177" s="22" t="s">
        <v>40</v>
      </c>
      <c r="J1177" s="22" t="s">
        <v>64</v>
      </c>
      <c r="K1177" s="22" t="s">
        <v>1629</v>
      </c>
      <c r="L1177" s="22" t="s">
        <v>57</v>
      </c>
      <c r="M1177" s="22" t="s">
        <v>34</v>
      </c>
      <c r="N1177" s="22">
        <v>30</v>
      </c>
      <c r="O1177" s="26">
        <v>3299</v>
      </c>
      <c r="P1177" s="22">
        <v>0.1</v>
      </c>
      <c r="Q1177" s="30">
        <v>2050</v>
      </c>
      <c r="R1177" s="33">
        <f>Table1_1[[#This Row],[Units Sold]]*Table1_1[[#This Row],[Unit Price]]*1-Table1_1[[#This Row],[Discount]]</f>
        <v>98969.9</v>
      </c>
      <c r="S1177" s="33">
        <f>Table1_1[[#This Row],[Units Sold]]*Table1_1[[#This Row],[Unit Cost]]</f>
        <v>61500</v>
      </c>
      <c r="T1177" s="33">
        <f>Table1_1[[#This Row],[Sales Amount]]-S1177</f>
        <v>37469.899999999994</v>
      </c>
      <c r="U1177" s="32">
        <f>IFERROR(Table1_1[[#This Row],[Profit/loss]]/Table1_1[[#This Row],[Sales Amount]],0)</f>
        <v>0.37859894776088482</v>
      </c>
    </row>
    <row r="1178" spans="1:21" ht="18" x14ac:dyDescent="0.35">
      <c r="A1178" s="21" t="s">
        <v>1285</v>
      </c>
      <c r="B1178" s="36">
        <v>45865</v>
      </c>
      <c r="C1178" s="22">
        <f>YEAR(Table1_1[[#This Row],[Order Date]])</f>
        <v>2025</v>
      </c>
      <c r="D1178" s="22" t="str">
        <f>TEXT(Table1_1[[#This Row],[Order Date]],"MMMM")</f>
        <v>July</v>
      </c>
      <c r="E1178" s="22" t="s">
        <v>82</v>
      </c>
      <c r="F1178" s="22" t="s">
        <v>87</v>
      </c>
      <c r="G1178" s="22" t="s">
        <v>38</v>
      </c>
      <c r="H1178" s="22" t="s">
        <v>29</v>
      </c>
      <c r="I1178" s="22" t="s">
        <v>20</v>
      </c>
      <c r="J1178" s="22" t="s">
        <v>21</v>
      </c>
      <c r="K1178" s="22" t="s">
        <v>51</v>
      </c>
      <c r="L1178" s="22" t="s">
        <v>23</v>
      </c>
      <c r="M1178" s="22" t="s">
        <v>66</v>
      </c>
      <c r="N1178" s="22">
        <v>7</v>
      </c>
      <c r="O1178" s="26">
        <v>5999</v>
      </c>
      <c r="P1178" s="22">
        <v>0.18</v>
      </c>
      <c r="Q1178" s="30">
        <v>3890</v>
      </c>
      <c r="R1178" s="33">
        <f>Table1_1[[#This Row],[Units Sold]]*Table1_1[[#This Row],[Unit Price]]*1-Table1_1[[#This Row],[Discount]]</f>
        <v>41992.82</v>
      </c>
      <c r="S1178" s="33">
        <f>Table1_1[[#This Row],[Units Sold]]*Table1_1[[#This Row],[Unit Cost]]</f>
        <v>27230</v>
      </c>
      <c r="T1178" s="33">
        <f>Table1_1[[#This Row],[Sales Amount]]-S1178</f>
        <v>14762.82</v>
      </c>
      <c r="U1178" s="32">
        <f>IFERROR(Table1_1[[#This Row],[Profit/loss]]/Table1_1[[#This Row],[Sales Amount]],0)</f>
        <v>0.351555813589085</v>
      </c>
    </row>
    <row r="1179" spans="1:21" ht="18" x14ac:dyDescent="0.35">
      <c r="A1179" s="21" t="s">
        <v>1286</v>
      </c>
      <c r="B1179" s="36">
        <v>45867</v>
      </c>
      <c r="C1179" s="22">
        <f>YEAR(Table1_1[[#This Row],[Order Date]])</f>
        <v>2025</v>
      </c>
      <c r="D1179" s="22" t="str">
        <f>TEXT(Table1_1[[#This Row],[Order Date]],"MMMM")</f>
        <v>July</v>
      </c>
      <c r="E1179" s="22" t="s">
        <v>16</v>
      </c>
      <c r="F1179" s="22" t="s">
        <v>126</v>
      </c>
      <c r="G1179" s="22" t="s">
        <v>69</v>
      </c>
      <c r="H1179" s="22" t="s">
        <v>19</v>
      </c>
      <c r="I1179" s="22" t="s">
        <v>20</v>
      </c>
      <c r="J1179" s="22" t="s">
        <v>45</v>
      </c>
      <c r="K1179" s="22" t="s">
        <v>1622</v>
      </c>
      <c r="L1179" s="22" t="s">
        <v>57</v>
      </c>
      <c r="M1179" s="22" t="s">
        <v>24</v>
      </c>
      <c r="N1179" s="22">
        <v>38</v>
      </c>
      <c r="O1179" s="26">
        <v>1599</v>
      </c>
      <c r="P1179" s="22">
        <v>0.05</v>
      </c>
      <c r="Q1179" s="30">
        <v>920</v>
      </c>
      <c r="R1179" s="33">
        <f>Table1_1[[#This Row],[Units Sold]]*Table1_1[[#This Row],[Unit Price]]*1-Table1_1[[#This Row],[Discount]]</f>
        <v>60761.95</v>
      </c>
      <c r="S1179" s="33">
        <f>Table1_1[[#This Row],[Units Sold]]*Table1_1[[#This Row],[Unit Cost]]</f>
        <v>34960</v>
      </c>
      <c r="T1179" s="33">
        <f>Table1_1[[#This Row],[Sales Amount]]-S1179</f>
        <v>25801.949999999997</v>
      </c>
      <c r="U1179" s="32">
        <f>IFERROR(Table1_1[[#This Row],[Profit/loss]]/Table1_1[[#This Row],[Sales Amount]],0)</f>
        <v>0.4246399267962927</v>
      </c>
    </row>
    <row r="1180" spans="1:21" ht="18" x14ac:dyDescent="0.35">
      <c r="A1180" s="21" t="s">
        <v>1287</v>
      </c>
      <c r="B1180" s="36">
        <v>45868</v>
      </c>
      <c r="C1180" s="22">
        <f>YEAR(Table1_1[[#This Row],[Order Date]])</f>
        <v>2025</v>
      </c>
      <c r="D1180" s="22" t="str">
        <f>TEXT(Table1_1[[#This Row],[Order Date]],"MMMM")</f>
        <v>July</v>
      </c>
      <c r="E1180" s="22" t="s">
        <v>48</v>
      </c>
      <c r="F1180" s="22" t="s">
        <v>136</v>
      </c>
      <c r="G1180" s="22" t="s">
        <v>60</v>
      </c>
      <c r="H1180" s="22" t="s">
        <v>19</v>
      </c>
      <c r="I1180" s="22" t="s">
        <v>70</v>
      </c>
      <c r="J1180" s="22" t="s">
        <v>71</v>
      </c>
      <c r="K1180" s="22" t="s">
        <v>88</v>
      </c>
      <c r="L1180" s="22" t="s">
        <v>33</v>
      </c>
      <c r="M1180" s="22" t="s">
        <v>66</v>
      </c>
      <c r="N1180" s="22">
        <v>14</v>
      </c>
      <c r="O1180" s="26">
        <v>999</v>
      </c>
      <c r="P1180" s="22">
        <v>0.12</v>
      </c>
      <c r="Q1180" s="30">
        <v>540</v>
      </c>
      <c r="R1180" s="33">
        <f>Table1_1[[#This Row],[Units Sold]]*Table1_1[[#This Row],[Unit Price]]*1-Table1_1[[#This Row],[Discount]]</f>
        <v>13985.88</v>
      </c>
      <c r="S1180" s="33">
        <f>Table1_1[[#This Row],[Units Sold]]*Table1_1[[#This Row],[Unit Cost]]</f>
        <v>7560</v>
      </c>
      <c r="T1180" s="33">
        <f>Table1_1[[#This Row],[Sales Amount]]-S1180</f>
        <v>6425.8799999999992</v>
      </c>
      <c r="U1180" s="32">
        <f>IFERROR(Table1_1[[#This Row],[Profit/loss]]/Table1_1[[#This Row],[Sales Amount]],0)</f>
        <v>0.4594548215771907</v>
      </c>
    </row>
    <row r="1181" spans="1:21" ht="18" x14ac:dyDescent="0.35">
      <c r="A1181" s="21" t="s">
        <v>1288</v>
      </c>
      <c r="B1181" s="36">
        <v>45868</v>
      </c>
      <c r="C1181" s="22">
        <f>YEAR(Table1_1[[#This Row],[Order Date]])</f>
        <v>2025</v>
      </c>
      <c r="D1181" s="22" t="str">
        <f>TEXT(Table1_1[[#This Row],[Order Date]],"MMMM")</f>
        <v>July</v>
      </c>
      <c r="E1181" s="22" t="s">
        <v>48</v>
      </c>
      <c r="F1181" s="22" t="s">
        <v>93</v>
      </c>
      <c r="G1181" s="22" t="s">
        <v>60</v>
      </c>
      <c r="H1181" s="22" t="s">
        <v>29</v>
      </c>
      <c r="I1181" s="22" t="s">
        <v>20</v>
      </c>
      <c r="J1181" s="22" t="s">
        <v>21</v>
      </c>
      <c r="K1181" s="22" t="s">
        <v>22</v>
      </c>
      <c r="L1181" s="22" t="s">
        <v>23</v>
      </c>
      <c r="M1181" s="22" t="s">
        <v>66</v>
      </c>
      <c r="N1181" s="22">
        <v>20</v>
      </c>
      <c r="O1181" s="26">
        <v>4499</v>
      </c>
      <c r="P1181" s="22">
        <v>0.12</v>
      </c>
      <c r="Q1181" s="30">
        <v>2910</v>
      </c>
      <c r="R1181" s="33">
        <f>Table1_1[[#This Row],[Units Sold]]*Table1_1[[#This Row],[Unit Price]]*1-Table1_1[[#This Row],[Discount]]</f>
        <v>89979.88</v>
      </c>
      <c r="S1181" s="33">
        <f>Table1_1[[#This Row],[Units Sold]]*Table1_1[[#This Row],[Unit Cost]]</f>
        <v>58200</v>
      </c>
      <c r="T1181" s="33">
        <f>Table1_1[[#This Row],[Sales Amount]]-S1181</f>
        <v>31779.880000000005</v>
      </c>
      <c r="U1181" s="32">
        <f>IFERROR(Table1_1[[#This Row],[Profit/loss]]/Table1_1[[#This Row],[Sales Amount]],0)</f>
        <v>0.35318873508166498</v>
      </c>
    </row>
    <row r="1182" spans="1:21" ht="18" x14ac:dyDescent="0.35">
      <c r="A1182" s="21" t="s">
        <v>1289</v>
      </c>
      <c r="B1182" s="36">
        <v>45868</v>
      </c>
      <c r="C1182" s="22">
        <f>YEAR(Table1_1[[#This Row],[Order Date]])</f>
        <v>2025</v>
      </c>
      <c r="D1182" s="22" t="str">
        <f>TEXT(Table1_1[[#This Row],[Order Date]],"MMMM")</f>
        <v>July</v>
      </c>
      <c r="E1182" s="22" t="s">
        <v>16</v>
      </c>
      <c r="F1182" s="22" t="s">
        <v>126</v>
      </c>
      <c r="G1182" s="22" t="s">
        <v>101</v>
      </c>
      <c r="H1182" s="22" t="s">
        <v>39</v>
      </c>
      <c r="I1182" s="22" t="s">
        <v>70</v>
      </c>
      <c r="J1182" s="22" t="s">
        <v>71</v>
      </c>
      <c r="K1182" s="22" t="s">
        <v>80</v>
      </c>
      <c r="L1182" s="22" t="s">
        <v>33</v>
      </c>
      <c r="M1182" s="22" t="s">
        <v>24</v>
      </c>
      <c r="N1182" s="22">
        <v>2</v>
      </c>
      <c r="O1182" s="26">
        <v>1299</v>
      </c>
      <c r="P1182" s="22">
        <v>0.15</v>
      </c>
      <c r="Q1182" s="30">
        <v>720</v>
      </c>
      <c r="R1182" s="33">
        <f>Table1_1[[#This Row],[Units Sold]]*Table1_1[[#This Row],[Unit Price]]*1-Table1_1[[#This Row],[Discount]]</f>
        <v>2597.85</v>
      </c>
      <c r="S1182" s="33">
        <f>Table1_1[[#This Row],[Units Sold]]*Table1_1[[#This Row],[Unit Cost]]</f>
        <v>1440</v>
      </c>
      <c r="T1182" s="33">
        <f>Table1_1[[#This Row],[Sales Amount]]-S1182</f>
        <v>1157.8499999999999</v>
      </c>
      <c r="U1182" s="32">
        <f>IFERROR(Table1_1[[#This Row],[Profit/loss]]/Table1_1[[#This Row],[Sales Amount]],0)</f>
        <v>0.44569547895375022</v>
      </c>
    </row>
    <row r="1183" spans="1:21" ht="18" x14ac:dyDescent="0.35">
      <c r="A1183" s="21" t="s">
        <v>1290</v>
      </c>
      <c r="B1183" s="36">
        <v>45869</v>
      </c>
      <c r="C1183" s="22">
        <f>YEAR(Table1_1[[#This Row],[Order Date]])</f>
        <v>2025</v>
      </c>
      <c r="D1183" s="22" t="str">
        <f>TEXT(Table1_1[[#This Row],[Order Date]],"MMMM")</f>
        <v>July</v>
      </c>
      <c r="E1183" s="22" t="s">
        <v>26</v>
      </c>
      <c r="F1183" s="22" t="s">
        <v>74</v>
      </c>
      <c r="G1183" s="22" t="s">
        <v>84</v>
      </c>
      <c r="H1183" s="22" t="s">
        <v>29</v>
      </c>
      <c r="I1183" s="22" t="s">
        <v>54</v>
      </c>
      <c r="J1183" s="22" t="s">
        <v>90</v>
      </c>
      <c r="K1183" s="22" t="s">
        <v>1621</v>
      </c>
      <c r="L1183" s="22" t="s">
        <v>33</v>
      </c>
      <c r="M1183" s="22" t="s">
        <v>66</v>
      </c>
      <c r="N1183" s="22">
        <v>11</v>
      </c>
      <c r="O1183" s="26">
        <v>31990</v>
      </c>
      <c r="P1183" s="22">
        <v>0.1</v>
      </c>
      <c r="Q1183" s="30">
        <v>21800</v>
      </c>
      <c r="R1183" s="33">
        <f>Table1_1[[#This Row],[Units Sold]]*Table1_1[[#This Row],[Unit Price]]*1-Table1_1[[#This Row],[Discount]]</f>
        <v>351889.9</v>
      </c>
      <c r="S1183" s="33">
        <f>Table1_1[[#This Row],[Units Sold]]*Table1_1[[#This Row],[Unit Cost]]</f>
        <v>239800</v>
      </c>
      <c r="T1183" s="33">
        <f>Table1_1[[#This Row],[Sales Amount]]-S1183</f>
        <v>112089.90000000002</v>
      </c>
      <c r="U1183" s="32">
        <f>IFERROR(Table1_1[[#This Row],[Profit/loss]]/Table1_1[[#This Row],[Sales Amount]],0)</f>
        <v>0.318536849167879</v>
      </c>
    </row>
    <row r="1184" spans="1:21" ht="18" x14ac:dyDescent="0.35">
      <c r="A1184" s="21" t="s">
        <v>1291</v>
      </c>
      <c r="B1184" s="36">
        <v>45870</v>
      </c>
      <c r="C1184" s="22">
        <f>YEAR(Table1_1[[#This Row],[Order Date]])</f>
        <v>2025</v>
      </c>
      <c r="D1184" s="22" t="str">
        <f>TEXT(Table1_1[[#This Row],[Order Date]],"MMMM")</f>
        <v>August</v>
      </c>
      <c r="E1184" s="22" t="s">
        <v>48</v>
      </c>
      <c r="F1184" s="22" t="s">
        <v>136</v>
      </c>
      <c r="G1184" s="22" t="s">
        <v>50</v>
      </c>
      <c r="H1184" s="22" t="s">
        <v>19</v>
      </c>
      <c r="I1184" s="22" t="s">
        <v>30</v>
      </c>
      <c r="J1184" s="22" t="s">
        <v>61</v>
      </c>
      <c r="K1184" s="22" t="s">
        <v>186</v>
      </c>
      <c r="L1184" s="22" t="s">
        <v>57</v>
      </c>
      <c r="M1184" s="22" t="s">
        <v>66</v>
      </c>
      <c r="N1184" s="22">
        <v>3</v>
      </c>
      <c r="O1184" s="26">
        <v>6999</v>
      </c>
      <c r="P1184" s="22">
        <v>0.15</v>
      </c>
      <c r="Q1184" s="30">
        <v>4320</v>
      </c>
      <c r="R1184" s="33">
        <f>Table1_1[[#This Row],[Units Sold]]*Table1_1[[#This Row],[Unit Price]]*1-Table1_1[[#This Row],[Discount]]</f>
        <v>20996.85</v>
      </c>
      <c r="S1184" s="33">
        <f>Table1_1[[#This Row],[Units Sold]]*Table1_1[[#This Row],[Unit Cost]]</f>
        <v>12960</v>
      </c>
      <c r="T1184" s="33">
        <f>Table1_1[[#This Row],[Sales Amount]]-S1184</f>
        <v>8036.8499999999985</v>
      </c>
      <c r="U1184" s="32">
        <f>IFERROR(Table1_1[[#This Row],[Profit/loss]]/Table1_1[[#This Row],[Sales Amount]],0)</f>
        <v>0.38276455754077393</v>
      </c>
    </row>
    <row r="1185" spans="1:21" ht="18" x14ac:dyDescent="0.35">
      <c r="A1185" s="21" t="s">
        <v>1292</v>
      </c>
      <c r="B1185" s="36">
        <v>45870</v>
      </c>
      <c r="C1185" s="22">
        <f>YEAR(Table1_1[[#This Row],[Order Date]])</f>
        <v>2025</v>
      </c>
      <c r="D1185" s="22" t="str">
        <f>TEXT(Table1_1[[#This Row],[Order Date]],"MMMM")</f>
        <v>August</v>
      </c>
      <c r="E1185" s="22" t="s">
        <v>48</v>
      </c>
      <c r="F1185" s="22" t="s">
        <v>68</v>
      </c>
      <c r="G1185" s="22" t="s">
        <v>38</v>
      </c>
      <c r="H1185" s="22" t="s">
        <v>29</v>
      </c>
      <c r="I1185" s="22" t="s">
        <v>40</v>
      </c>
      <c r="J1185" s="22" t="s">
        <v>41</v>
      </c>
      <c r="K1185" s="22" t="s">
        <v>1628</v>
      </c>
      <c r="L1185" s="22" t="s">
        <v>23</v>
      </c>
      <c r="M1185" s="22" t="s">
        <v>24</v>
      </c>
      <c r="N1185" s="22">
        <v>7</v>
      </c>
      <c r="O1185" s="26">
        <v>48500</v>
      </c>
      <c r="P1185" s="22">
        <v>0.15</v>
      </c>
      <c r="Q1185" s="30">
        <v>30200</v>
      </c>
      <c r="R1185" s="33">
        <f>Table1_1[[#This Row],[Units Sold]]*Table1_1[[#This Row],[Unit Price]]*1-Table1_1[[#This Row],[Discount]]</f>
        <v>339499.85</v>
      </c>
      <c r="S1185" s="33">
        <f>Table1_1[[#This Row],[Units Sold]]*Table1_1[[#This Row],[Unit Cost]]</f>
        <v>211400</v>
      </c>
      <c r="T1185" s="33">
        <f>Table1_1[[#This Row],[Sales Amount]]-S1185</f>
        <v>128099.84999999998</v>
      </c>
      <c r="U1185" s="32">
        <f>IFERROR(Table1_1[[#This Row],[Profit/loss]]/Table1_1[[#This Row],[Sales Amount]],0)</f>
        <v>0.37731931251221462</v>
      </c>
    </row>
    <row r="1186" spans="1:21" ht="18" x14ac:dyDescent="0.35">
      <c r="A1186" s="21" t="s">
        <v>1293</v>
      </c>
      <c r="B1186" s="36">
        <v>45870</v>
      </c>
      <c r="C1186" s="22">
        <f>YEAR(Table1_1[[#This Row],[Order Date]])</f>
        <v>2025</v>
      </c>
      <c r="D1186" s="22" t="str">
        <f>TEXT(Table1_1[[#This Row],[Order Date]],"MMMM")</f>
        <v>August</v>
      </c>
      <c r="E1186" s="22" t="s">
        <v>26</v>
      </c>
      <c r="F1186" s="22" t="s">
        <v>74</v>
      </c>
      <c r="G1186" s="22" t="s">
        <v>75</v>
      </c>
      <c r="H1186" s="22" t="s">
        <v>19</v>
      </c>
      <c r="I1186" s="22" t="s">
        <v>54</v>
      </c>
      <c r="J1186" s="22" t="s">
        <v>129</v>
      </c>
      <c r="K1186" s="22" t="s">
        <v>145</v>
      </c>
      <c r="L1186" s="22" t="s">
        <v>57</v>
      </c>
      <c r="M1186" s="22" t="s">
        <v>66</v>
      </c>
      <c r="N1186" s="22">
        <v>17</v>
      </c>
      <c r="O1186" s="26">
        <v>31490</v>
      </c>
      <c r="P1186" s="22">
        <v>0.1</v>
      </c>
      <c r="Q1186" s="30">
        <v>21300</v>
      </c>
      <c r="R1186" s="33">
        <f>Table1_1[[#This Row],[Units Sold]]*Table1_1[[#This Row],[Unit Price]]*1-Table1_1[[#This Row],[Discount]]</f>
        <v>535329.9</v>
      </c>
      <c r="S1186" s="33">
        <f>Table1_1[[#This Row],[Units Sold]]*Table1_1[[#This Row],[Unit Cost]]</f>
        <v>362100</v>
      </c>
      <c r="T1186" s="33">
        <f>Table1_1[[#This Row],[Sales Amount]]-S1186</f>
        <v>173229.90000000002</v>
      </c>
      <c r="U1186" s="32">
        <f>IFERROR(Table1_1[[#This Row],[Profit/loss]]/Table1_1[[#This Row],[Sales Amount]],0)</f>
        <v>0.32359466564449324</v>
      </c>
    </row>
    <row r="1187" spans="1:21" ht="18" x14ac:dyDescent="0.35">
      <c r="A1187" s="21" t="s">
        <v>1294</v>
      </c>
      <c r="B1187" s="36">
        <v>45870</v>
      </c>
      <c r="C1187" s="22">
        <f>YEAR(Table1_1[[#This Row],[Order Date]])</f>
        <v>2025</v>
      </c>
      <c r="D1187" s="22" t="str">
        <f>TEXT(Table1_1[[#This Row],[Order Date]],"MMMM")</f>
        <v>August</v>
      </c>
      <c r="E1187" s="22" t="s">
        <v>48</v>
      </c>
      <c r="F1187" s="22" t="s">
        <v>93</v>
      </c>
      <c r="G1187" s="22" t="s">
        <v>60</v>
      </c>
      <c r="H1187" s="22" t="s">
        <v>39</v>
      </c>
      <c r="I1187" s="22" t="s">
        <v>30</v>
      </c>
      <c r="J1187" s="22" t="s">
        <v>31</v>
      </c>
      <c r="K1187" s="22" t="s">
        <v>85</v>
      </c>
      <c r="L1187" s="22" t="s">
        <v>57</v>
      </c>
      <c r="M1187" s="22" t="s">
        <v>24</v>
      </c>
      <c r="N1187" s="22">
        <v>2</v>
      </c>
      <c r="O1187" s="26">
        <v>43500</v>
      </c>
      <c r="P1187" s="22">
        <v>0.2</v>
      </c>
      <c r="Q1187" s="30">
        <v>29520</v>
      </c>
      <c r="R1187" s="33">
        <f>Table1_1[[#This Row],[Units Sold]]*Table1_1[[#This Row],[Unit Price]]*1-Table1_1[[#This Row],[Discount]]</f>
        <v>86999.8</v>
      </c>
      <c r="S1187" s="33">
        <f>Table1_1[[#This Row],[Units Sold]]*Table1_1[[#This Row],[Unit Cost]]</f>
        <v>59040</v>
      </c>
      <c r="T1187" s="33">
        <f>Table1_1[[#This Row],[Sales Amount]]-S1187</f>
        <v>27959.800000000003</v>
      </c>
      <c r="U1187" s="32">
        <f>IFERROR(Table1_1[[#This Row],[Profit/loss]]/Table1_1[[#This Row],[Sales Amount]],0)</f>
        <v>0.32137775029367888</v>
      </c>
    </row>
    <row r="1188" spans="1:21" ht="18" x14ac:dyDescent="0.35">
      <c r="A1188" s="21" t="s">
        <v>1295</v>
      </c>
      <c r="B1188" s="36">
        <v>45871</v>
      </c>
      <c r="C1188" s="22">
        <f>YEAR(Table1_1[[#This Row],[Order Date]])</f>
        <v>2025</v>
      </c>
      <c r="D1188" s="22" t="str">
        <f>TEXT(Table1_1[[#This Row],[Order Date]],"MMMM")</f>
        <v>August</v>
      </c>
      <c r="E1188" s="22" t="s">
        <v>26</v>
      </c>
      <c r="F1188" s="22" t="s">
        <v>74</v>
      </c>
      <c r="G1188" s="22" t="s">
        <v>38</v>
      </c>
      <c r="H1188" s="22" t="s">
        <v>29</v>
      </c>
      <c r="I1188" s="22" t="s">
        <v>20</v>
      </c>
      <c r="J1188" s="22" t="s">
        <v>21</v>
      </c>
      <c r="K1188" s="22" t="s">
        <v>22</v>
      </c>
      <c r="L1188" s="22" t="s">
        <v>57</v>
      </c>
      <c r="M1188" s="22" t="s">
        <v>24</v>
      </c>
      <c r="N1188" s="22">
        <v>26</v>
      </c>
      <c r="O1188" s="26">
        <v>4499</v>
      </c>
      <c r="P1188" s="22">
        <v>0.12</v>
      </c>
      <c r="Q1188" s="30">
        <v>2910</v>
      </c>
      <c r="R1188" s="33">
        <f>Table1_1[[#This Row],[Units Sold]]*Table1_1[[#This Row],[Unit Price]]*1-Table1_1[[#This Row],[Discount]]</f>
        <v>116973.88</v>
      </c>
      <c r="S1188" s="33">
        <f>Table1_1[[#This Row],[Units Sold]]*Table1_1[[#This Row],[Unit Cost]]</f>
        <v>75660</v>
      </c>
      <c r="T1188" s="33">
        <f>Table1_1[[#This Row],[Sales Amount]]-S1188</f>
        <v>41313.880000000005</v>
      </c>
      <c r="U1188" s="32">
        <f>IFERROR(Table1_1[[#This Row],[Profit/loss]]/Table1_1[[#This Row],[Sales Amount]],0)</f>
        <v>0.35318893414495617</v>
      </c>
    </row>
    <row r="1189" spans="1:21" ht="18" x14ac:dyDescent="0.35">
      <c r="A1189" s="21" t="s">
        <v>1296</v>
      </c>
      <c r="B1189" s="36">
        <v>45872</v>
      </c>
      <c r="C1189" s="22">
        <f>YEAR(Table1_1[[#This Row],[Order Date]])</f>
        <v>2025</v>
      </c>
      <c r="D1189" s="22" t="str">
        <f>TEXT(Table1_1[[#This Row],[Order Date]],"MMMM")</f>
        <v>August</v>
      </c>
      <c r="E1189" s="22" t="s">
        <v>82</v>
      </c>
      <c r="F1189" s="22" t="s">
        <v>183</v>
      </c>
      <c r="G1189" s="22" t="s">
        <v>60</v>
      </c>
      <c r="H1189" s="22" t="s">
        <v>29</v>
      </c>
      <c r="I1189" s="22" t="s">
        <v>30</v>
      </c>
      <c r="J1189" s="22" t="s">
        <v>31</v>
      </c>
      <c r="K1189" s="22" t="s">
        <v>85</v>
      </c>
      <c r="L1189" s="22" t="s">
        <v>57</v>
      </c>
      <c r="M1189" s="22" t="s">
        <v>66</v>
      </c>
      <c r="N1189" s="22">
        <v>29</v>
      </c>
      <c r="O1189" s="26">
        <v>43500</v>
      </c>
      <c r="P1189" s="22">
        <v>0.2</v>
      </c>
      <c r="Q1189" s="30">
        <v>29520</v>
      </c>
      <c r="R1189" s="33">
        <f>Table1_1[[#This Row],[Units Sold]]*Table1_1[[#This Row],[Unit Price]]*1-Table1_1[[#This Row],[Discount]]</f>
        <v>1261499.8</v>
      </c>
      <c r="S1189" s="33">
        <f>Table1_1[[#This Row],[Units Sold]]*Table1_1[[#This Row],[Unit Cost]]</f>
        <v>856080</v>
      </c>
      <c r="T1189" s="33">
        <f>Table1_1[[#This Row],[Sales Amount]]-S1189</f>
        <v>405419.80000000005</v>
      </c>
      <c r="U1189" s="32">
        <f>IFERROR(Table1_1[[#This Row],[Profit/loss]]/Table1_1[[#This Row],[Sales Amount]],0)</f>
        <v>0.3213792027553235</v>
      </c>
    </row>
    <row r="1190" spans="1:21" ht="18" x14ac:dyDescent="0.35">
      <c r="A1190" s="21" t="s">
        <v>1297</v>
      </c>
      <c r="B1190" s="36">
        <v>45872</v>
      </c>
      <c r="C1190" s="22">
        <f>YEAR(Table1_1[[#This Row],[Order Date]])</f>
        <v>2025</v>
      </c>
      <c r="D1190" s="22" t="str">
        <f>TEXT(Table1_1[[#This Row],[Order Date]],"MMMM")</f>
        <v>August</v>
      </c>
      <c r="E1190" s="22" t="s">
        <v>48</v>
      </c>
      <c r="F1190" s="22" t="s">
        <v>136</v>
      </c>
      <c r="G1190" s="22" t="s">
        <v>75</v>
      </c>
      <c r="H1190" s="22" t="s">
        <v>19</v>
      </c>
      <c r="I1190" s="22" t="s">
        <v>40</v>
      </c>
      <c r="J1190" s="22" t="s">
        <v>76</v>
      </c>
      <c r="K1190" s="22" t="s">
        <v>1620</v>
      </c>
      <c r="L1190" s="22" t="s">
        <v>23</v>
      </c>
      <c r="M1190" s="22" t="s">
        <v>24</v>
      </c>
      <c r="N1190" s="22">
        <v>12</v>
      </c>
      <c r="O1190" s="26">
        <v>52990</v>
      </c>
      <c r="P1190" s="22">
        <v>0.05</v>
      </c>
      <c r="Q1190" s="30">
        <v>39500</v>
      </c>
      <c r="R1190" s="33">
        <f>Table1_1[[#This Row],[Units Sold]]*Table1_1[[#This Row],[Unit Price]]*1-Table1_1[[#This Row],[Discount]]</f>
        <v>635879.94999999995</v>
      </c>
      <c r="S1190" s="33">
        <f>Table1_1[[#This Row],[Units Sold]]*Table1_1[[#This Row],[Unit Cost]]</f>
        <v>474000</v>
      </c>
      <c r="T1190" s="33">
        <f>Table1_1[[#This Row],[Sales Amount]]-S1190</f>
        <v>161879.94999999995</v>
      </c>
      <c r="U1190" s="32">
        <f>IFERROR(Table1_1[[#This Row],[Profit/loss]]/Table1_1[[#This Row],[Sales Amount]],0)</f>
        <v>0.25457627654402371</v>
      </c>
    </row>
    <row r="1191" spans="1:21" ht="18" x14ac:dyDescent="0.35">
      <c r="A1191" s="21" t="s">
        <v>1298</v>
      </c>
      <c r="B1191" s="36">
        <v>45873</v>
      </c>
      <c r="C1191" s="22">
        <f>YEAR(Table1_1[[#This Row],[Order Date]])</f>
        <v>2025</v>
      </c>
      <c r="D1191" s="22" t="str">
        <f>TEXT(Table1_1[[#This Row],[Order Date]],"MMMM")</f>
        <v>August</v>
      </c>
      <c r="E1191" s="22" t="s">
        <v>16</v>
      </c>
      <c r="F1191" s="22" t="s">
        <v>126</v>
      </c>
      <c r="G1191" s="22" t="s">
        <v>105</v>
      </c>
      <c r="H1191" s="22" t="s">
        <v>19</v>
      </c>
      <c r="I1191" s="22" t="s">
        <v>20</v>
      </c>
      <c r="J1191" s="22" t="s">
        <v>45</v>
      </c>
      <c r="K1191" s="22" t="s">
        <v>1622</v>
      </c>
      <c r="L1191" s="22" t="s">
        <v>57</v>
      </c>
      <c r="M1191" s="22" t="s">
        <v>24</v>
      </c>
      <c r="N1191" s="22">
        <v>36</v>
      </c>
      <c r="O1191" s="26">
        <v>1599</v>
      </c>
      <c r="P1191" s="22">
        <v>0.05</v>
      </c>
      <c r="Q1191" s="30">
        <v>920</v>
      </c>
      <c r="R1191" s="33">
        <f>Table1_1[[#This Row],[Units Sold]]*Table1_1[[#This Row],[Unit Price]]*1-Table1_1[[#This Row],[Discount]]</f>
        <v>57563.95</v>
      </c>
      <c r="S1191" s="33">
        <f>Table1_1[[#This Row],[Units Sold]]*Table1_1[[#This Row],[Unit Cost]]</f>
        <v>33120</v>
      </c>
      <c r="T1191" s="33">
        <f>Table1_1[[#This Row],[Sales Amount]]-S1191</f>
        <v>24443.949999999997</v>
      </c>
      <c r="U1191" s="32">
        <f>IFERROR(Table1_1[[#This Row],[Profit/loss]]/Table1_1[[#This Row],[Sales Amount]],0)</f>
        <v>0.42463990049327743</v>
      </c>
    </row>
    <row r="1192" spans="1:21" ht="18" x14ac:dyDescent="0.35">
      <c r="A1192" s="21" t="s">
        <v>1299</v>
      </c>
      <c r="B1192" s="36">
        <v>45874</v>
      </c>
      <c r="C1192" s="22">
        <f>YEAR(Table1_1[[#This Row],[Order Date]])</f>
        <v>2025</v>
      </c>
      <c r="D1192" s="22" t="str">
        <f>TEXT(Table1_1[[#This Row],[Order Date]],"MMMM")</f>
        <v>August</v>
      </c>
      <c r="E1192" s="22" t="s">
        <v>82</v>
      </c>
      <c r="F1192" s="22" t="s">
        <v>100</v>
      </c>
      <c r="G1192" s="22" t="s">
        <v>69</v>
      </c>
      <c r="H1192" s="22" t="s">
        <v>39</v>
      </c>
      <c r="I1192" s="22" t="s">
        <v>70</v>
      </c>
      <c r="J1192" s="22" t="s">
        <v>71</v>
      </c>
      <c r="K1192" s="22" t="s">
        <v>80</v>
      </c>
      <c r="L1192" s="22" t="s">
        <v>57</v>
      </c>
      <c r="M1192" s="22" t="s">
        <v>34</v>
      </c>
      <c r="N1192" s="22">
        <v>10</v>
      </c>
      <c r="O1192" s="26">
        <v>1299</v>
      </c>
      <c r="P1192" s="22">
        <v>0.12</v>
      </c>
      <c r="Q1192" s="30">
        <v>720</v>
      </c>
      <c r="R1192" s="33">
        <f>Table1_1[[#This Row],[Units Sold]]*Table1_1[[#This Row],[Unit Price]]*1-Table1_1[[#This Row],[Discount]]</f>
        <v>12989.88</v>
      </c>
      <c r="S1192" s="33">
        <f>Table1_1[[#This Row],[Units Sold]]*Table1_1[[#This Row],[Unit Cost]]</f>
        <v>7200</v>
      </c>
      <c r="T1192" s="33">
        <f>Table1_1[[#This Row],[Sales Amount]]-S1192</f>
        <v>5789.8799999999992</v>
      </c>
      <c r="U1192" s="32">
        <f>IFERROR(Table1_1[[#This Row],[Profit/loss]]/Table1_1[[#This Row],[Sales Amount]],0)</f>
        <v>0.4457223623312917</v>
      </c>
    </row>
    <row r="1193" spans="1:21" ht="18" x14ac:dyDescent="0.35">
      <c r="A1193" s="21" t="s">
        <v>1300</v>
      </c>
      <c r="B1193" s="36">
        <v>45874</v>
      </c>
      <c r="C1193" s="22">
        <f>YEAR(Table1_1[[#This Row],[Order Date]])</f>
        <v>2025</v>
      </c>
      <c r="D1193" s="22" t="str">
        <f>TEXT(Table1_1[[#This Row],[Order Date]],"MMMM")</f>
        <v>August</v>
      </c>
      <c r="E1193" s="22" t="s">
        <v>48</v>
      </c>
      <c r="F1193" s="22" t="s">
        <v>49</v>
      </c>
      <c r="G1193" s="22" t="s">
        <v>84</v>
      </c>
      <c r="H1193" s="22" t="s">
        <v>39</v>
      </c>
      <c r="I1193" s="22" t="s">
        <v>20</v>
      </c>
      <c r="J1193" s="22" t="s">
        <v>45</v>
      </c>
      <c r="K1193" s="22" t="s">
        <v>196</v>
      </c>
      <c r="L1193" s="22" t="s">
        <v>23</v>
      </c>
      <c r="M1193" s="22" t="s">
        <v>24</v>
      </c>
      <c r="N1193" s="22">
        <v>34</v>
      </c>
      <c r="O1193" s="26">
        <v>2499</v>
      </c>
      <c r="P1193" s="22">
        <v>0.08</v>
      </c>
      <c r="Q1193" s="30">
        <v>1510</v>
      </c>
      <c r="R1193" s="33">
        <f>Table1_1[[#This Row],[Units Sold]]*Table1_1[[#This Row],[Unit Price]]*1-Table1_1[[#This Row],[Discount]]</f>
        <v>84965.92</v>
      </c>
      <c r="S1193" s="33">
        <f>Table1_1[[#This Row],[Units Sold]]*Table1_1[[#This Row],[Unit Cost]]</f>
        <v>51340</v>
      </c>
      <c r="T1193" s="33">
        <f>Table1_1[[#This Row],[Sales Amount]]-S1193</f>
        <v>33625.919999999998</v>
      </c>
      <c r="U1193" s="32">
        <f>IFERROR(Table1_1[[#This Row],[Profit/loss]]/Table1_1[[#This Row],[Sales Amount]],0)</f>
        <v>0.3957577343951551</v>
      </c>
    </row>
    <row r="1194" spans="1:21" ht="18" x14ac:dyDescent="0.35">
      <c r="A1194" s="21" t="s">
        <v>1301</v>
      </c>
      <c r="B1194" s="36">
        <v>45874</v>
      </c>
      <c r="C1194" s="22">
        <f>YEAR(Table1_1[[#This Row],[Order Date]])</f>
        <v>2025</v>
      </c>
      <c r="D1194" s="22" t="str">
        <f>TEXT(Table1_1[[#This Row],[Order Date]],"MMMM")</f>
        <v>August</v>
      </c>
      <c r="E1194" s="22" t="s">
        <v>36</v>
      </c>
      <c r="F1194" s="22" t="s">
        <v>59</v>
      </c>
      <c r="G1194" s="22" t="s">
        <v>38</v>
      </c>
      <c r="H1194" s="22" t="s">
        <v>29</v>
      </c>
      <c r="I1194" s="22" t="s">
        <v>20</v>
      </c>
      <c r="J1194" s="22" t="s">
        <v>45</v>
      </c>
      <c r="K1194" s="22" t="s">
        <v>1618</v>
      </c>
      <c r="L1194" s="22" t="s">
        <v>57</v>
      </c>
      <c r="M1194" s="22" t="s">
        <v>34</v>
      </c>
      <c r="N1194" s="22">
        <v>36</v>
      </c>
      <c r="O1194" s="26">
        <v>1899</v>
      </c>
      <c r="P1194" s="22">
        <v>0.18</v>
      </c>
      <c r="Q1194" s="30">
        <v>1080</v>
      </c>
      <c r="R1194" s="33">
        <f>Table1_1[[#This Row],[Units Sold]]*Table1_1[[#This Row],[Unit Price]]*1-Table1_1[[#This Row],[Discount]]</f>
        <v>68363.820000000007</v>
      </c>
      <c r="S1194" s="33">
        <f>Table1_1[[#This Row],[Units Sold]]*Table1_1[[#This Row],[Unit Cost]]</f>
        <v>38880</v>
      </c>
      <c r="T1194" s="33">
        <f>Table1_1[[#This Row],[Sales Amount]]-S1194</f>
        <v>29483.820000000007</v>
      </c>
      <c r="U1194" s="32">
        <f>IFERROR(Table1_1[[#This Row],[Profit/loss]]/Table1_1[[#This Row],[Sales Amount]],0)</f>
        <v>0.43127812342844513</v>
      </c>
    </row>
    <row r="1195" spans="1:21" ht="18" x14ac:dyDescent="0.35">
      <c r="A1195" s="21" t="s">
        <v>1302</v>
      </c>
      <c r="B1195" s="36">
        <v>45875</v>
      </c>
      <c r="C1195" s="22">
        <f>YEAR(Table1_1[[#This Row],[Order Date]])</f>
        <v>2025</v>
      </c>
      <c r="D1195" s="22" t="str">
        <f>TEXT(Table1_1[[#This Row],[Order Date]],"MMMM")</f>
        <v>August</v>
      </c>
      <c r="E1195" s="22" t="s">
        <v>36</v>
      </c>
      <c r="F1195" s="22" t="s">
        <v>121</v>
      </c>
      <c r="G1195" s="22" t="s">
        <v>101</v>
      </c>
      <c r="H1195" s="22" t="s">
        <v>39</v>
      </c>
      <c r="I1195" s="22" t="s">
        <v>40</v>
      </c>
      <c r="J1195" s="22" t="s">
        <v>76</v>
      </c>
      <c r="K1195" s="22" t="s">
        <v>1620</v>
      </c>
      <c r="L1195" s="22" t="s">
        <v>57</v>
      </c>
      <c r="M1195" s="22" t="s">
        <v>24</v>
      </c>
      <c r="N1195" s="22">
        <v>15</v>
      </c>
      <c r="O1195" s="26">
        <v>52990</v>
      </c>
      <c r="P1195" s="22">
        <v>0.12</v>
      </c>
      <c r="Q1195" s="30">
        <v>39500</v>
      </c>
      <c r="R1195" s="33">
        <f>Table1_1[[#This Row],[Units Sold]]*Table1_1[[#This Row],[Unit Price]]*1-Table1_1[[#This Row],[Discount]]</f>
        <v>794849.88</v>
      </c>
      <c r="S1195" s="33">
        <f>Table1_1[[#This Row],[Units Sold]]*Table1_1[[#This Row],[Unit Cost]]</f>
        <v>592500</v>
      </c>
      <c r="T1195" s="33">
        <f>Table1_1[[#This Row],[Sales Amount]]-S1195</f>
        <v>202349.88</v>
      </c>
      <c r="U1195" s="32">
        <f>IFERROR(Table1_1[[#This Row],[Profit/loss]]/Table1_1[[#This Row],[Sales Amount]],0)</f>
        <v>0.25457622261954671</v>
      </c>
    </row>
    <row r="1196" spans="1:21" ht="18" x14ac:dyDescent="0.35">
      <c r="A1196" s="21" t="s">
        <v>1303</v>
      </c>
      <c r="B1196" s="36">
        <v>45875</v>
      </c>
      <c r="C1196" s="22">
        <f>YEAR(Table1_1[[#This Row],[Order Date]])</f>
        <v>2025</v>
      </c>
      <c r="D1196" s="22" t="str">
        <f>TEXT(Table1_1[[#This Row],[Order Date]],"MMMM")</f>
        <v>August</v>
      </c>
      <c r="E1196" s="22" t="s">
        <v>26</v>
      </c>
      <c r="F1196" s="22" t="s">
        <v>163</v>
      </c>
      <c r="G1196" s="22" t="s">
        <v>75</v>
      </c>
      <c r="H1196" s="22" t="s">
        <v>29</v>
      </c>
      <c r="I1196" s="22" t="s">
        <v>20</v>
      </c>
      <c r="J1196" s="22" t="s">
        <v>45</v>
      </c>
      <c r="K1196" s="22" t="s">
        <v>1622</v>
      </c>
      <c r="L1196" s="22" t="s">
        <v>33</v>
      </c>
      <c r="M1196" s="22" t="s">
        <v>78</v>
      </c>
      <c r="N1196" s="22">
        <v>24</v>
      </c>
      <c r="O1196" s="26">
        <v>1599</v>
      </c>
      <c r="P1196" s="22">
        <v>0.1</v>
      </c>
      <c r="Q1196" s="30">
        <v>920</v>
      </c>
      <c r="R1196" s="33">
        <f>Table1_1[[#This Row],[Units Sold]]*Table1_1[[#This Row],[Unit Price]]*1-Table1_1[[#This Row],[Discount]]</f>
        <v>38375.9</v>
      </c>
      <c r="S1196" s="33">
        <f>Table1_1[[#This Row],[Units Sold]]*Table1_1[[#This Row],[Unit Cost]]</f>
        <v>22080</v>
      </c>
      <c r="T1196" s="33">
        <f>Table1_1[[#This Row],[Sales Amount]]-S1196</f>
        <v>16295.900000000001</v>
      </c>
      <c r="U1196" s="32">
        <f>IFERROR(Table1_1[[#This Row],[Profit/loss]]/Table1_1[[#This Row],[Sales Amount]],0)</f>
        <v>0.4246389009769152</v>
      </c>
    </row>
    <row r="1197" spans="1:21" ht="18" x14ac:dyDescent="0.35">
      <c r="A1197" s="21" t="s">
        <v>1304</v>
      </c>
      <c r="B1197" s="36">
        <v>45876</v>
      </c>
      <c r="C1197" s="22">
        <f>YEAR(Table1_1[[#This Row],[Order Date]])</f>
        <v>2025</v>
      </c>
      <c r="D1197" s="22" t="str">
        <f>TEXT(Table1_1[[#This Row],[Order Date]],"MMMM")</f>
        <v>August</v>
      </c>
      <c r="E1197" s="22" t="s">
        <v>82</v>
      </c>
      <c r="F1197" s="22" t="s">
        <v>183</v>
      </c>
      <c r="G1197" s="22" t="s">
        <v>75</v>
      </c>
      <c r="H1197" s="22" t="s">
        <v>19</v>
      </c>
      <c r="I1197" s="22" t="s">
        <v>20</v>
      </c>
      <c r="J1197" s="22" t="s">
        <v>45</v>
      </c>
      <c r="K1197" s="22" t="s">
        <v>196</v>
      </c>
      <c r="L1197" s="22" t="s">
        <v>23</v>
      </c>
      <c r="M1197" s="22" t="s">
        <v>24</v>
      </c>
      <c r="N1197" s="22">
        <v>15</v>
      </c>
      <c r="O1197" s="26">
        <v>2499</v>
      </c>
      <c r="P1197" s="22">
        <v>0.1</v>
      </c>
      <c r="Q1197" s="30">
        <v>1510</v>
      </c>
      <c r="R1197" s="33">
        <f>Table1_1[[#This Row],[Units Sold]]*Table1_1[[#This Row],[Unit Price]]*1-Table1_1[[#This Row],[Discount]]</f>
        <v>37484.9</v>
      </c>
      <c r="S1197" s="33">
        <f>Table1_1[[#This Row],[Units Sold]]*Table1_1[[#This Row],[Unit Cost]]</f>
        <v>22650</v>
      </c>
      <c r="T1197" s="33">
        <f>Table1_1[[#This Row],[Sales Amount]]-S1197</f>
        <v>14834.900000000001</v>
      </c>
      <c r="U1197" s="32">
        <f>IFERROR(Table1_1[[#This Row],[Profit/loss]]/Table1_1[[#This Row],[Sales Amount]],0)</f>
        <v>0.39575669136105474</v>
      </c>
    </row>
    <row r="1198" spans="1:21" ht="18" x14ac:dyDescent="0.35">
      <c r="A1198" s="21" t="s">
        <v>1305</v>
      </c>
      <c r="B1198" s="36">
        <v>45878</v>
      </c>
      <c r="C1198" s="22">
        <f>YEAR(Table1_1[[#This Row],[Order Date]])</f>
        <v>2025</v>
      </c>
      <c r="D1198" s="22" t="str">
        <f>TEXT(Table1_1[[#This Row],[Order Date]],"MMMM")</f>
        <v>August</v>
      </c>
      <c r="E1198" s="22" t="s">
        <v>16</v>
      </c>
      <c r="F1198" s="22" t="s">
        <v>111</v>
      </c>
      <c r="G1198" s="22" t="s">
        <v>60</v>
      </c>
      <c r="H1198" s="22" t="s">
        <v>29</v>
      </c>
      <c r="I1198" s="22" t="s">
        <v>40</v>
      </c>
      <c r="J1198" s="22" t="s">
        <v>41</v>
      </c>
      <c r="K1198" s="22" t="s">
        <v>42</v>
      </c>
      <c r="L1198" s="22" t="s">
        <v>57</v>
      </c>
      <c r="M1198" s="22" t="s">
        <v>66</v>
      </c>
      <c r="N1198" s="22">
        <v>4</v>
      </c>
      <c r="O1198" s="26">
        <v>55230</v>
      </c>
      <c r="P1198" s="22">
        <v>0.15</v>
      </c>
      <c r="Q1198" s="30">
        <v>33800</v>
      </c>
      <c r="R1198" s="33">
        <f>Table1_1[[#This Row],[Units Sold]]*Table1_1[[#This Row],[Unit Price]]*1-Table1_1[[#This Row],[Discount]]</f>
        <v>220919.85</v>
      </c>
      <c r="S1198" s="33">
        <f>Table1_1[[#This Row],[Units Sold]]*Table1_1[[#This Row],[Unit Cost]]</f>
        <v>135200</v>
      </c>
      <c r="T1198" s="33">
        <f>Table1_1[[#This Row],[Sales Amount]]-S1198</f>
        <v>85719.85</v>
      </c>
      <c r="U1198" s="32">
        <f>IFERROR(Table1_1[[#This Row],[Profit/loss]]/Table1_1[[#This Row],[Sales Amount]],0)</f>
        <v>0.38801334511136054</v>
      </c>
    </row>
    <row r="1199" spans="1:21" ht="18" x14ac:dyDescent="0.35">
      <c r="A1199" s="21" t="s">
        <v>1306</v>
      </c>
      <c r="B1199" s="36">
        <v>45879</v>
      </c>
      <c r="C1199" s="22">
        <f>YEAR(Table1_1[[#This Row],[Order Date]])</f>
        <v>2025</v>
      </c>
      <c r="D1199" s="22" t="str">
        <f>TEXT(Table1_1[[#This Row],[Order Date]],"MMMM")</f>
        <v>August</v>
      </c>
      <c r="E1199" s="22" t="s">
        <v>26</v>
      </c>
      <c r="F1199" s="22" t="s">
        <v>27</v>
      </c>
      <c r="G1199" s="22" t="s">
        <v>105</v>
      </c>
      <c r="H1199" s="22" t="s">
        <v>19</v>
      </c>
      <c r="I1199" s="22" t="s">
        <v>20</v>
      </c>
      <c r="J1199" s="22" t="s">
        <v>45</v>
      </c>
      <c r="K1199" s="22" t="s">
        <v>1618</v>
      </c>
      <c r="L1199" s="22" t="s">
        <v>33</v>
      </c>
      <c r="M1199" s="22" t="s">
        <v>24</v>
      </c>
      <c r="N1199" s="22">
        <v>7</v>
      </c>
      <c r="O1199" s="26">
        <v>1899</v>
      </c>
      <c r="P1199" s="22">
        <v>0.12</v>
      </c>
      <c r="Q1199" s="30">
        <v>1080</v>
      </c>
      <c r="R1199" s="33">
        <f>Table1_1[[#This Row],[Units Sold]]*Table1_1[[#This Row],[Unit Price]]*1-Table1_1[[#This Row],[Discount]]</f>
        <v>13292.88</v>
      </c>
      <c r="S1199" s="33">
        <f>Table1_1[[#This Row],[Units Sold]]*Table1_1[[#This Row],[Unit Cost]]</f>
        <v>7560</v>
      </c>
      <c r="T1199" s="33">
        <f>Table1_1[[#This Row],[Sales Amount]]-S1199</f>
        <v>5732.8799999999992</v>
      </c>
      <c r="U1199" s="32">
        <f>IFERROR(Table1_1[[#This Row],[Profit/loss]]/Table1_1[[#This Row],[Sales Amount]],0)</f>
        <v>0.43127448679292973</v>
      </c>
    </row>
    <row r="1200" spans="1:21" ht="18" x14ac:dyDescent="0.35">
      <c r="A1200" s="21" t="s">
        <v>1307</v>
      </c>
      <c r="B1200" s="36">
        <v>45879</v>
      </c>
      <c r="C1200" s="22">
        <f>YEAR(Table1_1[[#This Row],[Order Date]])</f>
        <v>2025</v>
      </c>
      <c r="D1200" s="22" t="str">
        <f>TEXT(Table1_1[[#This Row],[Order Date]],"MMMM")</f>
        <v>August</v>
      </c>
      <c r="E1200" s="22" t="s">
        <v>26</v>
      </c>
      <c r="F1200" s="22" t="s">
        <v>163</v>
      </c>
      <c r="G1200" s="22" t="s">
        <v>101</v>
      </c>
      <c r="H1200" s="22" t="s">
        <v>29</v>
      </c>
      <c r="I1200" s="22" t="s">
        <v>40</v>
      </c>
      <c r="J1200" s="22" t="s">
        <v>64</v>
      </c>
      <c r="K1200" s="22" t="s">
        <v>1627</v>
      </c>
      <c r="L1200" s="22" t="s">
        <v>23</v>
      </c>
      <c r="M1200" s="22" t="s">
        <v>24</v>
      </c>
      <c r="N1200" s="22">
        <v>40</v>
      </c>
      <c r="O1200" s="26">
        <v>4490</v>
      </c>
      <c r="P1200" s="22">
        <v>0.05</v>
      </c>
      <c r="Q1200" s="30">
        <v>2950</v>
      </c>
      <c r="R1200" s="33">
        <f>Table1_1[[#This Row],[Units Sold]]*Table1_1[[#This Row],[Unit Price]]*1-Table1_1[[#This Row],[Discount]]</f>
        <v>179599.95</v>
      </c>
      <c r="S1200" s="33">
        <f>Table1_1[[#This Row],[Units Sold]]*Table1_1[[#This Row],[Unit Cost]]</f>
        <v>118000</v>
      </c>
      <c r="T1200" s="33">
        <f>Table1_1[[#This Row],[Sales Amount]]-S1200</f>
        <v>61599.950000000012</v>
      </c>
      <c r="U1200" s="32">
        <f>IFERROR(Table1_1[[#This Row],[Profit/loss]]/Table1_1[[#This Row],[Sales Amount]],0)</f>
        <v>0.34298422688870461</v>
      </c>
    </row>
    <row r="1201" spans="1:21" ht="18" x14ac:dyDescent="0.35">
      <c r="A1201" s="21" t="s">
        <v>1308</v>
      </c>
      <c r="B1201" s="36">
        <v>45881</v>
      </c>
      <c r="C1201" s="22">
        <f>YEAR(Table1_1[[#This Row],[Order Date]])</f>
        <v>2025</v>
      </c>
      <c r="D1201" s="22" t="str">
        <f>TEXT(Table1_1[[#This Row],[Order Date]],"MMMM")</f>
        <v>August</v>
      </c>
      <c r="E1201" s="22" t="s">
        <v>82</v>
      </c>
      <c r="F1201" s="22" t="s">
        <v>183</v>
      </c>
      <c r="G1201" s="22" t="s">
        <v>50</v>
      </c>
      <c r="H1201" s="22" t="s">
        <v>19</v>
      </c>
      <c r="I1201" s="22" t="s">
        <v>30</v>
      </c>
      <c r="J1201" s="22" t="s">
        <v>61</v>
      </c>
      <c r="K1201" s="22" t="s">
        <v>186</v>
      </c>
      <c r="L1201" s="22" t="s">
        <v>33</v>
      </c>
      <c r="M1201" s="22" t="s">
        <v>24</v>
      </c>
      <c r="N1201" s="22">
        <v>6</v>
      </c>
      <c r="O1201" s="26">
        <v>6999</v>
      </c>
      <c r="P1201" s="22">
        <v>0.05</v>
      </c>
      <c r="Q1201" s="30">
        <v>4320</v>
      </c>
      <c r="R1201" s="33">
        <f>Table1_1[[#This Row],[Units Sold]]*Table1_1[[#This Row],[Unit Price]]*1-Table1_1[[#This Row],[Discount]]</f>
        <v>41993.95</v>
      </c>
      <c r="S1201" s="33">
        <f>Table1_1[[#This Row],[Units Sold]]*Table1_1[[#This Row],[Unit Cost]]</f>
        <v>25920</v>
      </c>
      <c r="T1201" s="33">
        <f>Table1_1[[#This Row],[Sales Amount]]-S1201</f>
        <v>16073.949999999997</v>
      </c>
      <c r="U1201" s="32">
        <f>IFERROR(Table1_1[[#This Row],[Profit/loss]]/Table1_1[[#This Row],[Sales Amount]],0)</f>
        <v>0.38276823209057492</v>
      </c>
    </row>
    <row r="1202" spans="1:21" ht="18" x14ac:dyDescent="0.35">
      <c r="A1202" s="21" t="s">
        <v>1309</v>
      </c>
      <c r="B1202" s="36">
        <v>45881</v>
      </c>
      <c r="C1202" s="22">
        <f>YEAR(Table1_1[[#This Row],[Order Date]])</f>
        <v>2025</v>
      </c>
      <c r="D1202" s="22" t="str">
        <f>TEXT(Table1_1[[#This Row],[Order Date]],"MMMM")</f>
        <v>August</v>
      </c>
      <c r="E1202" s="22" t="s">
        <v>36</v>
      </c>
      <c r="F1202" s="22" t="s">
        <v>121</v>
      </c>
      <c r="G1202" s="22" t="s">
        <v>28</v>
      </c>
      <c r="H1202" s="22" t="s">
        <v>19</v>
      </c>
      <c r="I1202" s="22" t="s">
        <v>70</v>
      </c>
      <c r="J1202" s="22" t="s">
        <v>71</v>
      </c>
      <c r="K1202" s="22" t="s">
        <v>72</v>
      </c>
      <c r="L1202" s="22" t="s">
        <v>23</v>
      </c>
      <c r="M1202" s="22" t="s">
        <v>34</v>
      </c>
      <c r="N1202" s="22">
        <v>32</v>
      </c>
      <c r="O1202" s="26">
        <v>3499</v>
      </c>
      <c r="P1202" s="22">
        <v>0.15</v>
      </c>
      <c r="Q1202" s="30">
        <v>2190</v>
      </c>
      <c r="R1202" s="33">
        <f>Table1_1[[#This Row],[Units Sold]]*Table1_1[[#This Row],[Unit Price]]*1-Table1_1[[#This Row],[Discount]]</f>
        <v>111967.85</v>
      </c>
      <c r="S1202" s="33">
        <f>Table1_1[[#This Row],[Units Sold]]*Table1_1[[#This Row],[Unit Cost]]</f>
        <v>70080</v>
      </c>
      <c r="T1202" s="33">
        <f>Table1_1[[#This Row],[Sales Amount]]-S1202</f>
        <v>41887.850000000006</v>
      </c>
      <c r="U1202" s="32">
        <f>IFERROR(Table1_1[[#This Row],[Profit/loss]]/Table1_1[[#This Row],[Sales Amount]],0)</f>
        <v>0.37410604919179929</v>
      </c>
    </row>
    <row r="1203" spans="1:21" ht="18" x14ac:dyDescent="0.35">
      <c r="A1203" s="21" t="s">
        <v>1310</v>
      </c>
      <c r="B1203" s="36">
        <v>45882</v>
      </c>
      <c r="C1203" s="22">
        <f>YEAR(Table1_1[[#This Row],[Order Date]])</f>
        <v>2025</v>
      </c>
      <c r="D1203" s="22" t="str">
        <f>TEXT(Table1_1[[#This Row],[Order Date]],"MMMM")</f>
        <v>August</v>
      </c>
      <c r="E1203" s="22" t="s">
        <v>48</v>
      </c>
      <c r="F1203" s="22" t="s">
        <v>49</v>
      </c>
      <c r="G1203" s="22" t="s">
        <v>101</v>
      </c>
      <c r="H1203" s="22" t="s">
        <v>19</v>
      </c>
      <c r="I1203" s="22" t="s">
        <v>20</v>
      </c>
      <c r="J1203" s="22" t="s">
        <v>21</v>
      </c>
      <c r="K1203" s="22" t="s">
        <v>115</v>
      </c>
      <c r="L1203" s="22" t="s">
        <v>23</v>
      </c>
      <c r="M1203" s="22" t="s">
        <v>24</v>
      </c>
      <c r="N1203" s="22">
        <v>40</v>
      </c>
      <c r="O1203" s="26">
        <v>6499</v>
      </c>
      <c r="P1203" s="22">
        <v>0.18</v>
      </c>
      <c r="Q1203" s="30">
        <v>4210</v>
      </c>
      <c r="R1203" s="33">
        <f>Table1_1[[#This Row],[Units Sold]]*Table1_1[[#This Row],[Unit Price]]*1-Table1_1[[#This Row],[Discount]]</f>
        <v>259959.82</v>
      </c>
      <c r="S1203" s="33">
        <f>Table1_1[[#This Row],[Units Sold]]*Table1_1[[#This Row],[Unit Cost]]</f>
        <v>168400</v>
      </c>
      <c r="T1203" s="33">
        <f>Table1_1[[#This Row],[Sales Amount]]-S1203</f>
        <v>91559.82</v>
      </c>
      <c r="U1203" s="32">
        <f>IFERROR(Table1_1[[#This Row],[Profit/loss]]/Table1_1[[#This Row],[Sales Amount]],0)</f>
        <v>0.35220758346424463</v>
      </c>
    </row>
    <row r="1204" spans="1:21" ht="18" x14ac:dyDescent="0.35">
      <c r="A1204" s="21" t="s">
        <v>1311</v>
      </c>
      <c r="B1204" s="36">
        <v>45882</v>
      </c>
      <c r="C1204" s="22">
        <f>YEAR(Table1_1[[#This Row],[Order Date]])</f>
        <v>2025</v>
      </c>
      <c r="D1204" s="22" t="str">
        <f>TEXT(Table1_1[[#This Row],[Order Date]],"MMMM")</f>
        <v>August</v>
      </c>
      <c r="E1204" s="22" t="s">
        <v>48</v>
      </c>
      <c r="F1204" s="22" t="s">
        <v>93</v>
      </c>
      <c r="G1204" s="22" t="s">
        <v>69</v>
      </c>
      <c r="H1204" s="22" t="s">
        <v>39</v>
      </c>
      <c r="I1204" s="22" t="s">
        <v>54</v>
      </c>
      <c r="J1204" s="22" t="s">
        <v>90</v>
      </c>
      <c r="K1204" s="22" t="s">
        <v>1621</v>
      </c>
      <c r="L1204" s="22" t="s">
        <v>57</v>
      </c>
      <c r="M1204" s="22" t="s">
        <v>78</v>
      </c>
      <c r="N1204" s="22">
        <v>9</v>
      </c>
      <c r="O1204" s="26">
        <v>31990</v>
      </c>
      <c r="P1204" s="22">
        <v>0.05</v>
      </c>
      <c r="Q1204" s="30">
        <v>21800</v>
      </c>
      <c r="R1204" s="33">
        <f>Table1_1[[#This Row],[Units Sold]]*Table1_1[[#This Row],[Unit Price]]*1-Table1_1[[#This Row],[Discount]]</f>
        <v>287909.95</v>
      </c>
      <c r="S1204" s="33">
        <f>Table1_1[[#This Row],[Units Sold]]*Table1_1[[#This Row],[Unit Cost]]</f>
        <v>196200</v>
      </c>
      <c r="T1204" s="33">
        <f>Table1_1[[#This Row],[Sales Amount]]-S1204</f>
        <v>91709.950000000012</v>
      </c>
      <c r="U1204" s="32">
        <f>IFERROR(Table1_1[[#This Row],[Profit/loss]]/Table1_1[[#This Row],[Sales Amount]],0)</f>
        <v>0.31853692447933812</v>
      </c>
    </row>
    <row r="1205" spans="1:21" ht="18" x14ac:dyDescent="0.35">
      <c r="A1205" s="21" t="s">
        <v>1312</v>
      </c>
      <c r="B1205" s="36">
        <v>45883</v>
      </c>
      <c r="C1205" s="22">
        <f>YEAR(Table1_1[[#This Row],[Order Date]])</f>
        <v>2025</v>
      </c>
      <c r="D1205" s="22" t="str">
        <f>TEXT(Table1_1[[#This Row],[Order Date]],"MMMM")</f>
        <v>August</v>
      </c>
      <c r="E1205" s="22" t="s">
        <v>36</v>
      </c>
      <c r="F1205" s="22" t="s">
        <v>44</v>
      </c>
      <c r="G1205" s="22" t="s">
        <v>18</v>
      </c>
      <c r="H1205" s="22" t="s">
        <v>19</v>
      </c>
      <c r="I1205" s="22" t="s">
        <v>20</v>
      </c>
      <c r="J1205" s="22" t="s">
        <v>21</v>
      </c>
      <c r="K1205" s="22" t="s">
        <v>51</v>
      </c>
      <c r="L1205" s="22" t="s">
        <v>57</v>
      </c>
      <c r="M1205" s="22" t="s">
        <v>34</v>
      </c>
      <c r="N1205" s="22">
        <v>11</v>
      </c>
      <c r="O1205" s="26">
        <v>5999</v>
      </c>
      <c r="P1205" s="22">
        <v>0.12</v>
      </c>
      <c r="Q1205" s="30">
        <v>3890</v>
      </c>
      <c r="R1205" s="33">
        <f>Table1_1[[#This Row],[Units Sold]]*Table1_1[[#This Row],[Unit Price]]*1-Table1_1[[#This Row],[Discount]]</f>
        <v>65988.88</v>
      </c>
      <c r="S1205" s="33">
        <f>Table1_1[[#This Row],[Units Sold]]*Table1_1[[#This Row],[Unit Cost]]</f>
        <v>42790</v>
      </c>
      <c r="T1205" s="33">
        <f>Table1_1[[#This Row],[Sales Amount]]-S1205</f>
        <v>23198.880000000005</v>
      </c>
      <c r="U1205" s="32">
        <f>IFERROR(Table1_1[[#This Row],[Profit/loss]]/Table1_1[[#This Row],[Sales Amount]],0)</f>
        <v>0.3515574139157992</v>
      </c>
    </row>
    <row r="1206" spans="1:21" ht="18" x14ac:dyDescent="0.35">
      <c r="A1206" s="21" t="s">
        <v>1313</v>
      </c>
      <c r="B1206" s="36">
        <v>45883</v>
      </c>
      <c r="C1206" s="22">
        <f>YEAR(Table1_1[[#This Row],[Order Date]])</f>
        <v>2025</v>
      </c>
      <c r="D1206" s="22" t="str">
        <f>TEXT(Table1_1[[#This Row],[Order Date]],"MMMM")</f>
        <v>August</v>
      </c>
      <c r="E1206" s="22" t="s">
        <v>82</v>
      </c>
      <c r="F1206" s="22" t="s">
        <v>83</v>
      </c>
      <c r="G1206" s="22" t="s">
        <v>38</v>
      </c>
      <c r="H1206" s="22" t="s">
        <v>29</v>
      </c>
      <c r="I1206" s="22" t="s">
        <v>40</v>
      </c>
      <c r="J1206" s="22" t="s">
        <v>76</v>
      </c>
      <c r="K1206" s="22" t="s">
        <v>1620</v>
      </c>
      <c r="L1206" s="22" t="s">
        <v>33</v>
      </c>
      <c r="M1206" s="22" t="s">
        <v>24</v>
      </c>
      <c r="N1206" s="22">
        <v>16</v>
      </c>
      <c r="O1206" s="26">
        <v>52990</v>
      </c>
      <c r="P1206" s="22">
        <v>0.18</v>
      </c>
      <c r="Q1206" s="30">
        <v>39500</v>
      </c>
      <c r="R1206" s="33">
        <f>Table1_1[[#This Row],[Units Sold]]*Table1_1[[#This Row],[Unit Price]]*1-Table1_1[[#This Row],[Discount]]</f>
        <v>847839.82</v>
      </c>
      <c r="S1206" s="33">
        <f>Table1_1[[#This Row],[Units Sold]]*Table1_1[[#This Row],[Unit Cost]]</f>
        <v>632000</v>
      </c>
      <c r="T1206" s="33">
        <f>Table1_1[[#This Row],[Sales Amount]]-S1206</f>
        <v>215839.81999999995</v>
      </c>
      <c r="U1206" s="32">
        <f>IFERROR(Table1_1[[#This Row],[Profit/loss]]/Table1_1[[#This Row],[Sales Amount]],0)</f>
        <v>0.25457617690096224</v>
      </c>
    </row>
    <row r="1207" spans="1:21" ht="18" x14ac:dyDescent="0.35">
      <c r="A1207" s="21" t="s">
        <v>1314</v>
      </c>
      <c r="B1207" s="36">
        <v>45883</v>
      </c>
      <c r="C1207" s="22">
        <f>YEAR(Table1_1[[#This Row],[Order Date]])</f>
        <v>2025</v>
      </c>
      <c r="D1207" s="22" t="str">
        <f>TEXT(Table1_1[[#This Row],[Order Date]],"MMMM")</f>
        <v>August</v>
      </c>
      <c r="E1207" s="22" t="s">
        <v>36</v>
      </c>
      <c r="F1207" s="22" t="s">
        <v>37</v>
      </c>
      <c r="G1207" s="22" t="s">
        <v>84</v>
      </c>
      <c r="H1207" s="22" t="s">
        <v>19</v>
      </c>
      <c r="I1207" s="22" t="s">
        <v>70</v>
      </c>
      <c r="J1207" s="22" t="s">
        <v>71</v>
      </c>
      <c r="K1207" s="22" t="s">
        <v>72</v>
      </c>
      <c r="L1207" s="22" t="s">
        <v>33</v>
      </c>
      <c r="M1207" s="22" t="s">
        <v>34</v>
      </c>
      <c r="N1207" s="22">
        <v>30</v>
      </c>
      <c r="O1207" s="26">
        <v>3499</v>
      </c>
      <c r="P1207" s="22">
        <v>0.05</v>
      </c>
      <c r="Q1207" s="30">
        <v>2190</v>
      </c>
      <c r="R1207" s="33">
        <f>Table1_1[[#This Row],[Units Sold]]*Table1_1[[#This Row],[Unit Price]]*1-Table1_1[[#This Row],[Discount]]</f>
        <v>104969.95</v>
      </c>
      <c r="S1207" s="33">
        <f>Table1_1[[#This Row],[Units Sold]]*Table1_1[[#This Row],[Unit Cost]]</f>
        <v>65700</v>
      </c>
      <c r="T1207" s="33">
        <f>Table1_1[[#This Row],[Sales Amount]]-S1207</f>
        <v>39269.949999999997</v>
      </c>
      <c r="U1207" s="32">
        <f>IFERROR(Table1_1[[#This Row],[Profit/loss]]/Table1_1[[#This Row],[Sales Amount]],0)</f>
        <v>0.37410658955253384</v>
      </c>
    </row>
    <row r="1208" spans="1:21" ht="18" x14ac:dyDescent="0.35">
      <c r="A1208" s="21" t="s">
        <v>1315</v>
      </c>
      <c r="B1208" s="36">
        <v>45883</v>
      </c>
      <c r="C1208" s="22">
        <f>YEAR(Table1_1[[#This Row],[Order Date]])</f>
        <v>2025</v>
      </c>
      <c r="D1208" s="22" t="str">
        <f>TEXT(Table1_1[[#This Row],[Order Date]],"MMMM")</f>
        <v>August</v>
      </c>
      <c r="E1208" s="22" t="s">
        <v>36</v>
      </c>
      <c r="F1208" s="22" t="s">
        <v>44</v>
      </c>
      <c r="G1208" s="22" t="s">
        <v>38</v>
      </c>
      <c r="H1208" s="22" t="s">
        <v>39</v>
      </c>
      <c r="I1208" s="22" t="s">
        <v>40</v>
      </c>
      <c r="J1208" s="22" t="s">
        <v>64</v>
      </c>
      <c r="K1208" s="22" t="s">
        <v>1619</v>
      </c>
      <c r="L1208" s="22" t="s">
        <v>23</v>
      </c>
      <c r="M1208" s="22" t="s">
        <v>34</v>
      </c>
      <c r="N1208" s="22">
        <v>34</v>
      </c>
      <c r="O1208" s="26">
        <v>1930</v>
      </c>
      <c r="P1208" s="22">
        <v>0.15</v>
      </c>
      <c r="Q1208" s="30">
        <v>1120</v>
      </c>
      <c r="R1208" s="33">
        <f>Table1_1[[#This Row],[Units Sold]]*Table1_1[[#This Row],[Unit Price]]*1-Table1_1[[#This Row],[Discount]]</f>
        <v>65619.850000000006</v>
      </c>
      <c r="S1208" s="33">
        <f>Table1_1[[#This Row],[Units Sold]]*Table1_1[[#This Row],[Unit Cost]]</f>
        <v>38080</v>
      </c>
      <c r="T1208" s="33">
        <f>Table1_1[[#This Row],[Sales Amount]]-S1208</f>
        <v>27539.850000000006</v>
      </c>
      <c r="U1208" s="32">
        <f>IFERROR(Table1_1[[#This Row],[Profit/loss]]/Table1_1[[#This Row],[Sales Amount]],0)</f>
        <v>0.41968779264201311</v>
      </c>
    </row>
    <row r="1209" spans="1:21" ht="18" x14ac:dyDescent="0.35">
      <c r="A1209" s="21" t="s">
        <v>1316</v>
      </c>
      <c r="B1209" s="36">
        <v>45883</v>
      </c>
      <c r="C1209" s="22">
        <f>YEAR(Table1_1[[#This Row],[Order Date]])</f>
        <v>2025</v>
      </c>
      <c r="D1209" s="22" t="str">
        <f>TEXT(Table1_1[[#This Row],[Order Date]],"MMMM")</f>
        <v>August</v>
      </c>
      <c r="E1209" s="22" t="s">
        <v>82</v>
      </c>
      <c r="F1209" s="22" t="s">
        <v>100</v>
      </c>
      <c r="G1209" s="22" t="s">
        <v>60</v>
      </c>
      <c r="H1209" s="22" t="s">
        <v>19</v>
      </c>
      <c r="I1209" s="22" t="s">
        <v>40</v>
      </c>
      <c r="J1209" s="22" t="s">
        <v>76</v>
      </c>
      <c r="K1209" s="22" t="s">
        <v>1626</v>
      </c>
      <c r="L1209" s="22" t="s">
        <v>33</v>
      </c>
      <c r="M1209" s="22" t="s">
        <v>24</v>
      </c>
      <c r="N1209" s="22">
        <v>33</v>
      </c>
      <c r="O1209" s="26">
        <v>25999</v>
      </c>
      <c r="P1209" s="22">
        <v>0.2</v>
      </c>
      <c r="Q1209" s="30">
        <v>17800</v>
      </c>
      <c r="R1209" s="33">
        <f>Table1_1[[#This Row],[Units Sold]]*Table1_1[[#This Row],[Unit Price]]*1-Table1_1[[#This Row],[Discount]]</f>
        <v>857966.8</v>
      </c>
      <c r="S1209" s="33">
        <f>Table1_1[[#This Row],[Units Sold]]*Table1_1[[#This Row],[Unit Cost]]</f>
        <v>587400</v>
      </c>
      <c r="T1209" s="33">
        <f>Table1_1[[#This Row],[Sales Amount]]-S1209</f>
        <v>270566.80000000005</v>
      </c>
      <c r="U1209" s="32">
        <f>IFERROR(Table1_1[[#This Row],[Profit/loss]]/Table1_1[[#This Row],[Sales Amount]],0)</f>
        <v>0.31535812341456571</v>
      </c>
    </row>
    <row r="1210" spans="1:21" ht="18" x14ac:dyDescent="0.35">
      <c r="A1210" s="21" t="s">
        <v>1317</v>
      </c>
      <c r="B1210" s="36">
        <v>45883</v>
      </c>
      <c r="C1210" s="22">
        <f>YEAR(Table1_1[[#This Row],[Order Date]])</f>
        <v>2025</v>
      </c>
      <c r="D1210" s="22" t="str">
        <f>TEXT(Table1_1[[#This Row],[Order Date]],"MMMM")</f>
        <v>August</v>
      </c>
      <c r="E1210" s="22" t="s">
        <v>82</v>
      </c>
      <c r="F1210" s="22" t="s">
        <v>83</v>
      </c>
      <c r="G1210" s="22" t="s">
        <v>69</v>
      </c>
      <c r="H1210" s="22" t="s">
        <v>29</v>
      </c>
      <c r="I1210" s="22" t="s">
        <v>54</v>
      </c>
      <c r="J1210" s="22" t="s">
        <v>90</v>
      </c>
      <c r="K1210" s="22" t="s">
        <v>1625</v>
      </c>
      <c r="L1210" s="22" t="s">
        <v>33</v>
      </c>
      <c r="M1210" s="22" t="s">
        <v>24</v>
      </c>
      <c r="N1210" s="22">
        <v>17</v>
      </c>
      <c r="O1210" s="26">
        <v>32800</v>
      </c>
      <c r="P1210" s="22">
        <v>0.18</v>
      </c>
      <c r="Q1210" s="30">
        <v>23100</v>
      </c>
      <c r="R1210" s="33">
        <f>Table1_1[[#This Row],[Units Sold]]*Table1_1[[#This Row],[Unit Price]]*1-Table1_1[[#This Row],[Discount]]</f>
        <v>557599.81999999995</v>
      </c>
      <c r="S1210" s="33">
        <f>Table1_1[[#This Row],[Units Sold]]*Table1_1[[#This Row],[Unit Cost]]</f>
        <v>392700</v>
      </c>
      <c r="T1210" s="33">
        <f>Table1_1[[#This Row],[Sales Amount]]-S1210</f>
        <v>164899.81999999995</v>
      </c>
      <c r="U1210" s="32">
        <f>IFERROR(Table1_1[[#This Row],[Profit/loss]]/Table1_1[[#This Row],[Sales Amount]],0)</f>
        <v>0.29573147997070726</v>
      </c>
    </row>
    <row r="1211" spans="1:21" ht="18" x14ac:dyDescent="0.35">
      <c r="A1211" s="21" t="s">
        <v>1318</v>
      </c>
      <c r="B1211" s="36">
        <v>45883</v>
      </c>
      <c r="C1211" s="22">
        <f>YEAR(Table1_1[[#This Row],[Order Date]])</f>
        <v>2025</v>
      </c>
      <c r="D1211" s="22" t="str">
        <f>TEXT(Table1_1[[#This Row],[Order Date]],"MMMM")</f>
        <v>August</v>
      </c>
      <c r="E1211" s="22" t="s">
        <v>82</v>
      </c>
      <c r="F1211" s="22" t="s">
        <v>83</v>
      </c>
      <c r="G1211" s="22" t="s">
        <v>38</v>
      </c>
      <c r="H1211" s="22" t="s">
        <v>29</v>
      </c>
      <c r="I1211" s="22" t="s">
        <v>54</v>
      </c>
      <c r="J1211" s="22" t="s">
        <v>55</v>
      </c>
      <c r="K1211" s="22" t="s">
        <v>1623</v>
      </c>
      <c r="L1211" s="22" t="s">
        <v>33</v>
      </c>
      <c r="M1211" s="22" t="s">
        <v>24</v>
      </c>
      <c r="N1211" s="22">
        <v>29</v>
      </c>
      <c r="O1211" s="26">
        <v>5890</v>
      </c>
      <c r="P1211" s="22">
        <v>0.05</v>
      </c>
      <c r="Q1211" s="30">
        <v>3980</v>
      </c>
      <c r="R1211" s="33">
        <f>Table1_1[[#This Row],[Units Sold]]*Table1_1[[#This Row],[Unit Price]]*1-Table1_1[[#This Row],[Discount]]</f>
        <v>170809.95</v>
      </c>
      <c r="S1211" s="33">
        <f>Table1_1[[#This Row],[Units Sold]]*Table1_1[[#This Row],[Unit Cost]]</f>
        <v>115420</v>
      </c>
      <c r="T1211" s="33">
        <f>Table1_1[[#This Row],[Sales Amount]]-S1211</f>
        <v>55389.950000000012</v>
      </c>
      <c r="U1211" s="32">
        <f>IFERROR(Table1_1[[#This Row],[Profit/loss]]/Table1_1[[#This Row],[Sales Amount]],0)</f>
        <v>0.32427824023132146</v>
      </c>
    </row>
    <row r="1212" spans="1:21" ht="18" x14ac:dyDescent="0.35">
      <c r="A1212" s="21" t="s">
        <v>1319</v>
      </c>
      <c r="B1212" s="36">
        <v>45884</v>
      </c>
      <c r="C1212" s="22">
        <f>YEAR(Table1_1[[#This Row],[Order Date]])</f>
        <v>2025</v>
      </c>
      <c r="D1212" s="22" t="str">
        <f>TEXT(Table1_1[[#This Row],[Order Date]],"MMMM")</f>
        <v>August</v>
      </c>
      <c r="E1212" s="22" t="s">
        <v>26</v>
      </c>
      <c r="F1212" s="22" t="s">
        <v>27</v>
      </c>
      <c r="G1212" s="22" t="s">
        <v>84</v>
      </c>
      <c r="H1212" s="22" t="s">
        <v>29</v>
      </c>
      <c r="I1212" s="22" t="s">
        <v>40</v>
      </c>
      <c r="J1212" s="22" t="s">
        <v>76</v>
      </c>
      <c r="K1212" s="22" t="s">
        <v>113</v>
      </c>
      <c r="L1212" s="22" t="s">
        <v>23</v>
      </c>
      <c r="M1212" s="22" t="s">
        <v>24</v>
      </c>
      <c r="N1212" s="22">
        <v>9</v>
      </c>
      <c r="O1212" s="26">
        <v>22999</v>
      </c>
      <c r="P1212" s="22">
        <v>0.05</v>
      </c>
      <c r="Q1212" s="30">
        <v>15100</v>
      </c>
      <c r="R1212" s="33">
        <f>Table1_1[[#This Row],[Units Sold]]*Table1_1[[#This Row],[Unit Price]]*1-Table1_1[[#This Row],[Discount]]</f>
        <v>206990.95</v>
      </c>
      <c r="S1212" s="33">
        <f>Table1_1[[#This Row],[Units Sold]]*Table1_1[[#This Row],[Unit Cost]]</f>
        <v>135900</v>
      </c>
      <c r="T1212" s="33">
        <f>Table1_1[[#This Row],[Sales Amount]]-S1212</f>
        <v>71090.950000000012</v>
      </c>
      <c r="U1212" s="32">
        <f>IFERROR(Table1_1[[#This Row],[Profit/loss]]/Table1_1[[#This Row],[Sales Amount]],0)</f>
        <v>0.34344955661104992</v>
      </c>
    </row>
    <row r="1213" spans="1:21" ht="18" x14ac:dyDescent="0.35">
      <c r="A1213" s="21" t="s">
        <v>1320</v>
      </c>
      <c r="B1213" s="36">
        <v>45884</v>
      </c>
      <c r="C1213" s="22">
        <f>YEAR(Table1_1[[#This Row],[Order Date]])</f>
        <v>2025</v>
      </c>
      <c r="D1213" s="22" t="str">
        <f>TEXT(Table1_1[[#This Row],[Order Date]],"MMMM")</f>
        <v>August</v>
      </c>
      <c r="E1213" s="22" t="s">
        <v>48</v>
      </c>
      <c r="F1213" s="22" t="s">
        <v>68</v>
      </c>
      <c r="G1213" s="22" t="s">
        <v>60</v>
      </c>
      <c r="H1213" s="22" t="s">
        <v>19</v>
      </c>
      <c r="I1213" s="22" t="s">
        <v>30</v>
      </c>
      <c r="J1213" s="22" t="s">
        <v>61</v>
      </c>
      <c r="K1213" s="22" t="s">
        <v>96</v>
      </c>
      <c r="L1213" s="22" t="s">
        <v>23</v>
      </c>
      <c r="M1213" s="22" t="s">
        <v>24</v>
      </c>
      <c r="N1213" s="22">
        <v>35</v>
      </c>
      <c r="O1213" s="26">
        <v>25110</v>
      </c>
      <c r="P1213" s="22">
        <v>0.08</v>
      </c>
      <c r="Q1213" s="30">
        <v>16730</v>
      </c>
      <c r="R1213" s="33">
        <f>Table1_1[[#This Row],[Units Sold]]*Table1_1[[#This Row],[Unit Price]]*1-Table1_1[[#This Row],[Discount]]</f>
        <v>878849.92</v>
      </c>
      <c r="S1213" s="33">
        <f>Table1_1[[#This Row],[Units Sold]]*Table1_1[[#This Row],[Unit Cost]]</f>
        <v>585550</v>
      </c>
      <c r="T1213" s="33">
        <f>Table1_1[[#This Row],[Sales Amount]]-S1213</f>
        <v>293299.92000000004</v>
      </c>
      <c r="U1213" s="32">
        <f>IFERROR(Table1_1[[#This Row],[Profit/loss]]/Table1_1[[#This Row],[Sales Amount]],0)</f>
        <v>0.33373152039428988</v>
      </c>
    </row>
    <row r="1214" spans="1:21" ht="18" x14ac:dyDescent="0.35">
      <c r="A1214" s="21" t="s">
        <v>1321</v>
      </c>
      <c r="B1214" s="36">
        <v>45884</v>
      </c>
      <c r="C1214" s="22">
        <f>YEAR(Table1_1[[#This Row],[Order Date]])</f>
        <v>2025</v>
      </c>
      <c r="D1214" s="22" t="str">
        <f>TEXT(Table1_1[[#This Row],[Order Date]],"MMMM")</f>
        <v>August</v>
      </c>
      <c r="E1214" s="22" t="s">
        <v>16</v>
      </c>
      <c r="F1214" s="22" t="s">
        <v>17</v>
      </c>
      <c r="G1214" s="22" t="s">
        <v>69</v>
      </c>
      <c r="H1214" s="22" t="s">
        <v>29</v>
      </c>
      <c r="I1214" s="22" t="s">
        <v>70</v>
      </c>
      <c r="J1214" s="22" t="s">
        <v>71</v>
      </c>
      <c r="K1214" s="22" t="s">
        <v>72</v>
      </c>
      <c r="L1214" s="22" t="s">
        <v>23</v>
      </c>
      <c r="M1214" s="22" t="s">
        <v>24</v>
      </c>
      <c r="N1214" s="22">
        <v>27</v>
      </c>
      <c r="O1214" s="26">
        <v>3499</v>
      </c>
      <c r="P1214" s="22">
        <v>0.12</v>
      </c>
      <c r="Q1214" s="30">
        <v>2190</v>
      </c>
      <c r="R1214" s="33">
        <f>Table1_1[[#This Row],[Units Sold]]*Table1_1[[#This Row],[Unit Price]]*1-Table1_1[[#This Row],[Discount]]</f>
        <v>94472.88</v>
      </c>
      <c r="S1214" s="33">
        <f>Table1_1[[#This Row],[Units Sold]]*Table1_1[[#This Row],[Unit Cost]]</f>
        <v>59130</v>
      </c>
      <c r="T1214" s="33">
        <f>Table1_1[[#This Row],[Sales Amount]]-S1214</f>
        <v>35342.880000000005</v>
      </c>
      <c r="U1214" s="32">
        <f>IFERROR(Table1_1[[#This Row],[Profit/loss]]/Table1_1[[#This Row],[Sales Amount]],0)</f>
        <v>0.3741060926691343</v>
      </c>
    </row>
    <row r="1215" spans="1:21" ht="18" x14ac:dyDescent="0.35">
      <c r="A1215" s="21" t="s">
        <v>1322</v>
      </c>
      <c r="B1215" s="36">
        <v>45885</v>
      </c>
      <c r="C1215" s="22">
        <f>YEAR(Table1_1[[#This Row],[Order Date]])</f>
        <v>2025</v>
      </c>
      <c r="D1215" s="22" t="str">
        <f>TEXT(Table1_1[[#This Row],[Order Date]],"MMMM")</f>
        <v>August</v>
      </c>
      <c r="E1215" s="22" t="s">
        <v>36</v>
      </c>
      <c r="F1215" s="22" t="s">
        <v>121</v>
      </c>
      <c r="G1215" s="22" t="s">
        <v>75</v>
      </c>
      <c r="H1215" s="22" t="s">
        <v>19</v>
      </c>
      <c r="I1215" s="22" t="s">
        <v>40</v>
      </c>
      <c r="J1215" s="22" t="s">
        <v>76</v>
      </c>
      <c r="K1215" s="22" t="s">
        <v>1626</v>
      </c>
      <c r="L1215" s="22" t="s">
        <v>57</v>
      </c>
      <c r="M1215" s="22" t="s">
        <v>78</v>
      </c>
      <c r="N1215" s="22">
        <v>28</v>
      </c>
      <c r="O1215" s="26">
        <v>25999</v>
      </c>
      <c r="P1215" s="22">
        <v>0.18</v>
      </c>
      <c r="Q1215" s="30">
        <v>17800</v>
      </c>
      <c r="R1215" s="33">
        <f>Table1_1[[#This Row],[Units Sold]]*Table1_1[[#This Row],[Unit Price]]*1-Table1_1[[#This Row],[Discount]]</f>
        <v>727971.82</v>
      </c>
      <c r="S1215" s="33">
        <f>Table1_1[[#This Row],[Units Sold]]*Table1_1[[#This Row],[Unit Cost]]</f>
        <v>498400</v>
      </c>
      <c r="T1215" s="33">
        <f>Table1_1[[#This Row],[Sales Amount]]-S1215</f>
        <v>229571.81999999995</v>
      </c>
      <c r="U1215" s="32">
        <f>IFERROR(Table1_1[[#This Row],[Profit/loss]]/Table1_1[[#This Row],[Sales Amount]],0)</f>
        <v>0.31535811372478673</v>
      </c>
    </row>
    <row r="1216" spans="1:21" ht="18" x14ac:dyDescent="0.35">
      <c r="A1216" s="21" t="s">
        <v>1323</v>
      </c>
      <c r="B1216" s="36">
        <v>45885</v>
      </c>
      <c r="C1216" s="22">
        <f>YEAR(Table1_1[[#This Row],[Order Date]])</f>
        <v>2025</v>
      </c>
      <c r="D1216" s="22" t="str">
        <f>TEXT(Table1_1[[#This Row],[Order Date]],"MMMM")</f>
        <v>August</v>
      </c>
      <c r="E1216" s="22" t="s">
        <v>26</v>
      </c>
      <c r="F1216" s="22" t="s">
        <v>74</v>
      </c>
      <c r="G1216" s="22" t="s">
        <v>75</v>
      </c>
      <c r="H1216" s="22" t="s">
        <v>29</v>
      </c>
      <c r="I1216" s="22" t="s">
        <v>54</v>
      </c>
      <c r="J1216" s="22" t="s">
        <v>129</v>
      </c>
      <c r="K1216" s="22" t="s">
        <v>1630</v>
      </c>
      <c r="L1216" s="22" t="s">
        <v>23</v>
      </c>
      <c r="M1216" s="22" t="s">
        <v>24</v>
      </c>
      <c r="N1216" s="22">
        <v>6</v>
      </c>
      <c r="O1216" s="26">
        <v>29010</v>
      </c>
      <c r="P1216" s="22">
        <v>0.08</v>
      </c>
      <c r="Q1216" s="30">
        <v>19100</v>
      </c>
      <c r="R1216" s="33">
        <f>Table1_1[[#This Row],[Units Sold]]*Table1_1[[#This Row],[Unit Price]]*1-Table1_1[[#This Row],[Discount]]</f>
        <v>174059.92</v>
      </c>
      <c r="S1216" s="33">
        <f>Table1_1[[#This Row],[Units Sold]]*Table1_1[[#This Row],[Unit Cost]]</f>
        <v>114600</v>
      </c>
      <c r="T1216" s="33">
        <f>Table1_1[[#This Row],[Sales Amount]]-S1216</f>
        <v>59459.920000000013</v>
      </c>
      <c r="U1216" s="32">
        <f>IFERROR(Table1_1[[#This Row],[Profit/loss]]/Table1_1[[#This Row],[Sales Amount]],0)</f>
        <v>0.34160604003494893</v>
      </c>
    </row>
    <row r="1217" spans="1:21" ht="18" x14ac:dyDescent="0.35">
      <c r="A1217" s="21" t="s">
        <v>1324</v>
      </c>
      <c r="B1217" s="36">
        <v>45885</v>
      </c>
      <c r="C1217" s="22">
        <f>YEAR(Table1_1[[#This Row],[Order Date]])</f>
        <v>2025</v>
      </c>
      <c r="D1217" s="22" t="str">
        <f>TEXT(Table1_1[[#This Row],[Order Date]],"MMMM")</f>
        <v>August</v>
      </c>
      <c r="E1217" s="22" t="s">
        <v>48</v>
      </c>
      <c r="F1217" s="22" t="s">
        <v>136</v>
      </c>
      <c r="G1217" s="22" t="s">
        <v>50</v>
      </c>
      <c r="H1217" s="22" t="s">
        <v>19</v>
      </c>
      <c r="I1217" s="22" t="s">
        <v>70</v>
      </c>
      <c r="J1217" s="22" t="s">
        <v>71</v>
      </c>
      <c r="K1217" s="22" t="s">
        <v>72</v>
      </c>
      <c r="L1217" s="22" t="s">
        <v>23</v>
      </c>
      <c r="M1217" s="22" t="s">
        <v>24</v>
      </c>
      <c r="N1217" s="22">
        <v>33</v>
      </c>
      <c r="O1217" s="26">
        <v>3499</v>
      </c>
      <c r="P1217" s="22">
        <v>0.08</v>
      </c>
      <c r="Q1217" s="30">
        <v>2190</v>
      </c>
      <c r="R1217" s="33">
        <f>Table1_1[[#This Row],[Units Sold]]*Table1_1[[#This Row],[Unit Price]]*1-Table1_1[[#This Row],[Discount]]</f>
        <v>115466.92</v>
      </c>
      <c r="S1217" s="33">
        <f>Table1_1[[#This Row],[Units Sold]]*Table1_1[[#This Row],[Unit Cost]]</f>
        <v>72270</v>
      </c>
      <c r="T1217" s="33">
        <f>Table1_1[[#This Row],[Sales Amount]]-S1217</f>
        <v>43196.92</v>
      </c>
      <c r="U1217" s="32">
        <f>IFERROR(Table1_1[[#This Row],[Profit/loss]]/Table1_1[[#This Row],[Sales Amount]],0)</f>
        <v>0.37410645403895765</v>
      </c>
    </row>
    <row r="1218" spans="1:21" ht="18" x14ac:dyDescent="0.35">
      <c r="A1218" s="21" t="s">
        <v>1325</v>
      </c>
      <c r="B1218" s="36">
        <v>45886</v>
      </c>
      <c r="C1218" s="22">
        <f>YEAR(Table1_1[[#This Row],[Order Date]])</f>
        <v>2025</v>
      </c>
      <c r="D1218" s="22" t="str">
        <f>TEXT(Table1_1[[#This Row],[Order Date]],"MMMM")</f>
        <v>August</v>
      </c>
      <c r="E1218" s="22" t="s">
        <v>16</v>
      </c>
      <c r="F1218" s="22" t="s">
        <v>126</v>
      </c>
      <c r="G1218" s="22" t="s">
        <v>84</v>
      </c>
      <c r="H1218" s="22" t="s">
        <v>39</v>
      </c>
      <c r="I1218" s="22" t="s">
        <v>70</v>
      </c>
      <c r="J1218" s="22" t="s">
        <v>71</v>
      </c>
      <c r="K1218" s="22" t="s">
        <v>80</v>
      </c>
      <c r="L1218" s="22" t="s">
        <v>33</v>
      </c>
      <c r="M1218" s="22" t="s">
        <v>66</v>
      </c>
      <c r="N1218" s="22">
        <v>32</v>
      </c>
      <c r="O1218" s="26">
        <v>1299</v>
      </c>
      <c r="P1218" s="22">
        <v>0.12</v>
      </c>
      <c r="Q1218" s="30">
        <v>720</v>
      </c>
      <c r="R1218" s="33">
        <f>Table1_1[[#This Row],[Units Sold]]*Table1_1[[#This Row],[Unit Price]]*1-Table1_1[[#This Row],[Discount]]</f>
        <v>41567.879999999997</v>
      </c>
      <c r="S1218" s="33">
        <f>Table1_1[[#This Row],[Units Sold]]*Table1_1[[#This Row],[Unit Cost]]</f>
        <v>23040</v>
      </c>
      <c r="T1218" s="33">
        <f>Table1_1[[#This Row],[Sales Amount]]-S1218</f>
        <v>18527.879999999997</v>
      </c>
      <c r="U1218" s="32">
        <f>IFERROR(Table1_1[[#This Row],[Profit/loss]]/Table1_1[[#This Row],[Sales Amount]],0)</f>
        <v>0.44572588258049239</v>
      </c>
    </row>
    <row r="1219" spans="1:21" ht="18" x14ac:dyDescent="0.35">
      <c r="A1219" s="21" t="s">
        <v>1326</v>
      </c>
      <c r="B1219" s="36">
        <v>45886</v>
      </c>
      <c r="C1219" s="22">
        <f>YEAR(Table1_1[[#This Row],[Order Date]])</f>
        <v>2025</v>
      </c>
      <c r="D1219" s="22" t="str">
        <f>TEXT(Table1_1[[#This Row],[Order Date]],"MMMM")</f>
        <v>August</v>
      </c>
      <c r="E1219" s="22" t="s">
        <v>16</v>
      </c>
      <c r="F1219" s="22" t="s">
        <v>111</v>
      </c>
      <c r="G1219" s="22" t="s">
        <v>75</v>
      </c>
      <c r="H1219" s="22" t="s">
        <v>29</v>
      </c>
      <c r="I1219" s="22" t="s">
        <v>40</v>
      </c>
      <c r="J1219" s="22" t="s">
        <v>64</v>
      </c>
      <c r="K1219" s="22" t="s">
        <v>1627</v>
      </c>
      <c r="L1219" s="22" t="s">
        <v>23</v>
      </c>
      <c r="M1219" s="22" t="s">
        <v>24</v>
      </c>
      <c r="N1219" s="22">
        <v>24</v>
      </c>
      <c r="O1219" s="26">
        <v>4490</v>
      </c>
      <c r="P1219" s="22">
        <v>0.2</v>
      </c>
      <c r="Q1219" s="30">
        <v>2950</v>
      </c>
      <c r="R1219" s="33">
        <f>Table1_1[[#This Row],[Units Sold]]*Table1_1[[#This Row],[Unit Price]]*1-Table1_1[[#This Row],[Discount]]</f>
        <v>107759.8</v>
      </c>
      <c r="S1219" s="33">
        <f>Table1_1[[#This Row],[Units Sold]]*Table1_1[[#This Row],[Unit Cost]]</f>
        <v>70800</v>
      </c>
      <c r="T1219" s="33">
        <f>Table1_1[[#This Row],[Sales Amount]]-S1219</f>
        <v>36959.800000000003</v>
      </c>
      <c r="U1219" s="32">
        <f>IFERROR(Table1_1[[#This Row],[Profit/loss]]/Table1_1[[#This Row],[Sales Amount]],0)</f>
        <v>0.34298319039196434</v>
      </c>
    </row>
    <row r="1220" spans="1:21" ht="18" x14ac:dyDescent="0.35">
      <c r="A1220" s="21" t="s">
        <v>1327</v>
      </c>
      <c r="B1220" s="36">
        <v>45886</v>
      </c>
      <c r="C1220" s="22">
        <f>YEAR(Table1_1[[#This Row],[Order Date]])</f>
        <v>2025</v>
      </c>
      <c r="D1220" s="22" t="str">
        <f>TEXT(Table1_1[[#This Row],[Order Date]],"MMMM")</f>
        <v>August</v>
      </c>
      <c r="E1220" s="22" t="s">
        <v>16</v>
      </c>
      <c r="F1220" s="22" t="s">
        <v>111</v>
      </c>
      <c r="G1220" s="22" t="s">
        <v>18</v>
      </c>
      <c r="H1220" s="22" t="s">
        <v>19</v>
      </c>
      <c r="I1220" s="22" t="s">
        <v>30</v>
      </c>
      <c r="J1220" s="22" t="s">
        <v>31</v>
      </c>
      <c r="K1220" s="22" t="s">
        <v>85</v>
      </c>
      <c r="L1220" s="22" t="s">
        <v>23</v>
      </c>
      <c r="M1220" s="22" t="s">
        <v>24</v>
      </c>
      <c r="N1220" s="22">
        <v>29</v>
      </c>
      <c r="O1220" s="26">
        <v>43500</v>
      </c>
      <c r="P1220" s="22">
        <v>0.05</v>
      </c>
      <c r="Q1220" s="30">
        <v>29520</v>
      </c>
      <c r="R1220" s="33">
        <f>Table1_1[[#This Row],[Units Sold]]*Table1_1[[#This Row],[Unit Price]]*1-Table1_1[[#This Row],[Discount]]</f>
        <v>1261499.95</v>
      </c>
      <c r="S1220" s="33">
        <f>Table1_1[[#This Row],[Units Sold]]*Table1_1[[#This Row],[Unit Cost]]</f>
        <v>856080</v>
      </c>
      <c r="T1220" s="33">
        <f>Table1_1[[#This Row],[Sales Amount]]-S1220</f>
        <v>405419.94999999995</v>
      </c>
      <c r="U1220" s="32">
        <f>IFERROR(Table1_1[[#This Row],[Profit/loss]]/Table1_1[[#This Row],[Sales Amount]],0)</f>
        <v>0.32137928344745476</v>
      </c>
    </row>
    <row r="1221" spans="1:21" ht="18" x14ac:dyDescent="0.35">
      <c r="A1221" s="21" t="s">
        <v>1328</v>
      </c>
      <c r="B1221" s="36">
        <v>45887</v>
      </c>
      <c r="C1221" s="22">
        <f>YEAR(Table1_1[[#This Row],[Order Date]])</f>
        <v>2025</v>
      </c>
      <c r="D1221" s="22" t="str">
        <f>TEXT(Table1_1[[#This Row],[Order Date]],"MMMM")</f>
        <v>August</v>
      </c>
      <c r="E1221" s="22" t="s">
        <v>26</v>
      </c>
      <c r="F1221" s="22" t="s">
        <v>74</v>
      </c>
      <c r="G1221" s="22" t="s">
        <v>101</v>
      </c>
      <c r="H1221" s="22" t="s">
        <v>29</v>
      </c>
      <c r="I1221" s="22" t="s">
        <v>30</v>
      </c>
      <c r="J1221" s="22" t="s">
        <v>31</v>
      </c>
      <c r="K1221" s="22" t="s">
        <v>106</v>
      </c>
      <c r="L1221" s="22" t="s">
        <v>33</v>
      </c>
      <c r="M1221" s="22" t="s">
        <v>24</v>
      </c>
      <c r="N1221" s="22">
        <v>3</v>
      </c>
      <c r="O1221" s="26">
        <v>52990</v>
      </c>
      <c r="P1221" s="22">
        <v>0.1</v>
      </c>
      <c r="Q1221" s="30">
        <v>35100</v>
      </c>
      <c r="R1221" s="33">
        <f>Table1_1[[#This Row],[Units Sold]]*Table1_1[[#This Row],[Unit Price]]*1-Table1_1[[#This Row],[Discount]]</f>
        <v>158969.9</v>
      </c>
      <c r="S1221" s="33">
        <f>Table1_1[[#This Row],[Units Sold]]*Table1_1[[#This Row],[Unit Cost]]</f>
        <v>105300</v>
      </c>
      <c r="T1221" s="33">
        <f>Table1_1[[#This Row],[Sales Amount]]-S1221</f>
        <v>53669.899999999994</v>
      </c>
      <c r="U1221" s="32">
        <f>IFERROR(Table1_1[[#This Row],[Profit/loss]]/Table1_1[[#This Row],[Sales Amount]],0)</f>
        <v>0.33761045329964978</v>
      </c>
    </row>
    <row r="1222" spans="1:21" ht="18" x14ac:dyDescent="0.35">
      <c r="A1222" s="21" t="s">
        <v>1329</v>
      </c>
      <c r="B1222" s="36">
        <v>45888</v>
      </c>
      <c r="C1222" s="22">
        <f>YEAR(Table1_1[[#This Row],[Order Date]])</f>
        <v>2025</v>
      </c>
      <c r="D1222" s="22" t="str">
        <f>TEXT(Table1_1[[#This Row],[Order Date]],"MMMM")</f>
        <v>August</v>
      </c>
      <c r="E1222" s="22" t="s">
        <v>16</v>
      </c>
      <c r="F1222" s="22" t="s">
        <v>126</v>
      </c>
      <c r="G1222" s="22" t="s">
        <v>28</v>
      </c>
      <c r="H1222" s="22" t="s">
        <v>39</v>
      </c>
      <c r="I1222" s="22" t="s">
        <v>70</v>
      </c>
      <c r="J1222" s="22" t="s">
        <v>71</v>
      </c>
      <c r="K1222" s="22" t="s">
        <v>80</v>
      </c>
      <c r="L1222" s="22" t="s">
        <v>23</v>
      </c>
      <c r="M1222" s="22" t="s">
        <v>66</v>
      </c>
      <c r="N1222" s="22">
        <v>30</v>
      </c>
      <c r="O1222" s="26">
        <v>1299</v>
      </c>
      <c r="P1222" s="22">
        <v>0.2</v>
      </c>
      <c r="Q1222" s="30">
        <v>720</v>
      </c>
      <c r="R1222" s="33">
        <f>Table1_1[[#This Row],[Units Sold]]*Table1_1[[#This Row],[Unit Price]]*1-Table1_1[[#This Row],[Discount]]</f>
        <v>38969.800000000003</v>
      </c>
      <c r="S1222" s="33">
        <f>Table1_1[[#This Row],[Units Sold]]*Table1_1[[#This Row],[Unit Cost]]</f>
        <v>21600</v>
      </c>
      <c r="T1222" s="33">
        <f>Table1_1[[#This Row],[Sales Amount]]-S1222</f>
        <v>17369.800000000003</v>
      </c>
      <c r="U1222" s="32">
        <f>IFERROR(Table1_1[[#This Row],[Profit/loss]]/Table1_1[[#This Row],[Sales Amount]],0)</f>
        <v>0.44572463805305651</v>
      </c>
    </row>
    <row r="1223" spans="1:21" ht="18" x14ac:dyDescent="0.35">
      <c r="A1223" s="21" t="s">
        <v>1330</v>
      </c>
      <c r="B1223" s="36">
        <v>45888</v>
      </c>
      <c r="C1223" s="22">
        <f>YEAR(Table1_1[[#This Row],[Order Date]])</f>
        <v>2025</v>
      </c>
      <c r="D1223" s="22" t="str">
        <f>TEXT(Table1_1[[#This Row],[Order Date]],"MMMM")</f>
        <v>August</v>
      </c>
      <c r="E1223" s="22" t="s">
        <v>26</v>
      </c>
      <c r="F1223" s="22" t="s">
        <v>74</v>
      </c>
      <c r="G1223" s="22" t="s">
        <v>75</v>
      </c>
      <c r="H1223" s="22" t="s">
        <v>19</v>
      </c>
      <c r="I1223" s="22" t="s">
        <v>20</v>
      </c>
      <c r="J1223" s="22" t="s">
        <v>45</v>
      </c>
      <c r="K1223" s="22" t="s">
        <v>196</v>
      </c>
      <c r="L1223" s="22" t="s">
        <v>23</v>
      </c>
      <c r="M1223" s="22" t="s">
        <v>24</v>
      </c>
      <c r="N1223" s="22">
        <v>39</v>
      </c>
      <c r="O1223" s="26">
        <v>2499</v>
      </c>
      <c r="P1223" s="22">
        <v>0.2</v>
      </c>
      <c r="Q1223" s="30">
        <v>1510</v>
      </c>
      <c r="R1223" s="33">
        <f>Table1_1[[#This Row],[Units Sold]]*Table1_1[[#This Row],[Unit Price]]*1-Table1_1[[#This Row],[Discount]]</f>
        <v>97460.800000000003</v>
      </c>
      <c r="S1223" s="33">
        <f>Table1_1[[#This Row],[Units Sold]]*Table1_1[[#This Row],[Unit Cost]]</f>
        <v>58890</v>
      </c>
      <c r="T1223" s="33">
        <f>Table1_1[[#This Row],[Sales Amount]]-S1223</f>
        <v>38570.800000000003</v>
      </c>
      <c r="U1223" s="32">
        <f>IFERROR(Table1_1[[#This Row],[Profit/loss]]/Table1_1[[#This Row],[Sales Amount]],0)</f>
        <v>0.39575706335265054</v>
      </c>
    </row>
    <row r="1224" spans="1:21" ht="18" x14ac:dyDescent="0.35">
      <c r="A1224" s="21" t="s">
        <v>1331</v>
      </c>
      <c r="B1224" s="36">
        <v>45888</v>
      </c>
      <c r="C1224" s="22">
        <f>YEAR(Table1_1[[#This Row],[Order Date]])</f>
        <v>2025</v>
      </c>
      <c r="D1224" s="22" t="str">
        <f>TEXT(Table1_1[[#This Row],[Order Date]],"MMMM")</f>
        <v>August</v>
      </c>
      <c r="E1224" s="22" t="s">
        <v>16</v>
      </c>
      <c r="F1224" s="22" t="s">
        <v>98</v>
      </c>
      <c r="G1224" s="22" t="s">
        <v>105</v>
      </c>
      <c r="H1224" s="22" t="s">
        <v>39</v>
      </c>
      <c r="I1224" s="22" t="s">
        <v>70</v>
      </c>
      <c r="J1224" s="22" t="s">
        <v>71</v>
      </c>
      <c r="K1224" s="22" t="s">
        <v>80</v>
      </c>
      <c r="L1224" s="22" t="s">
        <v>57</v>
      </c>
      <c r="M1224" s="22" t="s">
        <v>34</v>
      </c>
      <c r="N1224" s="22">
        <v>30</v>
      </c>
      <c r="O1224" s="26">
        <v>1299</v>
      </c>
      <c r="P1224" s="22">
        <v>0.1</v>
      </c>
      <c r="Q1224" s="30">
        <v>720</v>
      </c>
      <c r="R1224" s="33">
        <f>Table1_1[[#This Row],[Units Sold]]*Table1_1[[#This Row],[Unit Price]]*1-Table1_1[[#This Row],[Discount]]</f>
        <v>38969.9</v>
      </c>
      <c r="S1224" s="33">
        <f>Table1_1[[#This Row],[Units Sold]]*Table1_1[[#This Row],[Unit Cost]]</f>
        <v>21600</v>
      </c>
      <c r="T1224" s="33">
        <f>Table1_1[[#This Row],[Sales Amount]]-S1224</f>
        <v>17369.900000000001</v>
      </c>
      <c r="U1224" s="32">
        <f>IFERROR(Table1_1[[#This Row],[Profit/loss]]/Table1_1[[#This Row],[Sales Amount]],0)</f>
        <v>0.44572606036966994</v>
      </c>
    </row>
    <row r="1225" spans="1:21" ht="18" x14ac:dyDescent="0.35">
      <c r="A1225" s="21" t="s">
        <v>1332</v>
      </c>
      <c r="B1225" s="36">
        <v>45888</v>
      </c>
      <c r="C1225" s="22">
        <f>YEAR(Table1_1[[#This Row],[Order Date]])</f>
        <v>2025</v>
      </c>
      <c r="D1225" s="22" t="str">
        <f>TEXT(Table1_1[[#This Row],[Order Date]],"MMMM")</f>
        <v>August</v>
      </c>
      <c r="E1225" s="22" t="s">
        <v>26</v>
      </c>
      <c r="F1225" s="22" t="s">
        <v>27</v>
      </c>
      <c r="G1225" s="22" t="s">
        <v>69</v>
      </c>
      <c r="H1225" s="22" t="s">
        <v>29</v>
      </c>
      <c r="I1225" s="22" t="s">
        <v>30</v>
      </c>
      <c r="J1225" s="22" t="s">
        <v>31</v>
      </c>
      <c r="K1225" s="22" t="s">
        <v>85</v>
      </c>
      <c r="L1225" s="22" t="s">
        <v>33</v>
      </c>
      <c r="M1225" s="22" t="s">
        <v>66</v>
      </c>
      <c r="N1225" s="22">
        <v>24</v>
      </c>
      <c r="O1225" s="26">
        <v>43500</v>
      </c>
      <c r="P1225" s="22">
        <v>0.12</v>
      </c>
      <c r="Q1225" s="30">
        <v>29520</v>
      </c>
      <c r="R1225" s="33">
        <f>Table1_1[[#This Row],[Units Sold]]*Table1_1[[#This Row],[Unit Price]]*1-Table1_1[[#This Row],[Discount]]</f>
        <v>1043999.88</v>
      </c>
      <c r="S1225" s="33">
        <f>Table1_1[[#This Row],[Units Sold]]*Table1_1[[#This Row],[Unit Cost]]</f>
        <v>708480</v>
      </c>
      <c r="T1225" s="33">
        <f>Table1_1[[#This Row],[Sales Amount]]-S1225</f>
        <v>335519.88</v>
      </c>
      <c r="U1225" s="32">
        <f>IFERROR(Table1_1[[#This Row],[Profit/loss]]/Table1_1[[#This Row],[Sales Amount]],0)</f>
        <v>0.32137923234244048</v>
      </c>
    </row>
    <row r="1226" spans="1:21" ht="18" x14ac:dyDescent="0.35">
      <c r="A1226" s="21" t="s">
        <v>1333</v>
      </c>
      <c r="B1226" s="36">
        <v>45889</v>
      </c>
      <c r="C1226" s="22">
        <f>YEAR(Table1_1[[#This Row],[Order Date]])</f>
        <v>2025</v>
      </c>
      <c r="D1226" s="22" t="str">
        <f>TEXT(Table1_1[[#This Row],[Order Date]],"MMMM")</f>
        <v>August</v>
      </c>
      <c r="E1226" s="22" t="s">
        <v>48</v>
      </c>
      <c r="F1226" s="22" t="s">
        <v>49</v>
      </c>
      <c r="G1226" s="22" t="s">
        <v>38</v>
      </c>
      <c r="H1226" s="22" t="s">
        <v>19</v>
      </c>
      <c r="I1226" s="22" t="s">
        <v>40</v>
      </c>
      <c r="J1226" s="22" t="s">
        <v>41</v>
      </c>
      <c r="K1226" s="22" t="s">
        <v>42</v>
      </c>
      <c r="L1226" s="22" t="s">
        <v>57</v>
      </c>
      <c r="M1226" s="22" t="s">
        <v>78</v>
      </c>
      <c r="N1226" s="22">
        <v>20</v>
      </c>
      <c r="O1226" s="26">
        <v>55230</v>
      </c>
      <c r="P1226" s="22">
        <v>0.15</v>
      </c>
      <c r="Q1226" s="30">
        <v>33800</v>
      </c>
      <c r="R1226" s="33">
        <f>Table1_1[[#This Row],[Units Sold]]*Table1_1[[#This Row],[Unit Price]]*1-Table1_1[[#This Row],[Discount]]</f>
        <v>1104599.8500000001</v>
      </c>
      <c r="S1226" s="33">
        <f>Table1_1[[#This Row],[Units Sold]]*Table1_1[[#This Row],[Unit Cost]]</f>
        <v>676000</v>
      </c>
      <c r="T1226" s="33">
        <f>Table1_1[[#This Row],[Sales Amount]]-S1226</f>
        <v>428599.85000000009</v>
      </c>
      <c r="U1226" s="32">
        <f>IFERROR(Table1_1[[#This Row],[Profit/loss]]/Table1_1[[#This Row],[Sales Amount]],0)</f>
        <v>0.38801367753218513</v>
      </c>
    </row>
    <row r="1227" spans="1:21" ht="18" x14ac:dyDescent="0.35">
      <c r="A1227" s="21" t="s">
        <v>1334</v>
      </c>
      <c r="B1227" s="36">
        <v>45889</v>
      </c>
      <c r="C1227" s="22">
        <f>YEAR(Table1_1[[#This Row],[Order Date]])</f>
        <v>2025</v>
      </c>
      <c r="D1227" s="22" t="str">
        <f>TEXT(Table1_1[[#This Row],[Order Date]],"MMMM")</f>
        <v>August</v>
      </c>
      <c r="E1227" s="22" t="s">
        <v>48</v>
      </c>
      <c r="F1227" s="22" t="s">
        <v>136</v>
      </c>
      <c r="G1227" s="22" t="s">
        <v>28</v>
      </c>
      <c r="H1227" s="22" t="s">
        <v>29</v>
      </c>
      <c r="I1227" s="22" t="s">
        <v>40</v>
      </c>
      <c r="J1227" s="22" t="s">
        <v>64</v>
      </c>
      <c r="K1227" s="22" t="s">
        <v>1627</v>
      </c>
      <c r="L1227" s="22" t="s">
        <v>57</v>
      </c>
      <c r="M1227" s="22" t="s">
        <v>24</v>
      </c>
      <c r="N1227" s="22">
        <v>23</v>
      </c>
      <c r="O1227" s="26">
        <v>4490</v>
      </c>
      <c r="P1227" s="22">
        <v>0.1</v>
      </c>
      <c r="Q1227" s="30">
        <v>2950</v>
      </c>
      <c r="R1227" s="33">
        <f>Table1_1[[#This Row],[Units Sold]]*Table1_1[[#This Row],[Unit Price]]*1-Table1_1[[#This Row],[Discount]]</f>
        <v>103269.9</v>
      </c>
      <c r="S1227" s="33">
        <f>Table1_1[[#This Row],[Units Sold]]*Table1_1[[#This Row],[Unit Cost]]</f>
        <v>67850</v>
      </c>
      <c r="T1227" s="33">
        <f>Table1_1[[#This Row],[Sales Amount]]-S1227</f>
        <v>35419.899999999994</v>
      </c>
      <c r="U1227" s="32">
        <f>IFERROR(Table1_1[[#This Row],[Profit/loss]]/Table1_1[[#This Row],[Sales Amount]],0)</f>
        <v>0.34298377358746351</v>
      </c>
    </row>
    <row r="1228" spans="1:21" ht="18" x14ac:dyDescent="0.35">
      <c r="A1228" s="21" t="s">
        <v>1335</v>
      </c>
      <c r="B1228" s="36">
        <v>45891</v>
      </c>
      <c r="C1228" s="22">
        <f>YEAR(Table1_1[[#This Row],[Order Date]])</f>
        <v>2025</v>
      </c>
      <c r="D1228" s="22" t="str">
        <f>TEXT(Table1_1[[#This Row],[Order Date]],"MMMM")</f>
        <v>August</v>
      </c>
      <c r="E1228" s="22" t="s">
        <v>48</v>
      </c>
      <c r="F1228" s="22" t="s">
        <v>93</v>
      </c>
      <c r="G1228" s="22" t="s">
        <v>75</v>
      </c>
      <c r="H1228" s="22" t="s">
        <v>39</v>
      </c>
      <c r="I1228" s="22" t="s">
        <v>20</v>
      </c>
      <c r="J1228" s="22" t="s">
        <v>45</v>
      </c>
      <c r="K1228" s="22" t="s">
        <v>1618</v>
      </c>
      <c r="L1228" s="22" t="s">
        <v>57</v>
      </c>
      <c r="M1228" s="22" t="s">
        <v>24</v>
      </c>
      <c r="N1228" s="22">
        <v>32</v>
      </c>
      <c r="O1228" s="26">
        <v>1899</v>
      </c>
      <c r="P1228" s="22">
        <v>0.18</v>
      </c>
      <c r="Q1228" s="30">
        <v>1080</v>
      </c>
      <c r="R1228" s="33">
        <f>Table1_1[[#This Row],[Units Sold]]*Table1_1[[#This Row],[Unit Price]]*1-Table1_1[[#This Row],[Discount]]</f>
        <v>60767.82</v>
      </c>
      <c r="S1228" s="33">
        <f>Table1_1[[#This Row],[Units Sold]]*Table1_1[[#This Row],[Unit Cost]]</f>
        <v>34560</v>
      </c>
      <c r="T1228" s="33">
        <f>Table1_1[[#This Row],[Sales Amount]]-S1228</f>
        <v>26207.82</v>
      </c>
      <c r="U1228" s="32">
        <f>IFERROR(Table1_1[[#This Row],[Profit/loss]]/Table1_1[[#This Row],[Sales Amount]],0)</f>
        <v>0.43127793624981114</v>
      </c>
    </row>
    <row r="1229" spans="1:21" ht="18" x14ac:dyDescent="0.35">
      <c r="A1229" s="21" t="s">
        <v>1336</v>
      </c>
      <c r="B1229" s="36">
        <v>45891</v>
      </c>
      <c r="C1229" s="22">
        <f>YEAR(Table1_1[[#This Row],[Order Date]])</f>
        <v>2025</v>
      </c>
      <c r="D1229" s="22" t="str">
        <f>TEXT(Table1_1[[#This Row],[Order Date]],"MMMM")</f>
        <v>August</v>
      </c>
      <c r="E1229" s="22" t="s">
        <v>26</v>
      </c>
      <c r="F1229" s="22" t="s">
        <v>53</v>
      </c>
      <c r="G1229" s="22" t="s">
        <v>28</v>
      </c>
      <c r="H1229" s="22" t="s">
        <v>39</v>
      </c>
      <c r="I1229" s="22" t="s">
        <v>20</v>
      </c>
      <c r="J1229" s="22" t="s">
        <v>21</v>
      </c>
      <c r="K1229" s="22" t="s">
        <v>22</v>
      </c>
      <c r="L1229" s="22" t="s">
        <v>57</v>
      </c>
      <c r="M1229" s="22" t="s">
        <v>24</v>
      </c>
      <c r="N1229" s="22">
        <v>7</v>
      </c>
      <c r="O1229" s="26">
        <v>4499</v>
      </c>
      <c r="P1229" s="22">
        <v>0.1</v>
      </c>
      <c r="Q1229" s="30">
        <v>2910</v>
      </c>
      <c r="R1229" s="33">
        <f>Table1_1[[#This Row],[Units Sold]]*Table1_1[[#This Row],[Unit Price]]*1-Table1_1[[#This Row],[Discount]]</f>
        <v>31492.9</v>
      </c>
      <c r="S1229" s="33">
        <f>Table1_1[[#This Row],[Units Sold]]*Table1_1[[#This Row],[Unit Cost]]</f>
        <v>20370</v>
      </c>
      <c r="T1229" s="33">
        <f>Table1_1[[#This Row],[Sales Amount]]-S1229</f>
        <v>11122.900000000001</v>
      </c>
      <c r="U1229" s="32">
        <f>IFERROR(Table1_1[[#This Row],[Profit/loss]]/Table1_1[[#This Row],[Sales Amount]],0)</f>
        <v>0.35318754385909207</v>
      </c>
    </row>
    <row r="1230" spans="1:21" ht="18" x14ac:dyDescent="0.35">
      <c r="A1230" s="21" t="s">
        <v>1337</v>
      </c>
      <c r="B1230" s="36">
        <v>45892</v>
      </c>
      <c r="C1230" s="22">
        <f>YEAR(Table1_1[[#This Row],[Order Date]])</f>
        <v>2025</v>
      </c>
      <c r="D1230" s="22" t="str">
        <f>TEXT(Table1_1[[#This Row],[Order Date]],"MMMM")</f>
        <v>August</v>
      </c>
      <c r="E1230" s="22" t="s">
        <v>26</v>
      </c>
      <c r="F1230" s="22" t="s">
        <v>163</v>
      </c>
      <c r="G1230" s="22" t="s">
        <v>18</v>
      </c>
      <c r="H1230" s="22" t="s">
        <v>29</v>
      </c>
      <c r="I1230" s="22" t="s">
        <v>70</v>
      </c>
      <c r="J1230" s="22" t="s">
        <v>71</v>
      </c>
      <c r="K1230" s="22" t="s">
        <v>80</v>
      </c>
      <c r="L1230" s="22" t="s">
        <v>33</v>
      </c>
      <c r="M1230" s="22" t="s">
        <v>34</v>
      </c>
      <c r="N1230" s="22">
        <v>27</v>
      </c>
      <c r="O1230" s="26">
        <v>1299</v>
      </c>
      <c r="P1230" s="22">
        <v>0.12</v>
      </c>
      <c r="Q1230" s="30">
        <v>720</v>
      </c>
      <c r="R1230" s="33">
        <f>Table1_1[[#This Row],[Units Sold]]*Table1_1[[#This Row],[Unit Price]]*1-Table1_1[[#This Row],[Discount]]</f>
        <v>35072.879999999997</v>
      </c>
      <c r="S1230" s="33">
        <f>Table1_1[[#This Row],[Units Sold]]*Table1_1[[#This Row],[Unit Cost]]</f>
        <v>19440</v>
      </c>
      <c r="T1230" s="33">
        <f>Table1_1[[#This Row],[Sales Amount]]-S1230</f>
        <v>15632.879999999997</v>
      </c>
      <c r="U1230" s="32">
        <f>IFERROR(Table1_1[[#This Row],[Profit/loss]]/Table1_1[[#This Row],[Sales Amount]],0)</f>
        <v>0.44572558626494313</v>
      </c>
    </row>
    <row r="1231" spans="1:21" ht="18" x14ac:dyDescent="0.35">
      <c r="A1231" s="21" t="s">
        <v>1338</v>
      </c>
      <c r="B1231" s="36">
        <v>45892</v>
      </c>
      <c r="C1231" s="22">
        <f>YEAR(Table1_1[[#This Row],[Order Date]])</f>
        <v>2025</v>
      </c>
      <c r="D1231" s="22" t="str">
        <f>TEXT(Table1_1[[#This Row],[Order Date]],"MMMM")</f>
        <v>August</v>
      </c>
      <c r="E1231" s="22" t="s">
        <v>16</v>
      </c>
      <c r="F1231" s="22" t="s">
        <v>126</v>
      </c>
      <c r="G1231" s="22" t="s">
        <v>69</v>
      </c>
      <c r="H1231" s="22" t="s">
        <v>39</v>
      </c>
      <c r="I1231" s="22" t="s">
        <v>40</v>
      </c>
      <c r="J1231" s="22" t="s">
        <v>76</v>
      </c>
      <c r="K1231" s="22" t="s">
        <v>113</v>
      </c>
      <c r="L1231" s="22" t="s">
        <v>57</v>
      </c>
      <c r="M1231" s="22" t="s">
        <v>24</v>
      </c>
      <c r="N1231" s="22">
        <v>2</v>
      </c>
      <c r="O1231" s="26">
        <v>22999</v>
      </c>
      <c r="P1231" s="22">
        <v>0.1</v>
      </c>
      <c r="Q1231" s="30">
        <v>15100</v>
      </c>
      <c r="R1231" s="33">
        <f>Table1_1[[#This Row],[Units Sold]]*Table1_1[[#This Row],[Unit Price]]*1-Table1_1[[#This Row],[Discount]]</f>
        <v>45997.9</v>
      </c>
      <c r="S1231" s="33">
        <f>Table1_1[[#This Row],[Units Sold]]*Table1_1[[#This Row],[Unit Cost]]</f>
        <v>30200</v>
      </c>
      <c r="T1231" s="33">
        <f>Table1_1[[#This Row],[Sales Amount]]-S1231</f>
        <v>15797.900000000001</v>
      </c>
      <c r="U1231" s="32">
        <f>IFERROR(Table1_1[[#This Row],[Profit/loss]]/Table1_1[[#This Row],[Sales Amount]],0)</f>
        <v>0.34344828785661957</v>
      </c>
    </row>
    <row r="1232" spans="1:21" ht="18" x14ac:dyDescent="0.35">
      <c r="A1232" s="21" t="s">
        <v>1339</v>
      </c>
      <c r="B1232" s="36">
        <v>45893</v>
      </c>
      <c r="C1232" s="22">
        <f>YEAR(Table1_1[[#This Row],[Order Date]])</f>
        <v>2025</v>
      </c>
      <c r="D1232" s="22" t="str">
        <f>TEXT(Table1_1[[#This Row],[Order Date]],"MMMM")</f>
        <v>August</v>
      </c>
      <c r="E1232" s="22" t="s">
        <v>26</v>
      </c>
      <c r="F1232" s="22" t="s">
        <v>53</v>
      </c>
      <c r="G1232" s="22" t="s">
        <v>28</v>
      </c>
      <c r="H1232" s="22" t="s">
        <v>29</v>
      </c>
      <c r="I1232" s="22" t="s">
        <v>20</v>
      </c>
      <c r="J1232" s="22" t="s">
        <v>45</v>
      </c>
      <c r="K1232" s="22" t="s">
        <v>1618</v>
      </c>
      <c r="L1232" s="22" t="s">
        <v>57</v>
      </c>
      <c r="M1232" s="22" t="s">
        <v>24</v>
      </c>
      <c r="N1232" s="22">
        <v>32</v>
      </c>
      <c r="O1232" s="26">
        <v>1899</v>
      </c>
      <c r="P1232" s="22">
        <v>0.08</v>
      </c>
      <c r="Q1232" s="30">
        <v>1080</v>
      </c>
      <c r="R1232" s="33">
        <f>Table1_1[[#This Row],[Units Sold]]*Table1_1[[#This Row],[Unit Price]]*1-Table1_1[[#This Row],[Discount]]</f>
        <v>60767.92</v>
      </c>
      <c r="S1232" s="33">
        <f>Table1_1[[#This Row],[Units Sold]]*Table1_1[[#This Row],[Unit Cost]]</f>
        <v>34560</v>
      </c>
      <c r="T1232" s="33">
        <f>Table1_1[[#This Row],[Sales Amount]]-S1232</f>
        <v>26207.919999999998</v>
      </c>
      <c r="U1232" s="32">
        <f>IFERROR(Table1_1[[#This Row],[Profit/loss]]/Table1_1[[#This Row],[Sales Amount]],0)</f>
        <v>0.43127887214174848</v>
      </c>
    </row>
    <row r="1233" spans="1:21" ht="18" x14ac:dyDescent="0.35">
      <c r="A1233" s="21" t="s">
        <v>1340</v>
      </c>
      <c r="B1233" s="36">
        <v>45894</v>
      </c>
      <c r="C1233" s="22">
        <f>YEAR(Table1_1[[#This Row],[Order Date]])</f>
        <v>2025</v>
      </c>
      <c r="D1233" s="22" t="str">
        <f>TEXT(Table1_1[[#This Row],[Order Date]],"MMMM")</f>
        <v>August</v>
      </c>
      <c r="E1233" s="22" t="s">
        <v>48</v>
      </c>
      <c r="F1233" s="22" t="s">
        <v>136</v>
      </c>
      <c r="G1233" s="22" t="s">
        <v>28</v>
      </c>
      <c r="H1233" s="22" t="s">
        <v>29</v>
      </c>
      <c r="I1233" s="22" t="s">
        <v>20</v>
      </c>
      <c r="J1233" s="22" t="s">
        <v>21</v>
      </c>
      <c r="K1233" s="22" t="s">
        <v>22</v>
      </c>
      <c r="L1233" s="22" t="s">
        <v>57</v>
      </c>
      <c r="M1233" s="22" t="s">
        <v>78</v>
      </c>
      <c r="N1233" s="22">
        <v>32</v>
      </c>
      <c r="O1233" s="26">
        <v>4499</v>
      </c>
      <c r="P1233" s="22">
        <v>0.12</v>
      </c>
      <c r="Q1233" s="30">
        <v>2910</v>
      </c>
      <c r="R1233" s="33">
        <f>Table1_1[[#This Row],[Units Sold]]*Table1_1[[#This Row],[Unit Price]]*1-Table1_1[[#This Row],[Discount]]</f>
        <v>143967.88</v>
      </c>
      <c r="S1233" s="33">
        <f>Table1_1[[#This Row],[Units Sold]]*Table1_1[[#This Row],[Unit Cost]]</f>
        <v>93120</v>
      </c>
      <c r="T1233" s="33">
        <f>Table1_1[[#This Row],[Sales Amount]]-S1233</f>
        <v>50847.880000000005</v>
      </c>
      <c r="U1233" s="32">
        <f>IFERROR(Table1_1[[#This Row],[Profit/loss]]/Table1_1[[#This Row],[Sales Amount]],0)</f>
        <v>0.35318905855945093</v>
      </c>
    </row>
    <row r="1234" spans="1:21" ht="18" x14ac:dyDescent="0.35">
      <c r="A1234" s="21" t="s">
        <v>1341</v>
      </c>
      <c r="B1234" s="36">
        <v>45894</v>
      </c>
      <c r="C1234" s="22">
        <f>YEAR(Table1_1[[#This Row],[Order Date]])</f>
        <v>2025</v>
      </c>
      <c r="D1234" s="22" t="str">
        <f>TEXT(Table1_1[[#This Row],[Order Date]],"MMMM")</f>
        <v>August</v>
      </c>
      <c r="E1234" s="22" t="s">
        <v>36</v>
      </c>
      <c r="F1234" s="22" t="s">
        <v>59</v>
      </c>
      <c r="G1234" s="22" t="s">
        <v>50</v>
      </c>
      <c r="H1234" s="22" t="s">
        <v>19</v>
      </c>
      <c r="I1234" s="22" t="s">
        <v>54</v>
      </c>
      <c r="J1234" s="22" t="s">
        <v>129</v>
      </c>
      <c r="K1234" s="22" t="s">
        <v>1630</v>
      </c>
      <c r="L1234" s="22" t="s">
        <v>57</v>
      </c>
      <c r="M1234" s="22" t="s">
        <v>24</v>
      </c>
      <c r="N1234" s="22">
        <v>37</v>
      </c>
      <c r="O1234" s="26">
        <v>29010</v>
      </c>
      <c r="P1234" s="22">
        <v>0.05</v>
      </c>
      <c r="Q1234" s="30">
        <v>19100</v>
      </c>
      <c r="R1234" s="33">
        <f>Table1_1[[#This Row],[Units Sold]]*Table1_1[[#This Row],[Unit Price]]*1-Table1_1[[#This Row],[Discount]]</f>
        <v>1073369.95</v>
      </c>
      <c r="S1234" s="33">
        <f>Table1_1[[#This Row],[Units Sold]]*Table1_1[[#This Row],[Unit Cost]]</f>
        <v>706700</v>
      </c>
      <c r="T1234" s="33">
        <f>Table1_1[[#This Row],[Sales Amount]]-S1234</f>
        <v>366669.94999999995</v>
      </c>
      <c r="U1234" s="32">
        <f>IFERROR(Table1_1[[#This Row],[Profit/loss]]/Table1_1[[#This Row],[Sales Amount]],0)</f>
        <v>0.34160631197100305</v>
      </c>
    </row>
    <row r="1235" spans="1:21" ht="18" x14ac:dyDescent="0.35">
      <c r="A1235" s="21" t="s">
        <v>1342</v>
      </c>
      <c r="B1235" s="36">
        <v>45895</v>
      </c>
      <c r="C1235" s="22">
        <f>YEAR(Table1_1[[#This Row],[Order Date]])</f>
        <v>2025</v>
      </c>
      <c r="D1235" s="22" t="str">
        <f>TEXT(Table1_1[[#This Row],[Order Date]],"MMMM")</f>
        <v>August</v>
      </c>
      <c r="E1235" s="22" t="s">
        <v>26</v>
      </c>
      <c r="F1235" s="22" t="s">
        <v>53</v>
      </c>
      <c r="G1235" s="22" t="s">
        <v>69</v>
      </c>
      <c r="H1235" s="22" t="s">
        <v>29</v>
      </c>
      <c r="I1235" s="22" t="s">
        <v>40</v>
      </c>
      <c r="J1235" s="22" t="s">
        <v>76</v>
      </c>
      <c r="K1235" s="22" t="s">
        <v>1626</v>
      </c>
      <c r="L1235" s="22" t="s">
        <v>23</v>
      </c>
      <c r="M1235" s="22" t="s">
        <v>24</v>
      </c>
      <c r="N1235" s="22">
        <v>21</v>
      </c>
      <c r="O1235" s="26">
        <v>25999</v>
      </c>
      <c r="P1235" s="22">
        <v>0.18</v>
      </c>
      <c r="Q1235" s="30">
        <v>17800</v>
      </c>
      <c r="R1235" s="33">
        <f>Table1_1[[#This Row],[Units Sold]]*Table1_1[[#This Row],[Unit Price]]*1-Table1_1[[#This Row],[Discount]]</f>
        <v>545978.81999999995</v>
      </c>
      <c r="S1235" s="33">
        <f>Table1_1[[#This Row],[Units Sold]]*Table1_1[[#This Row],[Unit Cost]]</f>
        <v>373800</v>
      </c>
      <c r="T1235" s="33">
        <f>Table1_1[[#This Row],[Sales Amount]]-S1235</f>
        <v>172178.81999999995</v>
      </c>
      <c r="U1235" s="32">
        <f>IFERROR(Table1_1[[#This Row],[Profit/loss]]/Table1_1[[#This Row],[Sales Amount]],0)</f>
        <v>0.31535805729606869</v>
      </c>
    </row>
    <row r="1236" spans="1:21" ht="18" x14ac:dyDescent="0.35">
      <c r="A1236" s="21" t="s">
        <v>1343</v>
      </c>
      <c r="B1236" s="36">
        <v>45895</v>
      </c>
      <c r="C1236" s="22">
        <f>YEAR(Table1_1[[#This Row],[Order Date]])</f>
        <v>2025</v>
      </c>
      <c r="D1236" s="22" t="str">
        <f>TEXT(Table1_1[[#This Row],[Order Date]],"MMMM")</f>
        <v>August</v>
      </c>
      <c r="E1236" s="22" t="s">
        <v>26</v>
      </c>
      <c r="F1236" s="22" t="s">
        <v>74</v>
      </c>
      <c r="G1236" s="22" t="s">
        <v>101</v>
      </c>
      <c r="H1236" s="22" t="s">
        <v>39</v>
      </c>
      <c r="I1236" s="22" t="s">
        <v>70</v>
      </c>
      <c r="J1236" s="22" t="s">
        <v>71</v>
      </c>
      <c r="K1236" s="22" t="s">
        <v>88</v>
      </c>
      <c r="L1236" s="22" t="s">
        <v>23</v>
      </c>
      <c r="M1236" s="22" t="s">
        <v>34</v>
      </c>
      <c r="N1236" s="22">
        <v>6</v>
      </c>
      <c r="O1236" s="26">
        <v>999</v>
      </c>
      <c r="P1236" s="22">
        <v>0.2</v>
      </c>
      <c r="Q1236" s="30">
        <v>540</v>
      </c>
      <c r="R1236" s="33">
        <f>Table1_1[[#This Row],[Units Sold]]*Table1_1[[#This Row],[Unit Price]]*1-Table1_1[[#This Row],[Discount]]</f>
        <v>5993.8</v>
      </c>
      <c r="S1236" s="33">
        <f>Table1_1[[#This Row],[Units Sold]]*Table1_1[[#This Row],[Unit Cost]]</f>
        <v>3240</v>
      </c>
      <c r="T1236" s="33">
        <f>Table1_1[[#This Row],[Sales Amount]]-S1236</f>
        <v>2753.8</v>
      </c>
      <c r="U1236" s="32">
        <f>IFERROR(Table1_1[[#This Row],[Profit/loss]]/Table1_1[[#This Row],[Sales Amount]],0)</f>
        <v>0.4594414228035637</v>
      </c>
    </row>
    <row r="1237" spans="1:21" ht="18" x14ac:dyDescent="0.35">
      <c r="A1237" s="21" t="s">
        <v>1344</v>
      </c>
      <c r="B1237" s="36">
        <v>45895</v>
      </c>
      <c r="C1237" s="22">
        <f>YEAR(Table1_1[[#This Row],[Order Date]])</f>
        <v>2025</v>
      </c>
      <c r="D1237" s="22" t="str">
        <f>TEXT(Table1_1[[#This Row],[Order Date]],"MMMM")</f>
        <v>August</v>
      </c>
      <c r="E1237" s="22" t="s">
        <v>26</v>
      </c>
      <c r="F1237" s="22" t="s">
        <v>53</v>
      </c>
      <c r="G1237" s="22" t="s">
        <v>18</v>
      </c>
      <c r="H1237" s="22" t="s">
        <v>19</v>
      </c>
      <c r="I1237" s="22" t="s">
        <v>70</v>
      </c>
      <c r="J1237" s="22" t="s">
        <v>71</v>
      </c>
      <c r="K1237" s="22" t="s">
        <v>80</v>
      </c>
      <c r="L1237" s="22" t="s">
        <v>33</v>
      </c>
      <c r="M1237" s="22" t="s">
        <v>34</v>
      </c>
      <c r="N1237" s="22">
        <v>8</v>
      </c>
      <c r="O1237" s="26">
        <v>1299</v>
      </c>
      <c r="P1237" s="22">
        <v>0.1</v>
      </c>
      <c r="Q1237" s="30">
        <v>720</v>
      </c>
      <c r="R1237" s="33">
        <f>Table1_1[[#This Row],[Units Sold]]*Table1_1[[#This Row],[Unit Price]]*1-Table1_1[[#This Row],[Discount]]</f>
        <v>10391.9</v>
      </c>
      <c r="S1237" s="33">
        <f>Table1_1[[#This Row],[Units Sold]]*Table1_1[[#This Row],[Unit Cost]]</f>
        <v>5760</v>
      </c>
      <c r="T1237" s="33">
        <f>Table1_1[[#This Row],[Sales Amount]]-S1237</f>
        <v>4631.8999999999996</v>
      </c>
      <c r="U1237" s="32">
        <f>IFERROR(Table1_1[[#This Row],[Profit/loss]]/Table1_1[[#This Row],[Sales Amount]],0)</f>
        <v>0.44572214898141821</v>
      </c>
    </row>
    <row r="1238" spans="1:21" ht="18" x14ac:dyDescent="0.35">
      <c r="A1238" s="21" t="s">
        <v>1345</v>
      </c>
      <c r="B1238" s="36">
        <v>45895</v>
      </c>
      <c r="C1238" s="22">
        <f>YEAR(Table1_1[[#This Row],[Order Date]])</f>
        <v>2025</v>
      </c>
      <c r="D1238" s="22" t="str">
        <f>TEXT(Table1_1[[#This Row],[Order Date]],"MMMM")</f>
        <v>August</v>
      </c>
      <c r="E1238" s="22" t="s">
        <v>82</v>
      </c>
      <c r="F1238" s="22" t="s">
        <v>100</v>
      </c>
      <c r="G1238" s="22" t="s">
        <v>84</v>
      </c>
      <c r="H1238" s="22" t="s">
        <v>29</v>
      </c>
      <c r="I1238" s="22" t="s">
        <v>30</v>
      </c>
      <c r="J1238" s="22" t="s">
        <v>61</v>
      </c>
      <c r="K1238" s="22" t="s">
        <v>96</v>
      </c>
      <c r="L1238" s="22" t="s">
        <v>57</v>
      </c>
      <c r="M1238" s="22" t="s">
        <v>24</v>
      </c>
      <c r="N1238" s="22">
        <v>8</v>
      </c>
      <c r="O1238" s="26">
        <v>25110</v>
      </c>
      <c r="P1238" s="22">
        <v>0.12</v>
      </c>
      <c r="Q1238" s="30">
        <v>16730</v>
      </c>
      <c r="R1238" s="33">
        <f>Table1_1[[#This Row],[Units Sold]]*Table1_1[[#This Row],[Unit Price]]*1-Table1_1[[#This Row],[Discount]]</f>
        <v>200879.88</v>
      </c>
      <c r="S1238" s="33">
        <f>Table1_1[[#This Row],[Units Sold]]*Table1_1[[#This Row],[Unit Cost]]</f>
        <v>133840</v>
      </c>
      <c r="T1238" s="33">
        <f>Table1_1[[#This Row],[Sales Amount]]-S1238</f>
        <v>67039.88</v>
      </c>
      <c r="U1238" s="32">
        <f>IFERROR(Table1_1[[#This Row],[Profit/loss]]/Table1_1[[#This Row],[Sales Amount]],0)</f>
        <v>0.33373118303336302</v>
      </c>
    </row>
    <row r="1239" spans="1:21" ht="18" x14ac:dyDescent="0.35">
      <c r="A1239" s="21" t="s">
        <v>1346</v>
      </c>
      <c r="B1239" s="36">
        <v>45895</v>
      </c>
      <c r="C1239" s="22">
        <f>YEAR(Table1_1[[#This Row],[Order Date]])</f>
        <v>2025</v>
      </c>
      <c r="D1239" s="22" t="str">
        <f>TEXT(Table1_1[[#This Row],[Order Date]],"MMMM")</f>
        <v>August</v>
      </c>
      <c r="E1239" s="22" t="s">
        <v>82</v>
      </c>
      <c r="F1239" s="22" t="s">
        <v>100</v>
      </c>
      <c r="G1239" s="22" t="s">
        <v>18</v>
      </c>
      <c r="H1239" s="22" t="s">
        <v>39</v>
      </c>
      <c r="I1239" s="22" t="s">
        <v>54</v>
      </c>
      <c r="J1239" s="22" t="s">
        <v>129</v>
      </c>
      <c r="K1239" s="22" t="s">
        <v>1630</v>
      </c>
      <c r="L1239" s="22" t="s">
        <v>23</v>
      </c>
      <c r="M1239" s="22" t="s">
        <v>66</v>
      </c>
      <c r="N1239" s="22">
        <v>40</v>
      </c>
      <c r="O1239" s="26">
        <v>29010</v>
      </c>
      <c r="P1239" s="22">
        <v>0.1</v>
      </c>
      <c r="Q1239" s="30">
        <v>19100</v>
      </c>
      <c r="R1239" s="33">
        <f>Table1_1[[#This Row],[Units Sold]]*Table1_1[[#This Row],[Unit Price]]*1-Table1_1[[#This Row],[Discount]]</f>
        <v>1160399.8999999999</v>
      </c>
      <c r="S1239" s="33">
        <f>Table1_1[[#This Row],[Units Sold]]*Table1_1[[#This Row],[Unit Cost]]</f>
        <v>764000</v>
      </c>
      <c r="T1239" s="33">
        <f>Table1_1[[#This Row],[Sales Amount]]-S1239</f>
        <v>396399.89999999991</v>
      </c>
      <c r="U1239" s="32">
        <f>IFERROR(Table1_1[[#This Row],[Profit/loss]]/Table1_1[[#This Row],[Sales Amount]],0)</f>
        <v>0.34160628590195496</v>
      </c>
    </row>
    <row r="1240" spans="1:21" ht="18" x14ac:dyDescent="0.35">
      <c r="A1240" s="21" t="s">
        <v>1347</v>
      </c>
      <c r="B1240" s="36">
        <v>45896</v>
      </c>
      <c r="C1240" s="22">
        <f>YEAR(Table1_1[[#This Row],[Order Date]])</f>
        <v>2025</v>
      </c>
      <c r="D1240" s="22" t="str">
        <f>TEXT(Table1_1[[#This Row],[Order Date]],"MMMM")</f>
        <v>August</v>
      </c>
      <c r="E1240" s="22" t="s">
        <v>16</v>
      </c>
      <c r="F1240" s="22" t="s">
        <v>98</v>
      </c>
      <c r="G1240" s="22" t="s">
        <v>60</v>
      </c>
      <c r="H1240" s="22" t="s">
        <v>29</v>
      </c>
      <c r="I1240" s="22" t="s">
        <v>30</v>
      </c>
      <c r="J1240" s="22" t="s">
        <v>31</v>
      </c>
      <c r="K1240" s="22" t="s">
        <v>106</v>
      </c>
      <c r="L1240" s="22" t="s">
        <v>57</v>
      </c>
      <c r="M1240" s="22" t="s">
        <v>24</v>
      </c>
      <c r="N1240" s="22">
        <v>38</v>
      </c>
      <c r="O1240" s="26">
        <v>52990</v>
      </c>
      <c r="P1240" s="22">
        <v>0.05</v>
      </c>
      <c r="Q1240" s="30">
        <v>35100</v>
      </c>
      <c r="R1240" s="33">
        <f>Table1_1[[#This Row],[Units Sold]]*Table1_1[[#This Row],[Unit Price]]*1-Table1_1[[#This Row],[Discount]]</f>
        <v>2013619.95</v>
      </c>
      <c r="S1240" s="33">
        <f>Table1_1[[#This Row],[Units Sold]]*Table1_1[[#This Row],[Unit Cost]]</f>
        <v>1333800</v>
      </c>
      <c r="T1240" s="33">
        <f>Table1_1[[#This Row],[Sales Amount]]-S1240</f>
        <v>679819.95</v>
      </c>
      <c r="U1240" s="32">
        <f>IFERROR(Table1_1[[#This Row],[Profit/loss]]/Table1_1[[#This Row],[Sales Amount]],0)</f>
        <v>0.33761085352774739</v>
      </c>
    </row>
    <row r="1241" spans="1:21" ht="18" x14ac:dyDescent="0.35">
      <c r="A1241" s="21" t="s">
        <v>1348</v>
      </c>
      <c r="B1241" s="36">
        <v>45897</v>
      </c>
      <c r="C1241" s="22">
        <f>YEAR(Table1_1[[#This Row],[Order Date]])</f>
        <v>2025</v>
      </c>
      <c r="D1241" s="22" t="str">
        <f>TEXT(Table1_1[[#This Row],[Order Date]],"MMMM")</f>
        <v>August</v>
      </c>
      <c r="E1241" s="22" t="s">
        <v>16</v>
      </c>
      <c r="F1241" s="22" t="s">
        <v>17</v>
      </c>
      <c r="G1241" s="22" t="s">
        <v>105</v>
      </c>
      <c r="H1241" s="22" t="s">
        <v>39</v>
      </c>
      <c r="I1241" s="22" t="s">
        <v>70</v>
      </c>
      <c r="J1241" s="22" t="s">
        <v>71</v>
      </c>
      <c r="K1241" s="22" t="s">
        <v>80</v>
      </c>
      <c r="L1241" s="22" t="s">
        <v>23</v>
      </c>
      <c r="M1241" s="22" t="s">
        <v>24</v>
      </c>
      <c r="N1241" s="22">
        <v>17</v>
      </c>
      <c r="O1241" s="26">
        <v>1299</v>
      </c>
      <c r="P1241" s="22">
        <v>0.08</v>
      </c>
      <c r="Q1241" s="30">
        <v>720</v>
      </c>
      <c r="R1241" s="33">
        <f>Table1_1[[#This Row],[Units Sold]]*Table1_1[[#This Row],[Unit Price]]*1-Table1_1[[#This Row],[Discount]]</f>
        <v>22082.92</v>
      </c>
      <c r="S1241" s="33">
        <f>Table1_1[[#This Row],[Units Sold]]*Table1_1[[#This Row],[Unit Cost]]</f>
        <v>12240</v>
      </c>
      <c r="T1241" s="33">
        <f>Table1_1[[#This Row],[Sales Amount]]-S1241</f>
        <v>9842.9199999999983</v>
      </c>
      <c r="U1241" s="32">
        <f>IFERROR(Table1_1[[#This Row],[Profit/loss]]/Table1_1[[#This Row],[Sales Amount]],0)</f>
        <v>0.4457254747107719</v>
      </c>
    </row>
    <row r="1242" spans="1:21" ht="18" x14ac:dyDescent="0.35">
      <c r="A1242" s="21" t="s">
        <v>1349</v>
      </c>
      <c r="B1242" s="36">
        <v>45897</v>
      </c>
      <c r="C1242" s="22">
        <f>YEAR(Table1_1[[#This Row],[Order Date]])</f>
        <v>2025</v>
      </c>
      <c r="D1242" s="22" t="str">
        <f>TEXT(Table1_1[[#This Row],[Order Date]],"MMMM")</f>
        <v>August</v>
      </c>
      <c r="E1242" s="22" t="s">
        <v>48</v>
      </c>
      <c r="F1242" s="22" t="s">
        <v>49</v>
      </c>
      <c r="G1242" s="22" t="s">
        <v>50</v>
      </c>
      <c r="H1242" s="22" t="s">
        <v>29</v>
      </c>
      <c r="I1242" s="22" t="s">
        <v>70</v>
      </c>
      <c r="J1242" s="22" t="s">
        <v>71</v>
      </c>
      <c r="K1242" s="22" t="s">
        <v>88</v>
      </c>
      <c r="L1242" s="22" t="s">
        <v>33</v>
      </c>
      <c r="M1242" s="22" t="s">
        <v>78</v>
      </c>
      <c r="N1242" s="22">
        <v>6</v>
      </c>
      <c r="O1242" s="26">
        <v>999</v>
      </c>
      <c r="P1242" s="22">
        <v>0.15</v>
      </c>
      <c r="Q1242" s="30">
        <v>540</v>
      </c>
      <c r="R1242" s="33">
        <f>Table1_1[[#This Row],[Units Sold]]*Table1_1[[#This Row],[Unit Price]]*1-Table1_1[[#This Row],[Discount]]</f>
        <v>5993.85</v>
      </c>
      <c r="S1242" s="33">
        <f>Table1_1[[#This Row],[Units Sold]]*Table1_1[[#This Row],[Unit Cost]]</f>
        <v>3240</v>
      </c>
      <c r="T1242" s="33">
        <f>Table1_1[[#This Row],[Sales Amount]]-S1242</f>
        <v>2753.8500000000004</v>
      </c>
      <c r="U1242" s="32">
        <f>IFERROR(Table1_1[[#This Row],[Profit/loss]]/Table1_1[[#This Row],[Sales Amount]],0)</f>
        <v>0.45944593208038242</v>
      </c>
    </row>
    <row r="1243" spans="1:21" ht="18" x14ac:dyDescent="0.35">
      <c r="A1243" s="21" t="s">
        <v>1350</v>
      </c>
      <c r="B1243" s="36">
        <v>45898</v>
      </c>
      <c r="C1243" s="22">
        <f>YEAR(Table1_1[[#This Row],[Order Date]])</f>
        <v>2025</v>
      </c>
      <c r="D1243" s="22" t="str">
        <f>TEXT(Table1_1[[#This Row],[Order Date]],"MMMM")</f>
        <v>August</v>
      </c>
      <c r="E1243" s="22" t="s">
        <v>26</v>
      </c>
      <c r="F1243" s="22" t="s">
        <v>53</v>
      </c>
      <c r="G1243" s="22" t="s">
        <v>60</v>
      </c>
      <c r="H1243" s="22" t="s">
        <v>19</v>
      </c>
      <c r="I1243" s="22" t="s">
        <v>40</v>
      </c>
      <c r="J1243" s="22" t="s">
        <v>41</v>
      </c>
      <c r="K1243" s="22" t="s">
        <v>1628</v>
      </c>
      <c r="L1243" s="22" t="s">
        <v>57</v>
      </c>
      <c r="M1243" s="22" t="s">
        <v>24</v>
      </c>
      <c r="N1243" s="22">
        <v>36</v>
      </c>
      <c r="O1243" s="26">
        <v>48500</v>
      </c>
      <c r="P1243" s="22">
        <v>0.18</v>
      </c>
      <c r="Q1243" s="30">
        <v>30200</v>
      </c>
      <c r="R1243" s="33">
        <f>Table1_1[[#This Row],[Units Sold]]*Table1_1[[#This Row],[Unit Price]]*1-Table1_1[[#This Row],[Discount]]</f>
        <v>1745999.82</v>
      </c>
      <c r="S1243" s="33">
        <f>Table1_1[[#This Row],[Units Sold]]*Table1_1[[#This Row],[Unit Cost]]</f>
        <v>1087200</v>
      </c>
      <c r="T1243" s="33">
        <f>Table1_1[[#This Row],[Sales Amount]]-S1243</f>
        <v>658799.82000000007</v>
      </c>
      <c r="U1243" s="32">
        <f>IFERROR(Table1_1[[#This Row],[Profit/loss]]/Table1_1[[#This Row],[Sales Amount]],0)</f>
        <v>0.37731952343500241</v>
      </c>
    </row>
    <row r="1244" spans="1:21" ht="18" x14ac:dyDescent="0.35">
      <c r="A1244" s="21" t="s">
        <v>1351</v>
      </c>
      <c r="B1244" s="36">
        <v>45900</v>
      </c>
      <c r="C1244" s="22">
        <f>YEAR(Table1_1[[#This Row],[Order Date]])</f>
        <v>2025</v>
      </c>
      <c r="D1244" s="22" t="str">
        <f>TEXT(Table1_1[[#This Row],[Order Date]],"MMMM")</f>
        <v>August</v>
      </c>
      <c r="E1244" s="22" t="s">
        <v>48</v>
      </c>
      <c r="F1244" s="22" t="s">
        <v>49</v>
      </c>
      <c r="G1244" s="22" t="s">
        <v>28</v>
      </c>
      <c r="H1244" s="22" t="s">
        <v>19</v>
      </c>
      <c r="I1244" s="22" t="s">
        <v>40</v>
      </c>
      <c r="J1244" s="22" t="s">
        <v>64</v>
      </c>
      <c r="K1244" s="22" t="s">
        <v>1627</v>
      </c>
      <c r="L1244" s="22" t="s">
        <v>57</v>
      </c>
      <c r="M1244" s="22" t="s">
        <v>24</v>
      </c>
      <c r="N1244" s="22">
        <v>16</v>
      </c>
      <c r="O1244" s="26">
        <v>4490</v>
      </c>
      <c r="P1244" s="22">
        <v>0.05</v>
      </c>
      <c r="Q1244" s="30">
        <v>2950</v>
      </c>
      <c r="R1244" s="33">
        <f>Table1_1[[#This Row],[Units Sold]]*Table1_1[[#This Row],[Unit Price]]*1-Table1_1[[#This Row],[Discount]]</f>
        <v>71839.95</v>
      </c>
      <c r="S1244" s="33">
        <f>Table1_1[[#This Row],[Units Sold]]*Table1_1[[#This Row],[Unit Cost]]</f>
        <v>47200</v>
      </c>
      <c r="T1244" s="33">
        <f>Table1_1[[#This Row],[Sales Amount]]-S1244</f>
        <v>24639.949999999997</v>
      </c>
      <c r="U1244" s="32">
        <f>IFERROR(Table1_1[[#This Row],[Profit/loss]]/Table1_1[[#This Row],[Sales Amount]],0)</f>
        <v>0.34298395252223862</v>
      </c>
    </row>
    <row r="1245" spans="1:21" ht="18" x14ac:dyDescent="0.35">
      <c r="A1245" s="21" t="s">
        <v>1352</v>
      </c>
      <c r="B1245" s="36">
        <v>45900</v>
      </c>
      <c r="C1245" s="22">
        <f>YEAR(Table1_1[[#This Row],[Order Date]])</f>
        <v>2025</v>
      </c>
      <c r="D1245" s="22" t="str">
        <f>TEXT(Table1_1[[#This Row],[Order Date]],"MMMM")</f>
        <v>August</v>
      </c>
      <c r="E1245" s="22" t="s">
        <v>36</v>
      </c>
      <c r="F1245" s="22" t="s">
        <v>121</v>
      </c>
      <c r="G1245" s="22" t="s">
        <v>18</v>
      </c>
      <c r="H1245" s="22" t="s">
        <v>39</v>
      </c>
      <c r="I1245" s="22" t="s">
        <v>20</v>
      </c>
      <c r="J1245" s="22" t="s">
        <v>21</v>
      </c>
      <c r="K1245" s="22" t="s">
        <v>115</v>
      </c>
      <c r="L1245" s="22" t="s">
        <v>23</v>
      </c>
      <c r="M1245" s="22" t="s">
        <v>78</v>
      </c>
      <c r="N1245" s="22">
        <v>22</v>
      </c>
      <c r="O1245" s="26">
        <v>6499</v>
      </c>
      <c r="P1245" s="22">
        <v>0.1</v>
      </c>
      <c r="Q1245" s="30">
        <v>4210</v>
      </c>
      <c r="R1245" s="33">
        <f>Table1_1[[#This Row],[Units Sold]]*Table1_1[[#This Row],[Unit Price]]*1-Table1_1[[#This Row],[Discount]]</f>
        <v>142977.9</v>
      </c>
      <c r="S1245" s="33">
        <f>Table1_1[[#This Row],[Units Sold]]*Table1_1[[#This Row],[Unit Cost]]</f>
        <v>92620</v>
      </c>
      <c r="T1245" s="33">
        <f>Table1_1[[#This Row],[Sales Amount]]-S1245</f>
        <v>50357.899999999994</v>
      </c>
      <c r="U1245" s="32">
        <f>IFERROR(Table1_1[[#This Row],[Profit/loss]]/Table1_1[[#This Row],[Sales Amount]],0)</f>
        <v>0.35220757893352744</v>
      </c>
    </row>
    <row r="1246" spans="1:21" ht="18" x14ac:dyDescent="0.35">
      <c r="A1246" s="21" t="s">
        <v>1353</v>
      </c>
      <c r="B1246" s="36">
        <v>45900</v>
      </c>
      <c r="C1246" s="22">
        <f>YEAR(Table1_1[[#This Row],[Order Date]])</f>
        <v>2025</v>
      </c>
      <c r="D1246" s="22" t="str">
        <f>TEXT(Table1_1[[#This Row],[Order Date]],"MMMM")</f>
        <v>August</v>
      </c>
      <c r="E1246" s="22" t="s">
        <v>16</v>
      </c>
      <c r="F1246" s="22" t="s">
        <v>111</v>
      </c>
      <c r="G1246" s="22" t="s">
        <v>28</v>
      </c>
      <c r="H1246" s="22" t="s">
        <v>19</v>
      </c>
      <c r="I1246" s="22" t="s">
        <v>54</v>
      </c>
      <c r="J1246" s="22" t="s">
        <v>90</v>
      </c>
      <c r="K1246" s="22" t="s">
        <v>1621</v>
      </c>
      <c r="L1246" s="22" t="s">
        <v>23</v>
      </c>
      <c r="M1246" s="22" t="s">
        <v>24</v>
      </c>
      <c r="N1246" s="22">
        <v>11</v>
      </c>
      <c r="O1246" s="26">
        <v>31990</v>
      </c>
      <c r="P1246" s="22">
        <v>0.15</v>
      </c>
      <c r="Q1246" s="30">
        <v>21800</v>
      </c>
      <c r="R1246" s="33">
        <f>Table1_1[[#This Row],[Units Sold]]*Table1_1[[#This Row],[Unit Price]]*1-Table1_1[[#This Row],[Discount]]</f>
        <v>351889.85</v>
      </c>
      <c r="S1246" s="33">
        <f>Table1_1[[#This Row],[Units Sold]]*Table1_1[[#This Row],[Unit Cost]]</f>
        <v>239800</v>
      </c>
      <c r="T1246" s="33">
        <f>Table1_1[[#This Row],[Sales Amount]]-S1246</f>
        <v>112089.84999999998</v>
      </c>
      <c r="U1246" s="32">
        <f>IFERROR(Table1_1[[#This Row],[Profit/loss]]/Table1_1[[#This Row],[Sales Amount]],0)</f>
        <v>0.31853675233883555</v>
      </c>
    </row>
    <row r="1247" spans="1:21" ht="18" x14ac:dyDescent="0.35">
      <c r="A1247" s="21" t="s">
        <v>1354</v>
      </c>
      <c r="B1247" s="36">
        <v>45900</v>
      </c>
      <c r="C1247" s="22">
        <f>YEAR(Table1_1[[#This Row],[Order Date]])</f>
        <v>2025</v>
      </c>
      <c r="D1247" s="22" t="str">
        <f>TEXT(Table1_1[[#This Row],[Order Date]],"MMMM")</f>
        <v>August</v>
      </c>
      <c r="E1247" s="22" t="s">
        <v>16</v>
      </c>
      <c r="F1247" s="22" t="s">
        <v>17</v>
      </c>
      <c r="G1247" s="22" t="s">
        <v>18</v>
      </c>
      <c r="H1247" s="22" t="s">
        <v>19</v>
      </c>
      <c r="I1247" s="22" t="s">
        <v>54</v>
      </c>
      <c r="J1247" s="22" t="s">
        <v>55</v>
      </c>
      <c r="K1247" s="22" t="s">
        <v>1623</v>
      </c>
      <c r="L1247" s="22" t="s">
        <v>23</v>
      </c>
      <c r="M1247" s="22" t="s">
        <v>24</v>
      </c>
      <c r="N1247" s="22">
        <v>21</v>
      </c>
      <c r="O1247" s="26">
        <v>5890</v>
      </c>
      <c r="P1247" s="22">
        <v>0.15</v>
      </c>
      <c r="Q1247" s="30">
        <v>3980</v>
      </c>
      <c r="R1247" s="33">
        <f>Table1_1[[#This Row],[Units Sold]]*Table1_1[[#This Row],[Unit Price]]*1-Table1_1[[#This Row],[Discount]]</f>
        <v>123689.85</v>
      </c>
      <c r="S1247" s="33">
        <f>Table1_1[[#This Row],[Units Sold]]*Table1_1[[#This Row],[Unit Cost]]</f>
        <v>83580</v>
      </c>
      <c r="T1247" s="33">
        <f>Table1_1[[#This Row],[Sales Amount]]-S1247</f>
        <v>40109.850000000006</v>
      </c>
      <c r="U1247" s="32">
        <f>IFERROR(Table1_1[[#This Row],[Profit/loss]]/Table1_1[[#This Row],[Sales Amount]],0)</f>
        <v>0.32427761857581688</v>
      </c>
    </row>
    <row r="1248" spans="1:21" ht="18" x14ac:dyDescent="0.35">
      <c r="A1248" s="21" t="s">
        <v>1355</v>
      </c>
      <c r="B1248" s="36">
        <v>45901</v>
      </c>
      <c r="C1248" s="22">
        <f>YEAR(Table1_1[[#This Row],[Order Date]])</f>
        <v>2025</v>
      </c>
      <c r="D1248" s="22" t="str">
        <f>TEXT(Table1_1[[#This Row],[Order Date]],"MMMM")</f>
        <v>September</v>
      </c>
      <c r="E1248" s="22" t="s">
        <v>48</v>
      </c>
      <c r="F1248" s="22" t="s">
        <v>93</v>
      </c>
      <c r="G1248" s="22" t="s">
        <v>18</v>
      </c>
      <c r="H1248" s="22" t="s">
        <v>29</v>
      </c>
      <c r="I1248" s="22" t="s">
        <v>40</v>
      </c>
      <c r="J1248" s="22" t="s">
        <v>64</v>
      </c>
      <c r="K1248" s="22" t="s">
        <v>1619</v>
      </c>
      <c r="L1248" s="22" t="s">
        <v>57</v>
      </c>
      <c r="M1248" s="22" t="s">
        <v>24</v>
      </c>
      <c r="N1248" s="22">
        <v>34</v>
      </c>
      <c r="O1248" s="26">
        <v>1930</v>
      </c>
      <c r="P1248" s="22">
        <v>0.08</v>
      </c>
      <c r="Q1248" s="30">
        <v>1120</v>
      </c>
      <c r="R1248" s="33">
        <f>Table1_1[[#This Row],[Units Sold]]*Table1_1[[#This Row],[Unit Price]]*1-Table1_1[[#This Row],[Discount]]</f>
        <v>65619.92</v>
      </c>
      <c r="S1248" s="33">
        <f>Table1_1[[#This Row],[Units Sold]]*Table1_1[[#This Row],[Unit Cost]]</f>
        <v>38080</v>
      </c>
      <c r="T1248" s="33">
        <f>Table1_1[[#This Row],[Sales Amount]]-S1248</f>
        <v>27539.919999999998</v>
      </c>
      <c r="U1248" s="32">
        <f>IFERROR(Table1_1[[#This Row],[Profit/loss]]/Table1_1[[#This Row],[Sales Amount]],0)</f>
        <v>0.41968841168962107</v>
      </c>
    </row>
    <row r="1249" spans="1:21" ht="18" x14ac:dyDescent="0.35">
      <c r="A1249" s="21" t="s">
        <v>1356</v>
      </c>
      <c r="B1249" s="36">
        <v>45901</v>
      </c>
      <c r="C1249" s="22">
        <f>YEAR(Table1_1[[#This Row],[Order Date]])</f>
        <v>2025</v>
      </c>
      <c r="D1249" s="22" t="str">
        <f>TEXT(Table1_1[[#This Row],[Order Date]],"MMMM")</f>
        <v>September</v>
      </c>
      <c r="E1249" s="22" t="s">
        <v>48</v>
      </c>
      <c r="F1249" s="22" t="s">
        <v>93</v>
      </c>
      <c r="G1249" s="22" t="s">
        <v>105</v>
      </c>
      <c r="H1249" s="22" t="s">
        <v>19</v>
      </c>
      <c r="I1249" s="22" t="s">
        <v>54</v>
      </c>
      <c r="J1249" s="22" t="s">
        <v>55</v>
      </c>
      <c r="K1249" s="22" t="s">
        <v>56</v>
      </c>
      <c r="L1249" s="22" t="s">
        <v>23</v>
      </c>
      <c r="M1249" s="22" t="s">
        <v>24</v>
      </c>
      <c r="N1249" s="22">
        <v>21</v>
      </c>
      <c r="O1249" s="26">
        <v>7299</v>
      </c>
      <c r="P1249" s="22">
        <v>0.18</v>
      </c>
      <c r="Q1249" s="30">
        <v>5010</v>
      </c>
      <c r="R1249" s="33">
        <f>Table1_1[[#This Row],[Units Sold]]*Table1_1[[#This Row],[Unit Price]]*1-Table1_1[[#This Row],[Discount]]</f>
        <v>153278.82</v>
      </c>
      <c r="S1249" s="33">
        <f>Table1_1[[#This Row],[Units Sold]]*Table1_1[[#This Row],[Unit Cost]]</f>
        <v>105210</v>
      </c>
      <c r="T1249" s="33">
        <f>Table1_1[[#This Row],[Sales Amount]]-S1249</f>
        <v>48068.820000000007</v>
      </c>
      <c r="U1249" s="32">
        <f>IFERROR(Table1_1[[#This Row],[Profit/loss]]/Table1_1[[#This Row],[Sales Amount]],0)</f>
        <v>0.31360379731524557</v>
      </c>
    </row>
    <row r="1250" spans="1:21" ht="18" x14ac:dyDescent="0.35">
      <c r="A1250" s="21" t="s">
        <v>1357</v>
      </c>
      <c r="B1250" s="36">
        <v>45902</v>
      </c>
      <c r="C1250" s="22">
        <f>YEAR(Table1_1[[#This Row],[Order Date]])</f>
        <v>2025</v>
      </c>
      <c r="D1250" s="22" t="str">
        <f>TEXT(Table1_1[[#This Row],[Order Date]],"MMMM")</f>
        <v>September</v>
      </c>
      <c r="E1250" s="22" t="s">
        <v>36</v>
      </c>
      <c r="F1250" s="22" t="s">
        <v>37</v>
      </c>
      <c r="G1250" s="22" t="s">
        <v>75</v>
      </c>
      <c r="H1250" s="22" t="s">
        <v>29</v>
      </c>
      <c r="I1250" s="22" t="s">
        <v>30</v>
      </c>
      <c r="J1250" s="22" t="s">
        <v>31</v>
      </c>
      <c r="K1250" s="22" t="s">
        <v>32</v>
      </c>
      <c r="L1250" s="22" t="s">
        <v>23</v>
      </c>
      <c r="M1250" s="22" t="s">
        <v>34</v>
      </c>
      <c r="N1250" s="22">
        <v>28</v>
      </c>
      <c r="O1250" s="26">
        <v>38990</v>
      </c>
      <c r="P1250" s="22">
        <v>0.1</v>
      </c>
      <c r="Q1250" s="30">
        <v>25400</v>
      </c>
      <c r="R1250" s="33">
        <f>Table1_1[[#This Row],[Units Sold]]*Table1_1[[#This Row],[Unit Price]]*1-Table1_1[[#This Row],[Discount]]</f>
        <v>1091719.8999999999</v>
      </c>
      <c r="S1250" s="33">
        <f>Table1_1[[#This Row],[Units Sold]]*Table1_1[[#This Row],[Unit Cost]]</f>
        <v>711200</v>
      </c>
      <c r="T1250" s="33">
        <f>Table1_1[[#This Row],[Sales Amount]]-S1250</f>
        <v>380519.89999999991</v>
      </c>
      <c r="U1250" s="32">
        <f>IFERROR(Table1_1[[#This Row],[Profit/loss]]/Table1_1[[#This Row],[Sales Amount]],0)</f>
        <v>0.3485508508180532</v>
      </c>
    </row>
    <row r="1251" spans="1:21" ht="18" x14ac:dyDescent="0.35">
      <c r="A1251" s="21" t="s">
        <v>1358</v>
      </c>
      <c r="B1251" s="36">
        <v>45902</v>
      </c>
      <c r="C1251" s="22">
        <f>YEAR(Table1_1[[#This Row],[Order Date]])</f>
        <v>2025</v>
      </c>
      <c r="D1251" s="22" t="str">
        <f>TEXT(Table1_1[[#This Row],[Order Date]],"MMMM")</f>
        <v>September</v>
      </c>
      <c r="E1251" s="22" t="s">
        <v>82</v>
      </c>
      <c r="F1251" s="22" t="s">
        <v>183</v>
      </c>
      <c r="G1251" s="22" t="s">
        <v>50</v>
      </c>
      <c r="H1251" s="22" t="s">
        <v>29</v>
      </c>
      <c r="I1251" s="22" t="s">
        <v>54</v>
      </c>
      <c r="J1251" s="22" t="s">
        <v>90</v>
      </c>
      <c r="K1251" s="22" t="s">
        <v>1621</v>
      </c>
      <c r="L1251" s="22" t="s">
        <v>23</v>
      </c>
      <c r="M1251" s="22" t="s">
        <v>24</v>
      </c>
      <c r="N1251" s="22">
        <v>36</v>
      </c>
      <c r="O1251" s="26">
        <v>31990</v>
      </c>
      <c r="P1251" s="22">
        <v>0.1</v>
      </c>
      <c r="Q1251" s="30">
        <v>21800</v>
      </c>
      <c r="R1251" s="33">
        <f>Table1_1[[#This Row],[Units Sold]]*Table1_1[[#This Row],[Unit Price]]*1-Table1_1[[#This Row],[Discount]]</f>
        <v>1151639.8999999999</v>
      </c>
      <c r="S1251" s="33">
        <f>Table1_1[[#This Row],[Units Sold]]*Table1_1[[#This Row],[Unit Cost]]</f>
        <v>784800</v>
      </c>
      <c r="T1251" s="33">
        <f>Table1_1[[#This Row],[Sales Amount]]-S1251</f>
        <v>366839.89999999991</v>
      </c>
      <c r="U1251" s="32">
        <f>IFERROR(Table1_1[[#This Row],[Profit/loss]]/Table1_1[[#This Row],[Sales Amount]],0)</f>
        <v>0.31853698365261568</v>
      </c>
    </row>
    <row r="1252" spans="1:21" ht="18" x14ac:dyDescent="0.35">
      <c r="A1252" s="21" t="s">
        <v>1359</v>
      </c>
      <c r="B1252" s="36">
        <v>45903</v>
      </c>
      <c r="C1252" s="22">
        <f>YEAR(Table1_1[[#This Row],[Order Date]])</f>
        <v>2025</v>
      </c>
      <c r="D1252" s="22" t="str">
        <f>TEXT(Table1_1[[#This Row],[Order Date]],"MMMM")</f>
        <v>September</v>
      </c>
      <c r="E1252" s="22" t="s">
        <v>48</v>
      </c>
      <c r="F1252" s="22" t="s">
        <v>68</v>
      </c>
      <c r="G1252" s="22" t="s">
        <v>60</v>
      </c>
      <c r="H1252" s="22" t="s">
        <v>19</v>
      </c>
      <c r="I1252" s="22" t="s">
        <v>54</v>
      </c>
      <c r="J1252" s="22" t="s">
        <v>90</v>
      </c>
      <c r="K1252" s="22" t="s">
        <v>1625</v>
      </c>
      <c r="L1252" s="22" t="s">
        <v>33</v>
      </c>
      <c r="M1252" s="22" t="s">
        <v>66</v>
      </c>
      <c r="N1252" s="22">
        <v>31</v>
      </c>
      <c r="O1252" s="26">
        <v>32800</v>
      </c>
      <c r="P1252" s="22">
        <v>0.12</v>
      </c>
      <c r="Q1252" s="30">
        <v>23100</v>
      </c>
      <c r="R1252" s="33">
        <f>Table1_1[[#This Row],[Units Sold]]*Table1_1[[#This Row],[Unit Price]]*1-Table1_1[[#This Row],[Discount]]</f>
        <v>1016799.88</v>
      </c>
      <c r="S1252" s="33">
        <f>Table1_1[[#This Row],[Units Sold]]*Table1_1[[#This Row],[Unit Cost]]</f>
        <v>716100</v>
      </c>
      <c r="T1252" s="33">
        <f>Table1_1[[#This Row],[Sales Amount]]-S1252</f>
        <v>300699.88</v>
      </c>
      <c r="U1252" s="32">
        <f>IFERROR(Table1_1[[#This Row],[Profit/loss]]/Table1_1[[#This Row],[Sales Amount]],0)</f>
        <v>0.29573162420121452</v>
      </c>
    </row>
    <row r="1253" spans="1:21" ht="18" x14ac:dyDescent="0.35">
      <c r="A1253" s="21" t="s">
        <v>1360</v>
      </c>
      <c r="B1253" s="36">
        <v>45904</v>
      </c>
      <c r="C1253" s="22">
        <f>YEAR(Table1_1[[#This Row],[Order Date]])</f>
        <v>2025</v>
      </c>
      <c r="D1253" s="22" t="str">
        <f>TEXT(Table1_1[[#This Row],[Order Date]],"MMMM")</f>
        <v>September</v>
      </c>
      <c r="E1253" s="22" t="s">
        <v>48</v>
      </c>
      <c r="F1253" s="22" t="s">
        <v>136</v>
      </c>
      <c r="G1253" s="22" t="s">
        <v>60</v>
      </c>
      <c r="H1253" s="22" t="s">
        <v>29</v>
      </c>
      <c r="I1253" s="22" t="s">
        <v>54</v>
      </c>
      <c r="J1253" s="22" t="s">
        <v>55</v>
      </c>
      <c r="K1253" s="22" t="s">
        <v>148</v>
      </c>
      <c r="L1253" s="22" t="s">
        <v>23</v>
      </c>
      <c r="M1253" s="22" t="s">
        <v>24</v>
      </c>
      <c r="N1253" s="22">
        <v>2</v>
      </c>
      <c r="O1253" s="26">
        <v>4680</v>
      </c>
      <c r="P1253" s="22">
        <v>0.08</v>
      </c>
      <c r="Q1253" s="30">
        <v>3250</v>
      </c>
      <c r="R1253" s="33">
        <f>Table1_1[[#This Row],[Units Sold]]*Table1_1[[#This Row],[Unit Price]]*1-Table1_1[[#This Row],[Discount]]</f>
        <v>9359.92</v>
      </c>
      <c r="S1253" s="33">
        <f>Table1_1[[#This Row],[Units Sold]]*Table1_1[[#This Row],[Unit Cost]]</f>
        <v>6500</v>
      </c>
      <c r="T1253" s="33">
        <f>Table1_1[[#This Row],[Sales Amount]]-S1253</f>
        <v>2859.92</v>
      </c>
      <c r="U1253" s="32">
        <f>IFERROR(Table1_1[[#This Row],[Profit/loss]]/Table1_1[[#This Row],[Sales Amount]],0)</f>
        <v>0.30554962008222292</v>
      </c>
    </row>
    <row r="1254" spans="1:21" ht="18" x14ac:dyDescent="0.35">
      <c r="A1254" s="21" t="s">
        <v>1361</v>
      </c>
      <c r="B1254" s="36">
        <v>45904</v>
      </c>
      <c r="C1254" s="22">
        <f>YEAR(Table1_1[[#This Row],[Order Date]])</f>
        <v>2025</v>
      </c>
      <c r="D1254" s="22" t="str">
        <f>TEXT(Table1_1[[#This Row],[Order Date]],"MMMM")</f>
        <v>September</v>
      </c>
      <c r="E1254" s="22" t="s">
        <v>36</v>
      </c>
      <c r="F1254" s="22" t="s">
        <v>121</v>
      </c>
      <c r="G1254" s="22" t="s">
        <v>101</v>
      </c>
      <c r="H1254" s="22" t="s">
        <v>19</v>
      </c>
      <c r="I1254" s="22" t="s">
        <v>20</v>
      </c>
      <c r="J1254" s="22" t="s">
        <v>45</v>
      </c>
      <c r="K1254" s="22" t="s">
        <v>1622</v>
      </c>
      <c r="L1254" s="22" t="s">
        <v>57</v>
      </c>
      <c r="M1254" s="22" t="s">
        <v>34</v>
      </c>
      <c r="N1254" s="22">
        <v>36</v>
      </c>
      <c r="O1254" s="26">
        <v>1599</v>
      </c>
      <c r="P1254" s="22">
        <v>0.15</v>
      </c>
      <c r="Q1254" s="30">
        <v>920</v>
      </c>
      <c r="R1254" s="33">
        <f>Table1_1[[#This Row],[Units Sold]]*Table1_1[[#This Row],[Unit Price]]*1-Table1_1[[#This Row],[Discount]]</f>
        <v>57563.85</v>
      </c>
      <c r="S1254" s="33">
        <f>Table1_1[[#This Row],[Units Sold]]*Table1_1[[#This Row],[Unit Cost]]</f>
        <v>33120</v>
      </c>
      <c r="T1254" s="33">
        <f>Table1_1[[#This Row],[Sales Amount]]-S1254</f>
        <v>24443.85</v>
      </c>
      <c r="U1254" s="32">
        <f>IFERROR(Table1_1[[#This Row],[Profit/loss]]/Table1_1[[#This Row],[Sales Amount]],0)</f>
        <v>0.4246389009769152</v>
      </c>
    </row>
    <row r="1255" spans="1:21" ht="18" x14ac:dyDescent="0.35">
      <c r="A1255" s="21" t="s">
        <v>1362</v>
      </c>
      <c r="B1255" s="36">
        <v>45904</v>
      </c>
      <c r="C1255" s="22">
        <f>YEAR(Table1_1[[#This Row],[Order Date]])</f>
        <v>2025</v>
      </c>
      <c r="D1255" s="22" t="str">
        <f>TEXT(Table1_1[[#This Row],[Order Date]],"MMMM")</f>
        <v>September</v>
      </c>
      <c r="E1255" s="22" t="s">
        <v>48</v>
      </c>
      <c r="F1255" s="22" t="s">
        <v>49</v>
      </c>
      <c r="G1255" s="22" t="s">
        <v>75</v>
      </c>
      <c r="H1255" s="22" t="s">
        <v>29</v>
      </c>
      <c r="I1255" s="22" t="s">
        <v>70</v>
      </c>
      <c r="J1255" s="22" t="s">
        <v>71</v>
      </c>
      <c r="K1255" s="22" t="s">
        <v>88</v>
      </c>
      <c r="L1255" s="22" t="s">
        <v>23</v>
      </c>
      <c r="M1255" s="22" t="s">
        <v>66</v>
      </c>
      <c r="N1255" s="22">
        <v>2</v>
      </c>
      <c r="O1255" s="26">
        <v>999</v>
      </c>
      <c r="P1255" s="22">
        <v>0.15</v>
      </c>
      <c r="Q1255" s="30">
        <v>540</v>
      </c>
      <c r="R1255" s="33">
        <f>Table1_1[[#This Row],[Units Sold]]*Table1_1[[#This Row],[Unit Price]]*1-Table1_1[[#This Row],[Discount]]</f>
        <v>1997.85</v>
      </c>
      <c r="S1255" s="33">
        <f>Table1_1[[#This Row],[Units Sold]]*Table1_1[[#This Row],[Unit Cost]]</f>
        <v>1080</v>
      </c>
      <c r="T1255" s="33">
        <f>Table1_1[[#This Row],[Sales Amount]]-S1255</f>
        <v>917.84999999999991</v>
      </c>
      <c r="U1255" s="32">
        <f>IFERROR(Table1_1[[#This Row],[Profit/loss]]/Table1_1[[#This Row],[Sales Amount]],0)</f>
        <v>0.45941887529093772</v>
      </c>
    </row>
    <row r="1256" spans="1:21" ht="18" x14ac:dyDescent="0.35">
      <c r="A1256" s="21" t="s">
        <v>1363</v>
      </c>
      <c r="B1256" s="36">
        <v>45905</v>
      </c>
      <c r="C1256" s="22">
        <f>YEAR(Table1_1[[#This Row],[Order Date]])</f>
        <v>2025</v>
      </c>
      <c r="D1256" s="22" t="str">
        <f>TEXT(Table1_1[[#This Row],[Order Date]],"MMMM")</f>
        <v>September</v>
      </c>
      <c r="E1256" s="22" t="s">
        <v>26</v>
      </c>
      <c r="F1256" s="22" t="s">
        <v>74</v>
      </c>
      <c r="G1256" s="22" t="s">
        <v>105</v>
      </c>
      <c r="H1256" s="22" t="s">
        <v>19</v>
      </c>
      <c r="I1256" s="22" t="s">
        <v>54</v>
      </c>
      <c r="J1256" s="22" t="s">
        <v>129</v>
      </c>
      <c r="K1256" s="22" t="s">
        <v>1630</v>
      </c>
      <c r="L1256" s="22" t="s">
        <v>57</v>
      </c>
      <c r="M1256" s="22" t="s">
        <v>66</v>
      </c>
      <c r="N1256" s="22">
        <v>6</v>
      </c>
      <c r="O1256" s="26">
        <v>29010</v>
      </c>
      <c r="P1256" s="22">
        <v>0.18</v>
      </c>
      <c r="Q1256" s="30">
        <v>19100</v>
      </c>
      <c r="R1256" s="33">
        <f>Table1_1[[#This Row],[Units Sold]]*Table1_1[[#This Row],[Unit Price]]*1-Table1_1[[#This Row],[Discount]]</f>
        <v>174059.82</v>
      </c>
      <c r="S1256" s="33">
        <f>Table1_1[[#This Row],[Units Sold]]*Table1_1[[#This Row],[Unit Cost]]</f>
        <v>114600</v>
      </c>
      <c r="T1256" s="33">
        <f>Table1_1[[#This Row],[Sales Amount]]-S1256</f>
        <v>59459.820000000007</v>
      </c>
      <c r="U1256" s="32">
        <f>IFERROR(Table1_1[[#This Row],[Profit/loss]]/Table1_1[[#This Row],[Sales Amount]],0)</f>
        <v>0.34160566177765783</v>
      </c>
    </row>
    <row r="1257" spans="1:21" ht="18" x14ac:dyDescent="0.35">
      <c r="A1257" s="21" t="s">
        <v>1364</v>
      </c>
      <c r="B1257" s="36">
        <v>45905</v>
      </c>
      <c r="C1257" s="22">
        <f>YEAR(Table1_1[[#This Row],[Order Date]])</f>
        <v>2025</v>
      </c>
      <c r="D1257" s="22" t="str">
        <f>TEXT(Table1_1[[#This Row],[Order Date]],"MMMM")</f>
        <v>September</v>
      </c>
      <c r="E1257" s="22" t="s">
        <v>36</v>
      </c>
      <c r="F1257" s="22" t="s">
        <v>59</v>
      </c>
      <c r="G1257" s="22" t="s">
        <v>38</v>
      </c>
      <c r="H1257" s="22" t="s">
        <v>19</v>
      </c>
      <c r="I1257" s="22" t="s">
        <v>20</v>
      </c>
      <c r="J1257" s="22" t="s">
        <v>45</v>
      </c>
      <c r="K1257" s="22" t="s">
        <v>196</v>
      </c>
      <c r="L1257" s="22" t="s">
        <v>33</v>
      </c>
      <c r="M1257" s="22" t="s">
        <v>78</v>
      </c>
      <c r="N1257" s="22">
        <v>31</v>
      </c>
      <c r="O1257" s="26">
        <v>2499</v>
      </c>
      <c r="P1257" s="22">
        <v>0.08</v>
      </c>
      <c r="Q1257" s="30">
        <v>1510</v>
      </c>
      <c r="R1257" s="33">
        <f>Table1_1[[#This Row],[Units Sold]]*Table1_1[[#This Row],[Unit Price]]*1-Table1_1[[#This Row],[Discount]]</f>
        <v>77468.92</v>
      </c>
      <c r="S1257" s="33">
        <f>Table1_1[[#This Row],[Units Sold]]*Table1_1[[#This Row],[Unit Cost]]</f>
        <v>46810</v>
      </c>
      <c r="T1257" s="33">
        <f>Table1_1[[#This Row],[Sales Amount]]-S1257</f>
        <v>30658.92</v>
      </c>
      <c r="U1257" s="32">
        <f>IFERROR(Table1_1[[#This Row],[Profit/loss]]/Table1_1[[#This Row],[Sales Amount]],0)</f>
        <v>0.39575767933772665</v>
      </c>
    </row>
    <row r="1258" spans="1:21" ht="18" x14ac:dyDescent="0.35">
      <c r="A1258" s="21" t="s">
        <v>1365</v>
      </c>
      <c r="B1258" s="36">
        <v>45905</v>
      </c>
      <c r="C1258" s="22">
        <f>YEAR(Table1_1[[#This Row],[Order Date]])</f>
        <v>2025</v>
      </c>
      <c r="D1258" s="22" t="str">
        <f>TEXT(Table1_1[[#This Row],[Order Date]],"MMMM")</f>
        <v>September</v>
      </c>
      <c r="E1258" s="22" t="s">
        <v>82</v>
      </c>
      <c r="F1258" s="22" t="s">
        <v>87</v>
      </c>
      <c r="G1258" s="22" t="s">
        <v>75</v>
      </c>
      <c r="H1258" s="22" t="s">
        <v>19</v>
      </c>
      <c r="I1258" s="22" t="s">
        <v>20</v>
      </c>
      <c r="J1258" s="22" t="s">
        <v>45</v>
      </c>
      <c r="K1258" s="22" t="s">
        <v>1622</v>
      </c>
      <c r="L1258" s="22" t="s">
        <v>23</v>
      </c>
      <c r="M1258" s="22" t="s">
        <v>24</v>
      </c>
      <c r="N1258" s="22">
        <v>22</v>
      </c>
      <c r="O1258" s="26">
        <v>1599</v>
      </c>
      <c r="P1258" s="22">
        <v>0.15</v>
      </c>
      <c r="Q1258" s="30">
        <v>920</v>
      </c>
      <c r="R1258" s="33">
        <f>Table1_1[[#This Row],[Units Sold]]*Table1_1[[#This Row],[Unit Price]]*1-Table1_1[[#This Row],[Discount]]</f>
        <v>35177.85</v>
      </c>
      <c r="S1258" s="33">
        <f>Table1_1[[#This Row],[Units Sold]]*Table1_1[[#This Row],[Unit Cost]]</f>
        <v>20240</v>
      </c>
      <c r="T1258" s="33">
        <f>Table1_1[[#This Row],[Sales Amount]]-S1258</f>
        <v>14937.849999999999</v>
      </c>
      <c r="U1258" s="32">
        <f>IFERROR(Table1_1[[#This Row],[Profit/loss]]/Table1_1[[#This Row],[Sales Amount]],0)</f>
        <v>0.42463794688987527</v>
      </c>
    </row>
    <row r="1259" spans="1:21" ht="18" x14ac:dyDescent="0.35">
      <c r="A1259" s="21" t="s">
        <v>1366</v>
      </c>
      <c r="B1259" s="36">
        <v>45905</v>
      </c>
      <c r="C1259" s="22">
        <f>YEAR(Table1_1[[#This Row],[Order Date]])</f>
        <v>2025</v>
      </c>
      <c r="D1259" s="22" t="str">
        <f>TEXT(Table1_1[[#This Row],[Order Date]],"MMMM")</f>
        <v>September</v>
      </c>
      <c r="E1259" s="22" t="s">
        <v>26</v>
      </c>
      <c r="F1259" s="22" t="s">
        <v>74</v>
      </c>
      <c r="G1259" s="22" t="s">
        <v>69</v>
      </c>
      <c r="H1259" s="22" t="s">
        <v>19</v>
      </c>
      <c r="I1259" s="22" t="s">
        <v>40</v>
      </c>
      <c r="J1259" s="22" t="s">
        <v>76</v>
      </c>
      <c r="K1259" s="22" t="s">
        <v>1626</v>
      </c>
      <c r="L1259" s="22" t="s">
        <v>57</v>
      </c>
      <c r="M1259" s="22" t="s">
        <v>24</v>
      </c>
      <c r="N1259" s="22">
        <v>21</v>
      </c>
      <c r="O1259" s="26">
        <v>25999</v>
      </c>
      <c r="P1259" s="22">
        <v>0.15</v>
      </c>
      <c r="Q1259" s="30">
        <v>17800</v>
      </c>
      <c r="R1259" s="33">
        <f>Table1_1[[#This Row],[Units Sold]]*Table1_1[[#This Row],[Unit Price]]*1-Table1_1[[#This Row],[Discount]]</f>
        <v>545978.85</v>
      </c>
      <c r="S1259" s="33">
        <f>Table1_1[[#This Row],[Units Sold]]*Table1_1[[#This Row],[Unit Cost]]</f>
        <v>373800</v>
      </c>
      <c r="T1259" s="33">
        <f>Table1_1[[#This Row],[Sales Amount]]-S1259</f>
        <v>172178.84999999998</v>
      </c>
      <c r="U1259" s="32">
        <f>IFERROR(Table1_1[[#This Row],[Profit/loss]]/Table1_1[[#This Row],[Sales Amount]],0)</f>
        <v>0.3153580949152151</v>
      </c>
    </row>
    <row r="1260" spans="1:21" ht="18" x14ac:dyDescent="0.35">
      <c r="A1260" s="21" t="s">
        <v>1367</v>
      </c>
      <c r="B1260" s="36">
        <v>45906</v>
      </c>
      <c r="C1260" s="22">
        <f>YEAR(Table1_1[[#This Row],[Order Date]])</f>
        <v>2025</v>
      </c>
      <c r="D1260" s="22" t="str">
        <f>TEXT(Table1_1[[#This Row],[Order Date]],"MMMM")</f>
        <v>September</v>
      </c>
      <c r="E1260" s="22" t="s">
        <v>16</v>
      </c>
      <c r="F1260" s="22" t="s">
        <v>111</v>
      </c>
      <c r="G1260" s="22" t="s">
        <v>75</v>
      </c>
      <c r="H1260" s="22" t="s">
        <v>39</v>
      </c>
      <c r="I1260" s="22" t="s">
        <v>54</v>
      </c>
      <c r="J1260" s="22" t="s">
        <v>55</v>
      </c>
      <c r="K1260" s="22" t="s">
        <v>56</v>
      </c>
      <c r="L1260" s="22" t="s">
        <v>57</v>
      </c>
      <c r="M1260" s="22" t="s">
        <v>24</v>
      </c>
      <c r="N1260" s="22">
        <v>20</v>
      </c>
      <c r="O1260" s="26">
        <v>7299</v>
      </c>
      <c r="P1260" s="22">
        <v>0.1</v>
      </c>
      <c r="Q1260" s="30">
        <v>5010</v>
      </c>
      <c r="R1260" s="33">
        <f>Table1_1[[#This Row],[Units Sold]]*Table1_1[[#This Row],[Unit Price]]*1-Table1_1[[#This Row],[Discount]]</f>
        <v>145979.9</v>
      </c>
      <c r="S1260" s="33">
        <f>Table1_1[[#This Row],[Units Sold]]*Table1_1[[#This Row],[Unit Cost]]</f>
        <v>100200</v>
      </c>
      <c r="T1260" s="33">
        <f>Table1_1[[#This Row],[Sales Amount]]-S1260</f>
        <v>45779.899999999994</v>
      </c>
      <c r="U1260" s="32">
        <f>IFERROR(Table1_1[[#This Row],[Profit/loss]]/Table1_1[[#This Row],[Sales Amount]],0)</f>
        <v>0.31360413317175856</v>
      </c>
    </row>
    <row r="1261" spans="1:21" ht="18" x14ac:dyDescent="0.35">
      <c r="A1261" s="21" t="s">
        <v>1368</v>
      </c>
      <c r="B1261" s="36">
        <v>45907</v>
      </c>
      <c r="C1261" s="22">
        <f>YEAR(Table1_1[[#This Row],[Order Date]])</f>
        <v>2025</v>
      </c>
      <c r="D1261" s="22" t="str">
        <f>TEXT(Table1_1[[#This Row],[Order Date]],"MMMM")</f>
        <v>September</v>
      </c>
      <c r="E1261" s="22" t="s">
        <v>36</v>
      </c>
      <c r="F1261" s="22" t="s">
        <v>59</v>
      </c>
      <c r="G1261" s="22" t="s">
        <v>75</v>
      </c>
      <c r="H1261" s="22" t="s">
        <v>19</v>
      </c>
      <c r="I1261" s="22" t="s">
        <v>20</v>
      </c>
      <c r="J1261" s="22" t="s">
        <v>45</v>
      </c>
      <c r="K1261" s="22" t="s">
        <v>196</v>
      </c>
      <c r="L1261" s="22" t="s">
        <v>23</v>
      </c>
      <c r="M1261" s="22" t="s">
        <v>66</v>
      </c>
      <c r="N1261" s="22">
        <v>40</v>
      </c>
      <c r="O1261" s="26">
        <v>2499</v>
      </c>
      <c r="P1261" s="22">
        <v>0.18</v>
      </c>
      <c r="Q1261" s="30">
        <v>1510</v>
      </c>
      <c r="R1261" s="33">
        <f>Table1_1[[#This Row],[Units Sold]]*Table1_1[[#This Row],[Unit Price]]*1-Table1_1[[#This Row],[Discount]]</f>
        <v>99959.82</v>
      </c>
      <c r="S1261" s="33">
        <f>Table1_1[[#This Row],[Units Sold]]*Table1_1[[#This Row],[Unit Cost]]</f>
        <v>60400</v>
      </c>
      <c r="T1261" s="33">
        <f>Table1_1[[#This Row],[Sales Amount]]-S1261</f>
        <v>39559.820000000007</v>
      </c>
      <c r="U1261" s="32">
        <f>IFERROR(Table1_1[[#This Row],[Profit/loss]]/Table1_1[[#This Row],[Sales Amount]],0)</f>
        <v>0.39575721524908714</v>
      </c>
    </row>
    <row r="1262" spans="1:21" ht="18" x14ac:dyDescent="0.35">
      <c r="A1262" s="21" t="s">
        <v>1369</v>
      </c>
      <c r="B1262" s="36">
        <v>45907</v>
      </c>
      <c r="C1262" s="22">
        <f>YEAR(Table1_1[[#This Row],[Order Date]])</f>
        <v>2025</v>
      </c>
      <c r="D1262" s="22" t="str">
        <f>TEXT(Table1_1[[#This Row],[Order Date]],"MMMM")</f>
        <v>September</v>
      </c>
      <c r="E1262" s="22" t="s">
        <v>48</v>
      </c>
      <c r="F1262" s="22" t="s">
        <v>49</v>
      </c>
      <c r="G1262" s="22" t="s">
        <v>69</v>
      </c>
      <c r="H1262" s="22" t="s">
        <v>19</v>
      </c>
      <c r="I1262" s="22" t="s">
        <v>54</v>
      </c>
      <c r="J1262" s="22" t="s">
        <v>55</v>
      </c>
      <c r="K1262" s="22" t="s">
        <v>1623</v>
      </c>
      <c r="L1262" s="22" t="s">
        <v>23</v>
      </c>
      <c r="M1262" s="22" t="s">
        <v>24</v>
      </c>
      <c r="N1262" s="22">
        <v>27</v>
      </c>
      <c r="O1262" s="26">
        <v>5890</v>
      </c>
      <c r="P1262" s="22">
        <v>0.05</v>
      </c>
      <c r="Q1262" s="30">
        <v>3980</v>
      </c>
      <c r="R1262" s="33">
        <f>Table1_1[[#This Row],[Units Sold]]*Table1_1[[#This Row],[Unit Price]]*1-Table1_1[[#This Row],[Discount]]</f>
        <v>159029.95000000001</v>
      </c>
      <c r="S1262" s="33">
        <f>Table1_1[[#This Row],[Units Sold]]*Table1_1[[#This Row],[Unit Cost]]</f>
        <v>107460</v>
      </c>
      <c r="T1262" s="33">
        <f>Table1_1[[#This Row],[Sales Amount]]-S1262</f>
        <v>51569.950000000012</v>
      </c>
      <c r="U1262" s="32">
        <f>IFERROR(Table1_1[[#This Row],[Profit/loss]]/Table1_1[[#This Row],[Sales Amount]],0)</f>
        <v>0.32427822557952141</v>
      </c>
    </row>
    <row r="1263" spans="1:21" ht="18" x14ac:dyDescent="0.35">
      <c r="A1263" s="21" t="s">
        <v>1370</v>
      </c>
      <c r="B1263" s="36">
        <v>45907</v>
      </c>
      <c r="C1263" s="22">
        <f>YEAR(Table1_1[[#This Row],[Order Date]])</f>
        <v>2025</v>
      </c>
      <c r="D1263" s="22" t="str">
        <f>TEXT(Table1_1[[#This Row],[Order Date]],"MMMM")</f>
        <v>September</v>
      </c>
      <c r="E1263" s="22" t="s">
        <v>16</v>
      </c>
      <c r="F1263" s="22" t="s">
        <v>126</v>
      </c>
      <c r="G1263" s="22" t="s">
        <v>84</v>
      </c>
      <c r="H1263" s="22" t="s">
        <v>39</v>
      </c>
      <c r="I1263" s="22" t="s">
        <v>30</v>
      </c>
      <c r="J1263" s="22" t="s">
        <v>31</v>
      </c>
      <c r="K1263" s="22" t="s">
        <v>32</v>
      </c>
      <c r="L1263" s="22" t="s">
        <v>33</v>
      </c>
      <c r="M1263" s="22" t="s">
        <v>24</v>
      </c>
      <c r="N1263" s="22">
        <v>22</v>
      </c>
      <c r="O1263" s="26">
        <v>38990</v>
      </c>
      <c r="P1263" s="22">
        <v>0.2</v>
      </c>
      <c r="Q1263" s="30">
        <v>25400</v>
      </c>
      <c r="R1263" s="33">
        <f>Table1_1[[#This Row],[Units Sold]]*Table1_1[[#This Row],[Unit Price]]*1-Table1_1[[#This Row],[Discount]]</f>
        <v>857779.8</v>
      </c>
      <c r="S1263" s="33">
        <f>Table1_1[[#This Row],[Units Sold]]*Table1_1[[#This Row],[Unit Cost]]</f>
        <v>558800</v>
      </c>
      <c r="T1263" s="33">
        <f>Table1_1[[#This Row],[Sales Amount]]-S1263</f>
        <v>298979.80000000005</v>
      </c>
      <c r="U1263" s="32">
        <f>IFERROR(Table1_1[[#This Row],[Profit/loss]]/Table1_1[[#This Row],[Sales Amount]],0)</f>
        <v>0.34855075859795254</v>
      </c>
    </row>
    <row r="1264" spans="1:21" ht="18" x14ac:dyDescent="0.35">
      <c r="A1264" s="21" t="s">
        <v>1371</v>
      </c>
      <c r="B1264" s="36">
        <v>45907</v>
      </c>
      <c r="C1264" s="22">
        <f>YEAR(Table1_1[[#This Row],[Order Date]])</f>
        <v>2025</v>
      </c>
      <c r="D1264" s="22" t="str">
        <f>TEXT(Table1_1[[#This Row],[Order Date]],"MMMM")</f>
        <v>September</v>
      </c>
      <c r="E1264" s="22" t="s">
        <v>36</v>
      </c>
      <c r="F1264" s="22" t="s">
        <v>37</v>
      </c>
      <c r="G1264" s="22" t="s">
        <v>69</v>
      </c>
      <c r="H1264" s="22" t="s">
        <v>39</v>
      </c>
      <c r="I1264" s="22" t="s">
        <v>70</v>
      </c>
      <c r="J1264" s="22" t="s">
        <v>71</v>
      </c>
      <c r="K1264" s="22" t="s">
        <v>88</v>
      </c>
      <c r="L1264" s="22" t="s">
        <v>57</v>
      </c>
      <c r="M1264" s="22" t="s">
        <v>24</v>
      </c>
      <c r="N1264" s="22">
        <v>25</v>
      </c>
      <c r="O1264" s="26">
        <v>999</v>
      </c>
      <c r="P1264" s="22">
        <v>0.05</v>
      </c>
      <c r="Q1264" s="30">
        <v>540</v>
      </c>
      <c r="R1264" s="33">
        <f>Table1_1[[#This Row],[Units Sold]]*Table1_1[[#This Row],[Unit Price]]*1-Table1_1[[#This Row],[Discount]]</f>
        <v>24974.95</v>
      </c>
      <c r="S1264" s="33">
        <f>Table1_1[[#This Row],[Units Sold]]*Table1_1[[#This Row],[Unit Cost]]</f>
        <v>13500</v>
      </c>
      <c r="T1264" s="33">
        <f>Table1_1[[#This Row],[Sales Amount]]-S1264</f>
        <v>11474.95</v>
      </c>
      <c r="U1264" s="32">
        <f>IFERROR(Table1_1[[#This Row],[Profit/loss]]/Table1_1[[#This Row],[Sales Amount]],0)</f>
        <v>0.45945837729404865</v>
      </c>
    </row>
    <row r="1265" spans="1:21" ht="18" x14ac:dyDescent="0.35">
      <c r="A1265" s="21" t="s">
        <v>1372</v>
      </c>
      <c r="B1265" s="36">
        <v>45908</v>
      </c>
      <c r="C1265" s="22">
        <f>YEAR(Table1_1[[#This Row],[Order Date]])</f>
        <v>2025</v>
      </c>
      <c r="D1265" s="22" t="str">
        <f>TEXT(Table1_1[[#This Row],[Order Date]],"MMMM")</f>
        <v>September</v>
      </c>
      <c r="E1265" s="22" t="s">
        <v>48</v>
      </c>
      <c r="F1265" s="22" t="s">
        <v>136</v>
      </c>
      <c r="G1265" s="22" t="s">
        <v>60</v>
      </c>
      <c r="H1265" s="22" t="s">
        <v>39</v>
      </c>
      <c r="I1265" s="22" t="s">
        <v>20</v>
      </c>
      <c r="J1265" s="22" t="s">
        <v>21</v>
      </c>
      <c r="K1265" s="22" t="s">
        <v>51</v>
      </c>
      <c r="L1265" s="22" t="s">
        <v>57</v>
      </c>
      <c r="M1265" s="22" t="s">
        <v>24</v>
      </c>
      <c r="N1265" s="22">
        <v>12</v>
      </c>
      <c r="O1265" s="26">
        <v>5999</v>
      </c>
      <c r="P1265" s="22">
        <v>0.2</v>
      </c>
      <c r="Q1265" s="30">
        <v>3890</v>
      </c>
      <c r="R1265" s="33">
        <f>Table1_1[[#This Row],[Units Sold]]*Table1_1[[#This Row],[Unit Price]]*1-Table1_1[[#This Row],[Discount]]</f>
        <v>71987.8</v>
      </c>
      <c r="S1265" s="33">
        <f>Table1_1[[#This Row],[Units Sold]]*Table1_1[[#This Row],[Unit Cost]]</f>
        <v>46680</v>
      </c>
      <c r="T1265" s="33">
        <f>Table1_1[[#This Row],[Sales Amount]]-S1265</f>
        <v>25307.800000000003</v>
      </c>
      <c r="U1265" s="32">
        <f>IFERROR(Table1_1[[#This Row],[Profit/loss]]/Table1_1[[#This Row],[Sales Amount]],0)</f>
        <v>0.35155679156746006</v>
      </c>
    </row>
    <row r="1266" spans="1:21" ht="18" x14ac:dyDescent="0.35">
      <c r="A1266" s="21" t="s">
        <v>1373</v>
      </c>
      <c r="B1266" s="36">
        <v>45908</v>
      </c>
      <c r="C1266" s="22">
        <f>YEAR(Table1_1[[#This Row],[Order Date]])</f>
        <v>2025</v>
      </c>
      <c r="D1266" s="22" t="str">
        <f>TEXT(Table1_1[[#This Row],[Order Date]],"MMMM")</f>
        <v>September</v>
      </c>
      <c r="E1266" s="22" t="s">
        <v>36</v>
      </c>
      <c r="F1266" s="22" t="s">
        <v>44</v>
      </c>
      <c r="G1266" s="22" t="s">
        <v>69</v>
      </c>
      <c r="H1266" s="22" t="s">
        <v>39</v>
      </c>
      <c r="I1266" s="22" t="s">
        <v>30</v>
      </c>
      <c r="J1266" s="22" t="s">
        <v>61</v>
      </c>
      <c r="K1266" s="22" t="s">
        <v>186</v>
      </c>
      <c r="L1266" s="22" t="s">
        <v>23</v>
      </c>
      <c r="M1266" s="22" t="s">
        <v>24</v>
      </c>
      <c r="N1266" s="22">
        <v>36</v>
      </c>
      <c r="O1266" s="26">
        <v>6999</v>
      </c>
      <c r="P1266" s="22">
        <v>0.08</v>
      </c>
      <c r="Q1266" s="30">
        <v>4320</v>
      </c>
      <c r="R1266" s="33">
        <f>Table1_1[[#This Row],[Units Sold]]*Table1_1[[#This Row],[Unit Price]]*1-Table1_1[[#This Row],[Discount]]</f>
        <v>251963.92</v>
      </c>
      <c r="S1266" s="33">
        <f>Table1_1[[#This Row],[Units Sold]]*Table1_1[[#This Row],[Unit Cost]]</f>
        <v>155520</v>
      </c>
      <c r="T1266" s="33">
        <f>Table1_1[[#This Row],[Sales Amount]]-S1266</f>
        <v>96443.920000000013</v>
      </c>
      <c r="U1266" s="32">
        <f>IFERROR(Table1_1[[#This Row],[Profit/loss]]/Table1_1[[#This Row],[Sales Amount]],0)</f>
        <v>0.38276877102086682</v>
      </c>
    </row>
    <row r="1267" spans="1:21" ht="18" x14ac:dyDescent="0.35">
      <c r="A1267" s="21" t="s">
        <v>1374</v>
      </c>
      <c r="B1267" s="36">
        <v>45909</v>
      </c>
      <c r="C1267" s="22">
        <f>YEAR(Table1_1[[#This Row],[Order Date]])</f>
        <v>2025</v>
      </c>
      <c r="D1267" s="22" t="str">
        <f>TEXT(Table1_1[[#This Row],[Order Date]],"MMMM")</f>
        <v>September</v>
      </c>
      <c r="E1267" s="22" t="s">
        <v>48</v>
      </c>
      <c r="F1267" s="22" t="s">
        <v>68</v>
      </c>
      <c r="G1267" s="22" t="s">
        <v>60</v>
      </c>
      <c r="H1267" s="22" t="s">
        <v>19</v>
      </c>
      <c r="I1267" s="22" t="s">
        <v>54</v>
      </c>
      <c r="J1267" s="22" t="s">
        <v>129</v>
      </c>
      <c r="K1267" s="22" t="s">
        <v>145</v>
      </c>
      <c r="L1267" s="22" t="s">
        <v>23</v>
      </c>
      <c r="M1267" s="22" t="s">
        <v>24</v>
      </c>
      <c r="N1267" s="22">
        <v>1</v>
      </c>
      <c r="O1267" s="26">
        <v>31490</v>
      </c>
      <c r="P1267" s="22">
        <v>0.08</v>
      </c>
      <c r="Q1267" s="30">
        <v>21300</v>
      </c>
      <c r="R1267" s="33">
        <f>Table1_1[[#This Row],[Units Sold]]*Table1_1[[#This Row],[Unit Price]]*1-Table1_1[[#This Row],[Discount]]</f>
        <v>31489.919999999998</v>
      </c>
      <c r="S1267" s="33">
        <f>Table1_1[[#This Row],[Units Sold]]*Table1_1[[#This Row],[Unit Cost]]</f>
        <v>21300</v>
      </c>
      <c r="T1267" s="33">
        <f>Table1_1[[#This Row],[Sales Amount]]-S1267</f>
        <v>10189.919999999998</v>
      </c>
      <c r="U1267" s="32">
        <f>IFERROR(Table1_1[[#This Row],[Profit/loss]]/Table1_1[[#This Row],[Sales Amount]],0)</f>
        <v>0.32359307359307354</v>
      </c>
    </row>
    <row r="1268" spans="1:21" ht="18" x14ac:dyDescent="0.35">
      <c r="A1268" s="21" t="s">
        <v>1375</v>
      </c>
      <c r="B1268" s="36">
        <v>45909</v>
      </c>
      <c r="C1268" s="22">
        <f>YEAR(Table1_1[[#This Row],[Order Date]])</f>
        <v>2025</v>
      </c>
      <c r="D1268" s="22" t="str">
        <f>TEXT(Table1_1[[#This Row],[Order Date]],"MMMM")</f>
        <v>September</v>
      </c>
      <c r="E1268" s="22" t="s">
        <v>36</v>
      </c>
      <c r="F1268" s="22" t="s">
        <v>121</v>
      </c>
      <c r="G1268" s="22" t="s">
        <v>50</v>
      </c>
      <c r="H1268" s="22" t="s">
        <v>19</v>
      </c>
      <c r="I1268" s="22" t="s">
        <v>70</v>
      </c>
      <c r="J1268" s="22" t="s">
        <v>71</v>
      </c>
      <c r="K1268" s="22" t="s">
        <v>72</v>
      </c>
      <c r="L1268" s="22" t="s">
        <v>33</v>
      </c>
      <c r="M1268" s="22" t="s">
        <v>24</v>
      </c>
      <c r="N1268" s="22">
        <v>36</v>
      </c>
      <c r="O1268" s="26">
        <v>3499</v>
      </c>
      <c r="P1268" s="22">
        <v>0.18</v>
      </c>
      <c r="Q1268" s="30">
        <v>2190</v>
      </c>
      <c r="R1268" s="33">
        <f>Table1_1[[#This Row],[Units Sold]]*Table1_1[[#This Row],[Unit Price]]*1-Table1_1[[#This Row],[Discount]]</f>
        <v>125963.82</v>
      </c>
      <c r="S1268" s="33">
        <f>Table1_1[[#This Row],[Units Sold]]*Table1_1[[#This Row],[Unit Cost]]</f>
        <v>78840</v>
      </c>
      <c r="T1268" s="33">
        <f>Table1_1[[#This Row],[Sales Amount]]-S1268</f>
        <v>47123.820000000007</v>
      </c>
      <c r="U1268" s="32">
        <f>IFERROR(Table1_1[[#This Row],[Profit/loss]]/Table1_1[[#This Row],[Sales Amount]],0)</f>
        <v>0.37410599329235972</v>
      </c>
    </row>
    <row r="1269" spans="1:21" ht="18" x14ac:dyDescent="0.35">
      <c r="A1269" s="21" t="s">
        <v>1376</v>
      </c>
      <c r="B1269" s="36">
        <v>45909</v>
      </c>
      <c r="C1269" s="22">
        <f>YEAR(Table1_1[[#This Row],[Order Date]])</f>
        <v>2025</v>
      </c>
      <c r="D1269" s="22" t="str">
        <f>TEXT(Table1_1[[#This Row],[Order Date]],"MMMM")</f>
        <v>September</v>
      </c>
      <c r="E1269" s="22" t="s">
        <v>26</v>
      </c>
      <c r="F1269" s="22" t="s">
        <v>53</v>
      </c>
      <c r="G1269" s="22" t="s">
        <v>75</v>
      </c>
      <c r="H1269" s="22" t="s">
        <v>39</v>
      </c>
      <c r="I1269" s="22" t="s">
        <v>30</v>
      </c>
      <c r="J1269" s="22" t="s">
        <v>31</v>
      </c>
      <c r="K1269" s="22" t="s">
        <v>106</v>
      </c>
      <c r="L1269" s="22" t="s">
        <v>23</v>
      </c>
      <c r="M1269" s="22" t="s">
        <v>24</v>
      </c>
      <c r="N1269" s="22">
        <v>29</v>
      </c>
      <c r="O1269" s="26">
        <v>52990</v>
      </c>
      <c r="P1269" s="22">
        <v>0.05</v>
      </c>
      <c r="Q1269" s="30">
        <v>35100</v>
      </c>
      <c r="R1269" s="33">
        <f>Table1_1[[#This Row],[Units Sold]]*Table1_1[[#This Row],[Unit Price]]*1-Table1_1[[#This Row],[Discount]]</f>
        <v>1536709.95</v>
      </c>
      <c r="S1269" s="33">
        <f>Table1_1[[#This Row],[Units Sold]]*Table1_1[[#This Row],[Unit Cost]]</f>
        <v>1017900</v>
      </c>
      <c r="T1269" s="33">
        <f>Table1_1[[#This Row],[Sales Amount]]-S1269</f>
        <v>518809.94999999995</v>
      </c>
      <c r="U1269" s="32">
        <f>IFERROR(Table1_1[[#This Row],[Profit/loss]]/Table1_1[[#This Row],[Sales Amount]],0)</f>
        <v>0.33761084842328248</v>
      </c>
    </row>
    <row r="1270" spans="1:21" ht="18" x14ac:dyDescent="0.35">
      <c r="A1270" s="21" t="s">
        <v>1377</v>
      </c>
      <c r="B1270" s="36">
        <v>45910</v>
      </c>
      <c r="C1270" s="22">
        <f>YEAR(Table1_1[[#This Row],[Order Date]])</f>
        <v>2025</v>
      </c>
      <c r="D1270" s="22" t="str">
        <f>TEXT(Table1_1[[#This Row],[Order Date]],"MMMM")</f>
        <v>September</v>
      </c>
      <c r="E1270" s="22" t="s">
        <v>48</v>
      </c>
      <c r="F1270" s="22" t="s">
        <v>68</v>
      </c>
      <c r="G1270" s="22" t="s">
        <v>105</v>
      </c>
      <c r="H1270" s="22" t="s">
        <v>29</v>
      </c>
      <c r="I1270" s="22" t="s">
        <v>40</v>
      </c>
      <c r="J1270" s="22" t="s">
        <v>64</v>
      </c>
      <c r="K1270" s="22" t="s">
        <v>1627</v>
      </c>
      <c r="L1270" s="22" t="s">
        <v>57</v>
      </c>
      <c r="M1270" s="22" t="s">
        <v>66</v>
      </c>
      <c r="N1270" s="22">
        <v>15</v>
      </c>
      <c r="O1270" s="26">
        <v>4490</v>
      </c>
      <c r="P1270" s="22">
        <v>0.08</v>
      </c>
      <c r="Q1270" s="30">
        <v>2950</v>
      </c>
      <c r="R1270" s="33">
        <f>Table1_1[[#This Row],[Units Sold]]*Table1_1[[#This Row],[Unit Price]]*1-Table1_1[[#This Row],[Discount]]</f>
        <v>67349.919999999998</v>
      </c>
      <c r="S1270" s="33">
        <f>Table1_1[[#This Row],[Units Sold]]*Table1_1[[#This Row],[Unit Cost]]</f>
        <v>44250</v>
      </c>
      <c r="T1270" s="33">
        <f>Table1_1[[#This Row],[Sales Amount]]-S1270</f>
        <v>23099.919999999998</v>
      </c>
      <c r="U1270" s="32">
        <f>IFERROR(Table1_1[[#This Row],[Profit/loss]]/Table1_1[[#This Row],[Sales Amount]],0)</f>
        <v>0.34298362937921822</v>
      </c>
    </row>
    <row r="1271" spans="1:21" ht="18" x14ac:dyDescent="0.35">
      <c r="A1271" s="21" t="s">
        <v>1378</v>
      </c>
      <c r="B1271" s="36">
        <v>45911</v>
      </c>
      <c r="C1271" s="22">
        <f>YEAR(Table1_1[[#This Row],[Order Date]])</f>
        <v>2025</v>
      </c>
      <c r="D1271" s="22" t="str">
        <f>TEXT(Table1_1[[#This Row],[Order Date]],"MMMM")</f>
        <v>September</v>
      </c>
      <c r="E1271" s="22" t="s">
        <v>16</v>
      </c>
      <c r="F1271" s="22" t="s">
        <v>126</v>
      </c>
      <c r="G1271" s="22" t="s">
        <v>75</v>
      </c>
      <c r="H1271" s="22" t="s">
        <v>19</v>
      </c>
      <c r="I1271" s="22" t="s">
        <v>40</v>
      </c>
      <c r="J1271" s="22" t="s">
        <v>41</v>
      </c>
      <c r="K1271" s="22" t="s">
        <v>1624</v>
      </c>
      <c r="L1271" s="22" t="s">
        <v>23</v>
      </c>
      <c r="M1271" s="22" t="s">
        <v>34</v>
      </c>
      <c r="N1271" s="22">
        <v>27</v>
      </c>
      <c r="O1271" s="26">
        <v>48990</v>
      </c>
      <c r="P1271" s="22">
        <v>0.2</v>
      </c>
      <c r="Q1271" s="30">
        <v>30100</v>
      </c>
      <c r="R1271" s="33">
        <f>Table1_1[[#This Row],[Units Sold]]*Table1_1[[#This Row],[Unit Price]]*1-Table1_1[[#This Row],[Discount]]</f>
        <v>1322729.8</v>
      </c>
      <c r="S1271" s="33">
        <f>Table1_1[[#This Row],[Units Sold]]*Table1_1[[#This Row],[Unit Cost]]</f>
        <v>812700</v>
      </c>
      <c r="T1271" s="33">
        <f>Table1_1[[#This Row],[Sales Amount]]-S1271</f>
        <v>510029.80000000005</v>
      </c>
      <c r="U1271" s="32">
        <f>IFERROR(Table1_1[[#This Row],[Profit/loss]]/Table1_1[[#This Row],[Sales Amount]],0)</f>
        <v>0.385588802792528</v>
      </c>
    </row>
    <row r="1272" spans="1:21" ht="18" x14ac:dyDescent="0.35">
      <c r="A1272" s="21" t="s">
        <v>1379</v>
      </c>
      <c r="B1272" s="36">
        <v>45911</v>
      </c>
      <c r="C1272" s="22">
        <f>YEAR(Table1_1[[#This Row],[Order Date]])</f>
        <v>2025</v>
      </c>
      <c r="D1272" s="22" t="str">
        <f>TEXT(Table1_1[[#This Row],[Order Date]],"MMMM")</f>
        <v>September</v>
      </c>
      <c r="E1272" s="22" t="s">
        <v>48</v>
      </c>
      <c r="F1272" s="22" t="s">
        <v>93</v>
      </c>
      <c r="G1272" s="22" t="s">
        <v>101</v>
      </c>
      <c r="H1272" s="22" t="s">
        <v>29</v>
      </c>
      <c r="I1272" s="22" t="s">
        <v>40</v>
      </c>
      <c r="J1272" s="22" t="s">
        <v>76</v>
      </c>
      <c r="K1272" s="22" t="s">
        <v>1626</v>
      </c>
      <c r="L1272" s="22" t="s">
        <v>33</v>
      </c>
      <c r="M1272" s="22" t="s">
        <v>34</v>
      </c>
      <c r="N1272" s="22">
        <v>23</v>
      </c>
      <c r="O1272" s="26">
        <v>25999</v>
      </c>
      <c r="P1272" s="22">
        <v>0.1</v>
      </c>
      <c r="Q1272" s="30">
        <v>17800</v>
      </c>
      <c r="R1272" s="33">
        <f>Table1_1[[#This Row],[Units Sold]]*Table1_1[[#This Row],[Unit Price]]*1-Table1_1[[#This Row],[Discount]]</f>
        <v>597976.9</v>
      </c>
      <c r="S1272" s="33">
        <f>Table1_1[[#This Row],[Units Sold]]*Table1_1[[#This Row],[Unit Cost]]</f>
        <v>409400</v>
      </c>
      <c r="T1272" s="33">
        <f>Table1_1[[#This Row],[Sales Amount]]-S1272</f>
        <v>188576.90000000002</v>
      </c>
      <c r="U1272" s="32">
        <f>IFERROR(Table1_1[[#This Row],[Profit/loss]]/Table1_1[[#This Row],[Sales Amount]],0)</f>
        <v>0.3153581685178809</v>
      </c>
    </row>
    <row r="1273" spans="1:21" ht="18" x14ac:dyDescent="0.35">
      <c r="A1273" s="21" t="s">
        <v>1380</v>
      </c>
      <c r="B1273" s="36">
        <v>45911</v>
      </c>
      <c r="C1273" s="22">
        <f>YEAR(Table1_1[[#This Row],[Order Date]])</f>
        <v>2025</v>
      </c>
      <c r="D1273" s="22" t="str">
        <f>TEXT(Table1_1[[#This Row],[Order Date]],"MMMM")</f>
        <v>September</v>
      </c>
      <c r="E1273" s="22" t="s">
        <v>48</v>
      </c>
      <c r="F1273" s="22" t="s">
        <v>136</v>
      </c>
      <c r="G1273" s="22" t="s">
        <v>38</v>
      </c>
      <c r="H1273" s="22" t="s">
        <v>39</v>
      </c>
      <c r="I1273" s="22" t="s">
        <v>40</v>
      </c>
      <c r="J1273" s="22" t="s">
        <v>41</v>
      </c>
      <c r="K1273" s="22" t="s">
        <v>1628</v>
      </c>
      <c r="L1273" s="22" t="s">
        <v>57</v>
      </c>
      <c r="M1273" s="22" t="s">
        <v>24</v>
      </c>
      <c r="N1273" s="22">
        <v>3</v>
      </c>
      <c r="O1273" s="26">
        <v>48500</v>
      </c>
      <c r="P1273" s="22">
        <v>0.12</v>
      </c>
      <c r="Q1273" s="30">
        <v>30200</v>
      </c>
      <c r="R1273" s="33">
        <f>Table1_1[[#This Row],[Units Sold]]*Table1_1[[#This Row],[Unit Price]]*1-Table1_1[[#This Row],[Discount]]</f>
        <v>145499.88</v>
      </c>
      <c r="S1273" s="33">
        <f>Table1_1[[#This Row],[Units Sold]]*Table1_1[[#This Row],[Unit Cost]]</f>
        <v>90600</v>
      </c>
      <c r="T1273" s="33">
        <f>Table1_1[[#This Row],[Sales Amount]]-S1273</f>
        <v>54899.880000000005</v>
      </c>
      <c r="U1273" s="32">
        <f>IFERROR(Table1_1[[#This Row],[Profit/loss]]/Table1_1[[#This Row],[Sales Amount]],0)</f>
        <v>0.37731907407758691</v>
      </c>
    </row>
    <row r="1274" spans="1:21" ht="18" x14ac:dyDescent="0.35">
      <c r="A1274" s="21" t="s">
        <v>1381</v>
      </c>
      <c r="B1274" s="36">
        <v>45911</v>
      </c>
      <c r="C1274" s="22">
        <f>YEAR(Table1_1[[#This Row],[Order Date]])</f>
        <v>2025</v>
      </c>
      <c r="D1274" s="22" t="str">
        <f>TEXT(Table1_1[[#This Row],[Order Date]],"MMMM")</f>
        <v>September</v>
      </c>
      <c r="E1274" s="22" t="s">
        <v>16</v>
      </c>
      <c r="F1274" s="22" t="s">
        <v>126</v>
      </c>
      <c r="G1274" s="22" t="s">
        <v>101</v>
      </c>
      <c r="H1274" s="22" t="s">
        <v>19</v>
      </c>
      <c r="I1274" s="22" t="s">
        <v>40</v>
      </c>
      <c r="J1274" s="22" t="s">
        <v>41</v>
      </c>
      <c r="K1274" s="22" t="s">
        <v>1628</v>
      </c>
      <c r="L1274" s="22" t="s">
        <v>23</v>
      </c>
      <c r="M1274" s="22" t="s">
        <v>34</v>
      </c>
      <c r="N1274" s="22">
        <v>16</v>
      </c>
      <c r="O1274" s="26">
        <v>48500</v>
      </c>
      <c r="P1274" s="22">
        <v>0.15</v>
      </c>
      <c r="Q1274" s="30">
        <v>30200</v>
      </c>
      <c r="R1274" s="33">
        <f>Table1_1[[#This Row],[Units Sold]]*Table1_1[[#This Row],[Unit Price]]*1-Table1_1[[#This Row],[Discount]]</f>
        <v>775999.85</v>
      </c>
      <c r="S1274" s="33">
        <f>Table1_1[[#This Row],[Units Sold]]*Table1_1[[#This Row],[Unit Cost]]</f>
        <v>483200</v>
      </c>
      <c r="T1274" s="33">
        <f>Table1_1[[#This Row],[Sales Amount]]-S1274</f>
        <v>292799.84999999998</v>
      </c>
      <c r="U1274" s="32">
        <f>IFERROR(Table1_1[[#This Row],[Profit/loss]]/Table1_1[[#This Row],[Sales Amount]],0)</f>
        <v>0.37731946726536092</v>
      </c>
    </row>
    <row r="1275" spans="1:21" ht="18" x14ac:dyDescent="0.35">
      <c r="A1275" s="21" t="s">
        <v>1382</v>
      </c>
      <c r="B1275" s="36">
        <v>45911</v>
      </c>
      <c r="C1275" s="22">
        <f>YEAR(Table1_1[[#This Row],[Order Date]])</f>
        <v>2025</v>
      </c>
      <c r="D1275" s="22" t="str">
        <f>TEXT(Table1_1[[#This Row],[Order Date]],"MMMM")</f>
        <v>September</v>
      </c>
      <c r="E1275" s="22" t="s">
        <v>36</v>
      </c>
      <c r="F1275" s="22" t="s">
        <v>44</v>
      </c>
      <c r="G1275" s="22" t="s">
        <v>60</v>
      </c>
      <c r="H1275" s="22" t="s">
        <v>39</v>
      </c>
      <c r="I1275" s="22" t="s">
        <v>54</v>
      </c>
      <c r="J1275" s="22" t="s">
        <v>55</v>
      </c>
      <c r="K1275" s="22" t="s">
        <v>1623</v>
      </c>
      <c r="L1275" s="22" t="s">
        <v>33</v>
      </c>
      <c r="M1275" s="22" t="s">
        <v>24</v>
      </c>
      <c r="N1275" s="22">
        <v>2</v>
      </c>
      <c r="O1275" s="26">
        <v>5890</v>
      </c>
      <c r="P1275" s="22">
        <v>0.18</v>
      </c>
      <c r="Q1275" s="30">
        <v>3980</v>
      </c>
      <c r="R1275" s="33">
        <f>Table1_1[[#This Row],[Units Sold]]*Table1_1[[#This Row],[Unit Price]]*1-Table1_1[[#This Row],[Discount]]</f>
        <v>11779.82</v>
      </c>
      <c r="S1275" s="33">
        <f>Table1_1[[#This Row],[Units Sold]]*Table1_1[[#This Row],[Unit Cost]]</f>
        <v>7960</v>
      </c>
      <c r="T1275" s="33">
        <f>Table1_1[[#This Row],[Sales Amount]]-S1275</f>
        <v>3819.8199999999997</v>
      </c>
      <c r="U1275" s="32">
        <f>IFERROR(Table1_1[[#This Row],[Profit/loss]]/Table1_1[[#This Row],[Sales Amount]],0)</f>
        <v>0.32426811275554296</v>
      </c>
    </row>
    <row r="1276" spans="1:21" ht="18" x14ac:dyDescent="0.35">
      <c r="A1276" s="21" t="s">
        <v>1383</v>
      </c>
      <c r="B1276" s="36">
        <v>45911</v>
      </c>
      <c r="C1276" s="22">
        <f>YEAR(Table1_1[[#This Row],[Order Date]])</f>
        <v>2025</v>
      </c>
      <c r="D1276" s="22" t="str">
        <f>TEXT(Table1_1[[#This Row],[Order Date]],"MMMM")</f>
        <v>September</v>
      </c>
      <c r="E1276" s="22" t="s">
        <v>82</v>
      </c>
      <c r="F1276" s="22" t="s">
        <v>183</v>
      </c>
      <c r="G1276" s="22" t="s">
        <v>18</v>
      </c>
      <c r="H1276" s="22" t="s">
        <v>39</v>
      </c>
      <c r="I1276" s="22" t="s">
        <v>30</v>
      </c>
      <c r="J1276" s="22" t="s">
        <v>31</v>
      </c>
      <c r="K1276" s="22" t="s">
        <v>106</v>
      </c>
      <c r="L1276" s="22" t="s">
        <v>33</v>
      </c>
      <c r="M1276" s="22" t="s">
        <v>24</v>
      </c>
      <c r="N1276" s="22">
        <v>39</v>
      </c>
      <c r="O1276" s="26">
        <v>52990</v>
      </c>
      <c r="P1276" s="22">
        <v>0.2</v>
      </c>
      <c r="Q1276" s="30">
        <v>35100</v>
      </c>
      <c r="R1276" s="33">
        <f>Table1_1[[#This Row],[Units Sold]]*Table1_1[[#This Row],[Unit Price]]*1-Table1_1[[#This Row],[Discount]]</f>
        <v>2066609.8</v>
      </c>
      <c r="S1276" s="33">
        <f>Table1_1[[#This Row],[Units Sold]]*Table1_1[[#This Row],[Unit Cost]]</f>
        <v>1368900</v>
      </c>
      <c r="T1276" s="33">
        <f>Table1_1[[#This Row],[Sales Amount]]-S1276</f>
        <v>697709.8</v>
      </c>
      <c r="U1276" s="32">
        <f>IFERROR(Table1_1[[#This Row],[Profit/loss]]/Table1_1[[#This Row],[Sales Amount]],0)</f>
        <v>0.33761080587152931</v>
      </c>
    </row>
    <row r="1277" spans="1:21" ht="18" x14ac:dyDescent="0.35">
      <c r="A1277" s="21" t="s">
        <v>1384</v>
      </c>
      <c r="B1277" s="36">
        <v>45912</v>
      </c>
      <c r="C1277" s="22">
        <f>YEAR(Table1_1[[#This Row],[Order Date]])</f>
        <v>2025</v>
      </c>
      <c r="D1277" s="22" t="str">
        <f>TEXT(Table1_1[[#This Row],[Order Date]],"MMMM")</f>
        <v>September</v>
      </c>
      <c r="E1277" s="22" t="s">
        <v>26</v>
      </c>
      <c r="F1277" s="22" t="s">
        <v>74</v>
      </c>
      <c r="G1277" s="22" t="s">
        <v>69</v>
      </c>
      <c r="H1277" s="22" t="s">
        <v>39</v>
      </c>
      <c r="I1277" s="22" t="s">
        <v>30</v>
      </c>
      <c r="J1277" s="22" t="s">
        <v>61</v>
      </c>
      <c r="K1277" s="22" t="s">
        <v>62</v>
      </c>
      <c r="L1277" s="22" t="s">
        <v>33</v>
      </c>
      <c r="M1277" s="22" t="s">
        <v>34</v>
      </c>
      <c r="N1277" s="22">
        <v>27</v>
      </c>
      <c r="O1277" s="26">
        <v>12490</v>
      </c>
      <c r="P1277" s="22">
        <v>0.15</v>
      </c>
      <c r="Q1277" s="30">
        <v>7900</v>
      </c>
      <c r="R1277" s="33">
        <f>Table1_1[[#This Row],[Units Sold]]*Table1_1[[#This Row],[Unit Price]]*1-Table1_1[[#This Row],[Discount]]</f>
        <v>337229.85</v>
      </c>
      <c r="S1277" s="33">
        <f>Table1_1[[#This Row],[Units Sold]]*Table1_1[[#This Row],[Unit Cost]]</f>
        <v>213300</v>
      </c>
      <c r="T1277" s="33">
        <f>Table1_1[[#This Row],[Sales Amount]]-S1277</f>
        <v>123929.84999999998</v>
      </c>
      <c r="U1277" s="32">
        <f>IFERROR(Table1_1[[#This Row],[Profit/loss]]/Table1_1[[#This Row],[Sales Amount]],0)</f>
        <v>0.36749371385718077</v>
      </c>
    </row>
    <row r="1278" spans="1:21" ht="18" x14ac:dyDescent="0.35">
      <c r="A1278" s="21" t="s">
        <v>1385</v>
      </c>
      <c r="B1278" s="36">
        <v>45912</v>
      </c>
      <c r="C1278" s="22">
        <f>YEAR(Table1_1[[#This Row],[Order Date]])</f>
        <v>2025</v>
      </c>
      <c r="D1278" s="22" t="str">
        <f>TEXT(Table1_1[[#This Row],[Order Date]],"MMMM")</f>
        <v>September</v>
      </c>
      <c r="E1278" s="22" t="s">
        <v>36</v>
      </c>
      <c r="F1278" s="22" t="s">
        <v>44</v>
      </c>
      <c r="G1278" s="22" t="s">
        <v>84</v>
      </c>
      <c r="H1278" s="22" t="s">
        <v>19</v>
      </c>
      <c r="I1278" s="22" t="s">
        <v>70</v>
      </c>
      <c r="J1278" s="22" t="s">
        <v>71</v>
      </c>
      <c r="K1278" s="22" t="s">
        <v>80</v>
      </c>
      <c r="L1278" s="22" t="s">
        <v>57</v>
      </c>
      <c r="M1278" s="22" t="s">
        <v>24</v>
      </c>
      <c r="N1278" s="22">
        <v>10</v>
      </c>
      <c r="O1278" s="26">
        <v>1299</v>
      </c>
      <c r="P1278" s="22">
        <v>0.1</v>
      </c>
      <c r="Q1278" s="30">
        <v>720</v>
      </c>
      <c r="R1278" s="33">
        <f>Table1_1[[#This Row],[Units Sold]]*Table1_1[[#This Row],[Unit Price]]*1-Table1_1[[#This Row],[Discount]]</f>
        <v>12989.9</v>
      </c>
      <c r="S1278" s="33">
        <f>Table1_1[[#This Row],[Units Sold]]*Table1_1[[#This Row],[Unit Cost]]</f>
        <v>7200</v>
      </c>
      <c r="T1278" s="33">
        <f>Table1_1[[#This Row],[Sales Amount]]-S1278</f>
        <v>5789.9</v>
      </c>
      <c r="U1278" s="32">
        <f>IFERROR(Table1_1[[#This Row],[Profit/loss]]/Table1_1[[#This Row],[Sales Amount]],0)</f>
        <v>0.44572321572914342</v>
      </c>
    </row>
    <row r="1279" spans="1:21" ht="18" x14ac:dyDescent="0.35">
      <c r="A1279" s="21" t="s">
        <v>1386</v>
      </c>
      <c r="B1279" s="36">
        <v>45913</v>
      </c>
      <c r="C1279" s="22">
        <f>YEAR(Table1_1[[#This Row],[Order Date]])</f>
        <v>2025</v>
      </c>
      <c r="D1279" s="22" t="str">
        <f>TEXT(Table1_1[[#This Row],[Order Date]],"MMMM")</f>
        <v>September</v>
      </c>
      <c r="E1279" s="22" t="s">
        <v>26</v>
      </c>
      <c r="F1279" s="22" t="s">
        <v>74</v>
      </c>
      <c r="G1279" s="22" t="s">
        <v>38</v>
      </c>
      <c r="H1279" s="22" t="s">
        <v>29</v>
      </c>
      <c r="I1279" s="22" t="s">
        <v>30</v>
      </c>
      <c r="J1279" s="22" t="s">
        <v>31</v>
      </c>
      <c r="K1279" s="22" t="s">
        <v>32</v>
      </c>
      <c r="L1279" s="22" t="s">
        <v>57</v>
      </c>
      <c r="M1279" s="22" t="s">
        <v>34</v>
      </c>
      <c r="N1279" s="22">
        <v>10</v>
      </c>
      <c r="O1279" s="26">
        <v>38990</v>
      </c>
      <c r="P1279" s="22">
        <v>0.12</v>
      </c>
      <c r="Q1279" s="30">
        <v>25400</v>
      </c>
      <c r="R1279" s="33">
        <f>Table1_1[[#This Row],[Units Sold]]*Table1_1[[#This Row],[Unit Price]]*1-Table1_1[[#This Row],[Discount]]</f>
        <v>389899.88</v>
      </c>
      <c r="S1279" s="33">
        <f>Table1_1[[#This Row],[Units Sold]]*Table1_1[[#This Row],[Unit Cost]]</f>
        <v>254000</v>
      </c>
      <c r="T1279" s="33">
        <f>Table1_1[[#This Row],[Sales Amount]]-S1279</f>
        <v>135899.88</v>
      </c>
      <c r="U1279" s="32">
        <f>IFERROR(Table1_1[[#This Row],[Profit/loss]]/Table1_1[[#This Row],[Sales Amount]],0)</f>
        <v>0.34855070999252424</v>
      </c>
    </row>
    <row r="1280" spans="1:21" ht="18" x14ac:dyDescent="0.35">
      <c r="A1280" s="21" t="s">
        <v>1387</v>
      </c>
      <c r="B1280" s="36">
        <v>45914</v>
      </c>
      <c r="C1280" s="22">
        <f>YEAR(Table1_1[[#This Row],[Order Date]])</f>
        <v>2025</v>
      </c>
      <c r="D1280" s="22" t="str">
        <f>TEXT(Table1_1[[#This Row],[Order Date]],"MMMM")</f>
        <v>September</v>
      </c>
      <c r="E1280" s="22" t="s">
        <v>48</v>
      </c>
      <c r="F1280" s="22" t="s">
        <v>68</v>
      </c>
      <c r="G1280" s="22" t="s">
        <v>60</v>
      </c>
      <c r="H1280" s="22" t="s">
        <v>39</v>
      </c>
      <c r="I1280" s="22" t="s">
        <v>20</v>
      </c>
      <c r="J1280" s="22" t="s">
        <v>21</v>
      </c>
      <c r="K1280" s="22" t="s">
        <v>115</v>
      </c>
      <c r="L1280" s="22" t="s">
        <v>33</v>
      </c>
      <c r="M1280" s="22" t="s">
        <v>24</v>
      </c>
      <c r="N1280" s="22">
        <v>1</v>
      </c>
      <c r="O1280" s="26">
        <v>6499</v>
      </c>
      <c r="P1280" s="22">
        <v>0.2</v>
      </c>
      <c r="Q1280" s="30">
        <v>4210</v>
      </c>
      <c r="R1280" s="33">
        <f>Table1_1[[#This Row],[Units Sold]]*Table1_1[[#This Row],[Unit Price]]*1-Table1_1[[#This Row],[Discount]]</f>
        <v>6498.8</v>
      </c>
      <c r="S1280" s="33">
        <f>Table1_1[[#This Row],[Units Sold]]*Table1_1[[#This Row],[Unit Cost]]</f>
        <v>4210</v>
      </c>
      <c r="T1280" s="33">
        <f>Table1_1[[#This Row],[Sales Amount]]-S1280</f>
        <v>2288.8000000000002</v>
      </c>
      <c r="U1280" s="32">
        <f>IFERROR(Table1_1[[#This Row],[Profit/loss]]/Table1_1[[#This Row],[Sales Amount]],0)</f>
        <v>0.35218809626392567</v>
      </c>
    </row>
    <row r="1281" spans="1:21" ht="18" x14ac:dyDescent="0.35">
      <c r="A1281" s="21" t="s">
        <v>1388</v>
      </c>
      <c r="B1281" s="36">
        <v>45914</v>
      </c>
      <c r="C1281" s="22">
        <f>YEAR(Table1_1[[#This Row],[Order Date]])</f>
        <v>2025</v>
      </c>
      <c r="D1281" s="22" t="str">
        <f>TEXT(Table1_1[[#This Row],[Order Date]],"MMMM")</f>
        <v>September</v>
      </c>
      <c r="E1281" s="22" t="s">
        <v>16</v>
      </c>
      <c r="F1281" s="22" t="s">
        <v>111</v>
      </c>
      <c r="G1281" s="22" t="s">
        <v>69</v>
      </c>
      <c r="H1281" s="22" t="s">
        <v>29</v>
      </c>
      <c r="I1281" s="22" t="s">
        <v>70</v>
      </c>
      <c r="J1281" s="22" t="s">
        <v>71</v>
      </c>
      <c r="K1281" s="22" t="s">
        <v>80</v>
      </c>
      <c r="L1281" s="22" t="s">
        <v>33</v>
      </c>
      <c r="M1281" s="22" t="s">
        <v>24</v>
      </c>
      <c r="N1281" s="22">
        <v>34</v>
      </c>
      <c r="O1281" s="26">
        <v>1299</v>
      </c>
      <c r="P1281" s="22">
        <v>0.05</v>
      </c>
      <c r="Q1281" s="30">
        <v>720</v>
      </c>
      <c r="R1281" s="33">
        <f>Table1_1[[#This Row],[Units Sold]]*Table1_1[[#This Row],[Unit Price]]*1-Table1_1[[#This Row],[Discount]]</f>
        <v>44165.95</v>
      </c>
      <c r="S1281" s="33">
        <f>Table1_1[[#This Row],[Units Sold]]*Table1_1[[#This Row],[Unit Cost]]</f>
        <v>24480</v>
      </c>
      <c r="T1281" s="33">
        <f>Table1_1[[#This Row],[Sales Amount]]-S1281</f>
        <v>19685.949999999997</v>
      </c>
      <c r="U1281" s="32">
        <f>IFERROR(Table1_1[[#This Row],[Profit/loss]]/Table1_1[[#This Row],[Sales Amount]],0)</f>
        <v>0.44572685519048039</v>
      </c>
    </row>
    <row r="1282" spans="1:21" ht="18" x14ac:dyDescent="0.35">
      <c r="A1282" s="21" t="s">
        <v>1389</v>
      </c>
      <c r="B1282" s="36">
        <v>45914</v>
      </c>
      <c r="C1282" s="22">
        <f>YEAR(Table1_1[[#This Row],[Order Date]])</f>
        <v>2025</v>
      </c>
      <c r="D1282" s="22" t="str">
        <f>TEXT(Table1_1[[#This Row],[Order Date]],"MMMM")</f>
        <v>September</v>
      </c>
      <c r="E1282" s="22" t="s">
        <v>82</v>
      </c>
      <c r="F1282" s="22" t="s">
        <v>183</v>
      </c>
      <c r="G1282" s="22" t="s">
        <v>105</v>
      </c>
      <c r="H1282" s="22" t="s">
        <v>39</v>
      </c>
      <c r="I1282" s="22" t="s">
        <v>20</v>
      </c>
      <c r="J1282" s="22" t="s">
        <v>21</v>
      </c>
      <c r="K1282" s="22" t="s">
        <v>51</v>
      </c>
      <c r="L1282" s="22" t="s">
        <v>57</v>
      </c>
      <c r="M1282" s="22" t="s">
        <v>66</v>
      </c>
      <c r="N1282" s="22">
        <v>12</v>
      </c>
      <c r="O1282" s="26">
        <v>5999</v>
      </c>
      <c r="P1282" s="22">
        <v>0.1</v>
      </c>
      <c r="Q1282" s="30">
        <v>3890</v>
      </c>
      <c r="R1282" s="33">
        <f>Table1_1[[#This Row],[Units Sold]]*Table1_1[[#This Row],[Unit Price]]*1-Table1_1[[#This Row],[Discount]]</f>
        <v>71987.899999999994</v>
      </c>
      <c r="S1282" s="33">
        <f>Table1_1[[#This Row],[Units Sold]]*Table1_1[[#This Row],[Unit Cost]]</f>
        <v>46680</v>
      </c>
      <c r="T1282" s="33">
        <f>Table1_1[[#This Row],[Sales Amount]]-S1282</f>
        <v>25307.899999999994</v>
      </c>
      <c r="U1282" s="32">
        <f>IFERROR(Table1_1[[#This Row],[Profit/loss]]/Table1_1[[#This Row],[Sales Amount]],0)</f>
        <v>0.35155769233440615</v>
      </c>
    </row>
    <row r="1283" spans="1:21" ht="18" x14ac:dyDescent="0.35">
      <c r="A1283" s="21" t="s">
        <v>1390</v>
      </c>
      <c r="B1283" s="36">
        <v>45914</v>
      </c>
      <c r="C1283" s="22">
        <f>YEAR(Table1_1[[#This Row],[Order Date]])</f>
        <v>2025</v>
      </c>
      <c r="D1283" s="22" t="str">
        <f>TEXT(Table1_1[[#This Row],[Order Date]],"MMMM")</f>
        <v>September</v>
      </c>
      <c r="E1283" s="22" t="s">
        <v>26</v>
      </c>
      <c r="F1283" s="22" t="s">
        <v>163</v>
      </c>
      <c r="G1283" s="22" t="s">
        <v>84</v>
      </c>
      <c r="H1283" s="22" t="s">
        <v>19</v>
      </c>
      <c r="I1283" s="22" t="s">
        <v>30</v>
      </c>
      <c r="J1283" s="22" t="s">
        <v>61</v>
      </c>
      <c r="K1283" s="22" t="s">
        <v>96</v>
      </c>
      <c r="L1283" s="22" t="s">
        <v>33</v>
      </c>
      <c r="M1283" s="22" t="s">
        <v>24</v>
      </c>
      <c r="N1283" s="22">
        <v>14</v>
      </c>
      <c r="O1283" s="26">
        <v>25110</v>
      </c>
      <c r="P1283" s="22">
        <v>0.1</v>
      </c>
      <c r="Q1283" s="30">
        <v>16730</v>
      </c>
      <c r="R1283" s="33">
        <f>Table1_1[[#This Row],[Units Sold]]*Table1_1[[#This Row],[Unit Price]]*1-Table1_1[[#This Row],[Discount]]</f>
        <v>351539.9</v>
      </c>
      <c r="S1283" s="33">
        <f>Table1_1[[#This Row],[Units Sold]]*Table1_1[[#This Row],[Unit Cost]]</f>
        <v>234220</v>
      </c>
      <c r="T1283" s="33">
        <f>Table1_1[[#This Row],[Sales Amount]]-S1283</f>
        <v>117319.90000000002</v>
      </c>
      <c r="U1283" s="32">
        <f>IFERROR(Table1_1[[#This Row],[Profit/loss]]/Table1_1[[#This Row],[Sales Amount]],0)</f>
        <v>0.33373139151487502</v>
      </c>
    </row>
    <row r="1284" spans="1:21" ht="18" x14ac:dyDescent="0.35">
      <c r="A1284" s="21" t="s">
        <v>1391</v>
      </c>
      <c r="B1284" s="36">
        <v>45915</v>
      </c>
      <c r="C1284" s="22">
        <f>YEAR(Table1_1[[#This Row],[Order Date]])</f>
        <v>2025</v>
      </c>
      <c r="D1284" s="22" t="str">
        <f>TEXT(Table1_1[[#This Row],[Order Date]],"MMMM")</f>
        <v>September</v>
      </c>
      <c r="E1284" s="22" t="s">
        <v>16</v>
      </c>
      <c r="F1284" s="22" t="s">
        <v>17</v>
      </c>
      <c r="G1284" s="22" t="s">
        <v>18</v>
      </c>
      <c r="H1284" s="22" t="s">
        <v>39</v>
      </c>
      <c r="I1284" s="22" t="s">
        <v>70</v>
      </c>
      <c r="J1284" s="22" t="s">
        <v>71</v>
      </c>
      <c r="K1284" s="22" t="s">
        <v>72</v>
      </c>
      <c r="L1284" s="22" t="s">
        <v>57</v>
      </c>
      <c r="M1284" s="22" t="s">
        <v>24</v>
      </c>
      <c r="N1284" s="22">
        <v>20</v>
      </c>
      <c r="O1284" s="26">
        <v>3499</v>
      </c>
      <c r="P1284" s="22">
        <v>0.1</v>
      </c>
      <c r="Q1284" s="30">
        <v>2190</v>
      </c>
      <c r="R1284" s="33">
        <f>Table1_1[[#This Row],[Units Sold]]*Table1_1[[#This Row],[Unit Price]]*1-Table1_1[[#This Row],[Discount]]</f>
        <v>69979.899999999994</v>
      </c>
      <c r="S1284" s="33">
        <f>Table1_1[[#This Row],[Units Sold]]*Table1_1[[#This Row],[Unit Cost]]</f>
        <v>43800</v>
      </c>
      <c r="T1284" s="33">
        <f>Table1_1[[#This Row],[Sales Amount]]-S1284</f>
        <v>26179.899999999994</v>
      </c>
      <c r="U1284" s="32">
        <f>IFERROR(Table1_1[[#This Row],[Profit/loss]]/Table1_1[[#This Row],[Sales Amount]],0)</f>
        <v>0.37410599329235961</v>
      </c>
    </row>
    <row r="1285" spans="1:21" ht="18" x14ac:dyDescent="0.35">
      <c r="A1285" s="21" t="s">
        <v>1392</v>
      </c>
      <c r="B1285" s="36">
        <v>45915</v>
      </c>
      <c r="C1285" s="22">
        <f>YEAR(Table1_1[[#This Row],[Order Date]])</f>
        <v>2025</v>
      </c>
      <c r="D1285" s="22" t="str">
        <f>TEXT(Table1_1[[#This Row],[Order Date]],"MMMM")</f>
        <v>September</v>
      </c>
      <c r="E1285" s="22" t="s">
        <v>16</v>
      </c>
      <c r="F1285" s="22" t="s">
        <v>17</v>
      </c>
      <c r="G1285" s="22" t="s">
        <v>28</v>
      </c>
      <c r="H1285" s="22" t="s">
        <v>39</v>
      </c>
      <c r="I1285" s="22" t="s">
        <v>20</v>
      </c>
      <c r="J1285" s="22" t="s">
        <v>45</v>
      </c>
      <c r="K1285" s="22" t="s">
        <v>1618</v>
      </c>
      <c r="L1285" s="22" t="s">
        <v>33</v>
      </c>
      <c r="M1285" s="22" t="s">
        <v>24</v>
      </c>
      <c r="N1285" s="22">
        <v>33</v>
      </c>
      <c r="O1285" s="26">
        <v>1899</v>
      </c>
      <c r="P1285" s="22">
        <v>0.2</v>
      </c>
      <c r="Q1285" s="30">
        <v>1080</v>
      </c>
      <c r="R1285" s="33">
        <f>Table1_1[[#This Row],[Units Sold]]*Table1_1[[#This Row],[Unit Price]]*1-Table1_1[[#This Row],[Discount]]</f>
        <v>62666.8</v>
      </c>
      <c r="S1285" s="33">
        <f>Table1_1[[#This Row],[Units Sold]]*Table1_1[[#This Row],[Unit Cost]]</f>
        <v>35640</v>
      </c>
      <c r="T1285" s="33">
        <f>Table1_1[[#This Row],[Sales Amount]]-S1285</f>
        <v>27026.800000000003</v>
      </c>
      <c r="U1285" s="32">
        <f>IFERROR(Table1_1[[#This Row],[Profit/loss]]/Table1_1[[#This Row],[Sales Amount]],0)</f>
        <v>0.43127780579190261</v>
      </c>
    </row>
    <row r="1286" spans="1:21" ht="18" x14ac:dyDescent="0.35">
      <c r="A1286" s="21" t="s">
        <v>1393</v>
      </c>
      <c r="B1286" s="36">
        <v>45915</v>
      </c>
      <c r="C1286" s="22">
        <f>YEAR(Table1_1[[#This Row],[Order Date]])</f>
        <v>2025</v>
      </c>
      <c r="D1286" s="22" t="str">
        <f>TEXT(Table1_1[[#This Row],[Order Date]],"MMMM")</f>
        <v>September</v>
      </c>
      <c r="E1286" s="22" t="s">
        <v>26</v>
      </c>
      <c r="F1286" s="22" t="s">
        <v>27</v>
      </c>
      <c r="G1286" s="22" t="s">
        <v>75</v>
      </c>
      <c r="H1286" s="22" t="s">
        <v>39</v>
      </c>
      <c r="I1286" s="22" t="s">
        <v>54</v>
      </c>
      <c r="J1286" s="22" t="s">
        <v>129</v>
      </c>
      <c r="K1286" s="22" t="s">
        <v>130</v>
      </c>
      <c r="L1286" s="22" t="s">
        <v>33</v>
      </c>
      <c r="M1286" s="22" t="s">
        <v>78</v>
      </c>
      <c r="N1286" s="22">
        <v>29</v>
      </c>
      <c r="O1286" s="26">
        <v>27890</v>
      </c>
      <c r="P1286" s="22">
        <v>0.05</v>
      </c>
      <c r="Q1286" s="30">
        <v>18800</v>
      </c>
      <c r="R1286" s="33">
        <f>Table1_1[[#This Row],[Units Sold]]*Table1_1[[#This Row],[Unit Price]]*1-Table1_1[[#This Row],[Discount]]</f>
        <v>808809.95</v>
      </c>
      <c r="S1286" s="33">
        <f>Table1_1[[#This Row],[Units Sold]]*Table1_1[[#This Row],[Unit Cost]]</f>
        <v>545200</v>
      </c>
      <c r="T1286" s="33">
        <f>Table1_1[[#This Row],[Sales Amount]]-S1286</f>
        <v>263609.94999999995</v>
      </c>
      <c r="U1286" s="32">
        <f>IFERROR(Table1_1[[#This Row],[Profit/loss]]/Table1_1[[#This Row],[Sales Amount]],0)</f>
        <v>0.32592322831834597</v>
      </c>
    </row>
    <row r="1287" spans="1:21" ht="18" x14ac:dyDescent="0.35">
      <c r="A1287" s="21" t="s">
        <v>1394</v>
      </c>
      <c r="B1287" s="36">
        <v>45916</v>
      </c>
      <c r="C1287" s="22">
        <f>YEAR(Table1_1[[#This Row],[Order Date]])</f>
        <v>2025</v>
      </c>
      <c r="D1287" s="22" t="str">
        <f>TEXT(Table1_1[[#This Row],[Order Date]],"MMMM")</f>
        <v>September</v>
      </c>
      <c r="E1287" s="22" t="s">
        <v>16</v>
      </c>
      <c r="F1287" s="22" t="s">
        <v>17</v>
      </c>
      <c r="G1287" s="22" t="s">
        <v>50</v>
      </c>
      <c r="H1287" s="22" t="s">
        <v>39</v>
      </c>
      <c r="I1287" s="22" t="s">
        <v>70</v>
      </c>
      <c r="J1287" s="22" t="s">
        <v>71</v>
      </c>
      <c r="K1287" s="22" t="s">
        <v>72</v>
      </c>
      <c r="L1287" s="22" t="s">
        <v>23</v>
      </c>
      <c r="M1287" s="22" t="s">
        <v>34</v>
      </c>
      <c r="N1287" s="22">
        <v>10</v>
      </c>
      <c r="O1287" s="26">
        <v>3499</v>
      </c>
      <c r="P1287" s="22">
        <v>0.2</v>
      </c>
      <c r="Q1287" s="30">
        <v>2190</v>
      </c>
      <c r="R1287" s="33">
        <f>Table1_1[[#This Row],[Units Sold]]*Table1_1[[#This Row],[Unit Price]]*1-Table1_1[[#This Row],[Discount]]</f>
        <v>34989.800000000003</v>
      </c>
      <c r="S1287" s="33">
        <f>Table1_1[[#This Row],[Units Sold]]*Table1_1[[#This Row],[Unit Cost]]</f>
        <v>21900</v>
      </c>
      <c r="T1287" s="33">
        <f>Table1_1[[#This Row],[Sales Amount]]-S1287</f>
        <v>13089.800000000003</v>
      </c>
      <c r="U1287" s="32">
        <f>IFERROR(Table1_1[[#This Row],[Profit/loss]]/Table1_1[[#This Row],[Sales Amount]],0)</f>
        <v>0.37410331010751707</v>
      </c>
    </row>
    <row r="1288" spans="1:21" ht="18" x14ac:dyDescent="0.35">
      <c r="A1288" s="21" t="s">
        <v>1395</v>
      </c>
      <c r="B1288" s="36">
        <v>45917</v>
      </c>
      <c r="C1288" s="22">
        <f>YEAR(Table1_1[[#This Row],[Order Date]])</f>
        <v>2025</v>
      </c>
      <c r="D1288" s="22" t="str">
        <f>TEXT(Table1_1[[#This Row],[Order Date]],"MMMM")</f>
        <v>September</v>
      </c>
      <c r="E1288" s="22" t="s">
        <v>36</v>
      </c>
      <c r="F1288" s="22" t="s">
        <v>59</v>
      </c>
      <c r="G1288" s="22" t="s">
        <v>18</v>
      </c>
      <c r="H1288" s="22" t="s">
        <v>19</v>
      </c>
      <c r="I1288" s="22" t="s">
        <v>20</v>
      </c>
      <c r="J1288" s="22" t="s">
        <v>21</v>
      </c>
      <c r="K1288" s="22" t="s">
        <v>22</v>
      </c>
      <c r="L1288" s="22" t="s">
        <v>33</v>
      </c>
      <c r="M1288" s="22" t="s">
        <v>24</v>
      </c>
      <c r="N1288" s="22">
        <v>17</v>
      </c>
      <c r="O1288" s="26">
        <v>4499</v>
      </c>
      <c r="P1288" s="22">
        <v>0.18</v>
      </c>
      <c r="Q1288" s="30">
        <v>2910</v>
      </c>
      <c r="R1288" s="33">
        <f>Table1_1[[#This Row],[Units Sold]]*Table1_1[[#This Row],[Unit Price]]*1-Table1_1[[#This Row],[Discount]]</f>
        <v>76482.820000000007</v>
      </c>
      <c r="S1288" s="33">
        <f>Table1_1[[#This Row],[Units Sold]]*Table1_1[[#This Row],[Unit Cost]]</f>
        <v>49470</v>
      </c>
      <c r="T1288" s="33">
        <f>Table1_1[[#This Row],[Sales Amount]]-S1288</f>
        <v>27012.820000000007</v>
      </c>
      <c r="U1288" s="32">
        <f>IFERROR(Table1_1[[#This Row],[Profit/loss]]/Table1_1[[#This Row],[Sales Amount]],0)</f>
        <v>0.35318807543968705</v>
      </c>
    </row>
    <row r="1289" spans="1:21" ht="18" x14ac:dyDescent="0.35">
      <c r="A1289" s="21" t="s">
        <v>1396</v>
      </c>
      <c r="B1289" s="36">
        <v>45917</v>
      </c>
      <c r="C1289" s="22">
        <f>YEAR(Table1_1[[#This Row],[Order Date]])</f>
        <v>2025</v>
      </c>
      <c r="D1289" s="22" t="str">
        <f>TEXT(Table1_1[[#This Row],[Order Date]],"MMMM")</f>
        <v>September</v>
      </c>
      <c r="E1289" s="22" t="s">
        <v>82</v>
      </c>
      <c r="F1289" s="22" t="s">
        <v>100</v>
      </c>
      <c r="G1289" s="22" t="s">
        <v>50</v>
      </c>
      <c r="H1289" s="22" t="s">
        <v>39</v>
      </c>
      <c r="I1289" s="22" t="s">
        <v>40</v>
      </c>
      <c r="J1289" s="22" t="s">
        <v>41</v>
      </c>
      <c r="K1289" s="22" t="s">
        <v>1628</v>
      </c>
      <c r="L1289" s="22" t="s">
        <v>23</v>
      </c>
      <c r="M1289" s="22" t="s">
        <v>24</v>
      </c>
      <c r="N1289" s="22">
        <v>12</v>
      </c>
      <c r="O1289" s="26">
        <v>48500</v>
      </c>
      <c r="P1289" s="22">
        <v>0.18</v>
      </c>
      <c r="Q1289" s="30">
        <v>30200</v>
      </c>
      <c r="R1289" s="33">
        <f>Table1_1[[#This Row],[Units Sold]]*Table1_1[[#This Row],[Unit Price]]*1-Table1_1[[#This Row],[Discount]]</f>
        <v>581999.81999999995</v>
      </c>
      <c r="S1289" s="33">
        <f>Table1_1[[#This Row],[Units Sold]]*Table1_1[[#This Row],[Unit Cost]]</f>
        <v>362400</v>
      </c>
      <c r="T1289" s="33">
        <f>Table1_1[[#This Row],[Sales Amount]]-S1289</f>
        <v>219599.81999999995</v>
      </c>
      <c r="U1289" s="32">
        <f>IFERROR(Table1_1[[#This Row],[Profit/loss]]/Table1_1[[#This Row],[Sales Amount]],0)</f>
        <v>0.37731939504723555</v>
      </c>
    </row>
    <row r="1290" spans="1:21" ht="18" x14ac:dyDescent="0.35">
      <c r="A1290" s="21" t="s">
        <v>1397</v>
      </c>
      <c r="B1290" s="36">
        <v>45918</v>
      </c>
      <c r="C1290" s="22">
        <f>YEAR(Table1_1[[#This Row],[Order Date]])</f>
        <v>2025</v>
      </c>
      <c r="D1290" s="22" t="str">
        <f>TEXT(Table1_1[[#This Row],[Order Date]],"MMMM")</f>
        <v>September</v>
      </c>
      <c r="E1290" s="22" t="s">
        <v>26</v>
      </c>
      <c r="F1290" s="22" t="s">
        <v>74</v>
      </c>
      <c r="G1290" s="22" t="s">
        <v>69</v>
      </c>
      <c r="H1290" s="22" t="s">
        <v>29</v>
      </c>
      <c r="I1290" s="22" t="s">
        <v>40</v>
      </c>
      <c r="J1290" s="22" t="s">
        <v>76</v>
      </c>
      <c r="K1290" s="22" t="s">
        <v>1620</v>
      </c>
      <c r="L1290" s="22" t="s">
        <v>23</v>
      </c>
      <c r="M1290" s="22" t="s">
        <v>24</v>
      </c>
      <c r="N1290" s="22">
        <v>17</v>
      </c>
      <c r="O1290" s="26">
        <v>52990</v>
      </c>
      <c r="P1290" s="22">
        <v>0.18</v>
      </c>
      <c r="Q1290" s="30">
        <v>39500</v>
      </c>
      <c r="R1290" s="33">
        <f>Table1_1[[#This Row],[Units Sold]]*Table1_1[[#This Row],[Unit Price]]*1-Table1_1[[#This Row],[Discount]]</f>
        <v>900829.82</v>
      </c>
      <c r="S1290" s="33">
        <f>Table1_1[[#This Row],[Units Sold]]*Table1_1[[#This Row],[Unit Cost]]</f>
        <v>671500</v>
      </c>
      <c r="T1290" s="33">
        <f>Table1_1[[#This Row],[Sales Amount]]-S1290</f>
        <v>229329.81999999995</v>
      </c>
      <c r="U1290" s="32">
        <f>IFERROR(Table1_1[[#This Row],[Profit/loss]]/Table1_1[[#This Row],[Sales Amount]],0)</f>
        <v>0.25457618621017669</v>
      </c>
    </row>
    <row r="1291" spans="1:21" ht="18" x14ac:dyDescent="0.35">
      <c r="A1291" s="21" t="s">
        <v>1398</v>
      </c>
      <c r="B1291" s="36">
        <v>45919</v>
      </c>
      <c r="C1291" s="22">
        <f>YEAR(Table1_1[[#This Row],[Order Date]])</f>
        <v>2025</v>
      </c>
      <c r="D1291" s="22" t="str">
        <f>TEXT(Table1_1[[#This Row],[Order Date]],"MMMM")</f>
        <v>September</v>
      </c>
      <c r="E1291" s="22" t="s">
        <v>82</v>
      </c>
      <c r="F1291" s="22" t="s">
        <v>183</v>
      </c>
      <c r="G1291" s="22" t="s">
        <v>75</v>
      </c>
      <c r="H1291" s="22" t="s">
        <v>19</v>
      </c>
      <c r="I1291" s="22" t="s">
        <v>30</v>
      </c>
      <c r="J1291" s="22" t="s">
        <v>31</v>
      </c>
      <c r="K1291" s="22" t="s">
        <v>106</v>
      </c>
      <c r="L1291" s="22" t="s">
        <v>57</v>
      </c>
      <c r="M1291" s="22" t="s">
        <v>24</v>
      </c>
      <c r="N1291" s="22">
        <v>14</v>
      </c>
      <c r="O1291" s="26">
        <v>52990</v>
      </c>
      <c r="P1291" s="22">
        <v>0.15</v>
      </c>
      <c r="Q1291" s="30">
        <v>35100</v>
      </c>
      <c r="R1291" s="33">
        <f>Table1_1[[#This Row],[Units Sold]]*Table1_1[[#This Row],[Unit Price]]*1-Table1_1[[#This Row],[Discount]]</f>
        <v>741859.85</v>
      </c>
      <c r="S1291" s="33">
        <f>Table1_1[[#This Row],[Units Sold]]*Table1_1[[#This Row],[Unit Cost]]</f>
        <v>491400</v>
      </c>
      <c r="T1291" s="33">
        <f>Table1_1[[#This Row],[Sales Amount]]-S1291</f>
        <v>250459.84999999998</v>
      </c>
      <c r="U1291" s="32">
        <f>IFERROR(Table1_1[[#This Row],[Profit/loss]]/Table1_1[[#This Row],[Sales Amount]],0)</f>
        <v>0.33761073604401154</v>
      </c>
    </row>
    <row r="1292" spans="1:21" ht="18" x14ac:dyDescent="0.35">
      <c r="A1292" s="21" t="s">
        <v>1399</v>
      </c>
      <c r="B1292" s="36">
        <v>45919</v>
      </c>
      <c r="C1292" s="22">
        <f>YEAR(Table1_1[[#This Row],[Order Date]])</f>
        <v>2025</v>
      </c>
      <c r="D1292" s="22" t="str">
        <f>TEXT(Table1_1[[#This Row],[Order Date]],"MMMM")</f>
        <v>September</v>
      </c>
      <c r="E1292" s="22" t="s">
        <v>36</v>
      </c>
      <c r="F1292" s="22" t="s">
        <v>37</v>
      </c>
      <c r="G1292" s="22" t="s">
        <v>69</v>
      </c>
      <c r="H1292" s="22" t="s">
        <v>29</v>
      </c>
      <c r="I1292" s="22" t="s">
        <v>40</v>
      </c>
      <c r="J1292" s="22" t="s">
        <v>41</v>
      </c>
      <c r="K1292" s="22" t="s">
        <v>1628</v>
      </c>
      <c r="L1292" s="22" t="s">
        <v>23</v>
      </c>
      <c r="M1292" s="22" t="s">
        <v>66</v>
      </c>
      <c r="N1292" s="22">
        <v>16</v>
      </c>
      <c r="O1292" s="26">
        <v>48500</v>
      </c>
      <c r="P1292" s="22">
        <v>0.08</v>
      </c>
      <c r="Q1292" s="30">
        <v>30200</v>
      </c>
      <c r="R1292" s="33">
        <f>Table1_1[[#This Row],[Units Sold]]*Table1_1[[#This Row],[Unit Price]]*1-Table1_1[[#This Row],[Discount]]</f>
        <v>775999.92</v>
      </c>
      <c r="S1292" s="33">
        <f>Table1_1[[#This Row],[Units Sold]]*Table1_1[[#This Row],[Unit Cost]]</f>
        <v>483200</v>
      </c>
      <c r="T1292" s="33">
        <f>Table1_1[[#This Row],[Sales Amount]]-S1292</f>
        <v>292799.92000000004</v>
      </c>
      <c r="U1292" s="32">
        <f>IFERROR(Table1_1[[#This Row],[Profit/loss]]/Table1_1[[#This Row],[Sales Amount]],0)</f>
        <v>0.37731952343500247</v>
      </c>
    </row>
    <row r="1293" spans="1:21" ht="18" x14ac:dyDescent="0.35">
      <c r="A1293" s="21" t="s">
        <v>1400</v>
      </c>
      <c r="B1293" s="36">
        <v>45919</v>
      </c>
      <c r="C1293" s="22">
        <f>YEAR(Table1_1[[#This Row],[Order Date]])</f>
        <v>2025</v>
      </c>
      <c r="D1293" s="22" t="str">
        <f>TEXT(Table1_1[[#This Row],[Order Date]],"MMMM")</f>
        <v>September</v>
      </c>
      <c r="E1293" s="22" t="s">
        <v>26</v>
      </c>
      <c r="F1293" s="22" t="s">
        <v>53</v>
      </c>
      <c r="G1293" s="22" t="s">
        <v>105</v>
      </c>
      <c r="H1293" s="22" t="s">
        <v>39</v>
      </c>
      <c r="I1293" s="22" t="s">
        <v>40</v>
      </c>
      <c r="J1293" s="22" t="s">
        <v>64</v>
      </c>
      <c r="K1293" s="22" t="s">
        <v>1629</v>
      </c>
      <c r="L1293" s="22" t="s">
        <v>57</v>
      </c>
      <c r="M1293" s="22" t="s">
        <v>78</v>
      </c>
      <c r="N1293" s="22">
        <v>37</v>
      </c>
      <c r="O1293" s="26">
        <v>3299</v>
      </c>
      <c r="P1293" s="22">
        <v>0.05</v>
      </c>
      <c r="Q1293" s="30">
        <v>2050</v>
      </c>
      <c r="R1293" s="33">
        <f>Table1_1[[#This Row],[Units Sold]]*Table1_1[[#This Row],[Unit Price]]*1-Table1_1[[#This Row],[Discount]]</f>
        <v>122062.95</v>
      </c>
      <c r="S1293" s="33">
        <f>Table1_1[[#This Row],[Units Sold]]*Table1_1[[#This Row],[Unit Cost]]</f>
        <v>75850</v>
      </c>
      <c r="T1293" s="33">
        <f>Table1_1[[#This Row],[Sales Amount]]-S1293</f>
        <v>46212.95</v>
      </c>
      <c r="U1293" s="32">
        <f>IFERROR(Table1_1[[#This Row],[Profit/loss]]/Table1_1[[#This Row],[Sales Amount]],0)</f>
        <v>0.37859932108801236</v>
      </c>
    </row>
    <row r="1294" spans="1:21" ht="18" x14ac:dyDescent="0.35">
      <c r="A1294" s="21" t="s">
        <v>1401</v>
      </c>
      <c r="B1294" s="36">
        <v>45919</v>
      </c>
      <c r="C1294" s="22">
        <f>YEAR(Table1_1[[#This Row],[Order Date]])</f>
        <v>2025</v>
      </c>
      <c r="D1294" s="22" t="str">
        <f>TEXT(Table1_1[[#This Row],[Order Date]],"MMMM")</f>
        <v>September</v>
      </c>
      <c r="E1294" s="22" t="s">
        <v>48</v>
      </c>
      <c r="F1294" s="22" t="s">
        <v>136</v>
      </c>
      <c r="G1294" s="22" t="s">
        <v>18</v>
      </c>
      <c r="H1294" s="22" t="s">
        <v>29</v>
      </c>
      <c r="I1294" s="22" t="s">
        <v>54</v>
      </c>
      <c r="J1294" s="22" t="s">
        <v>129</v>
      </c>
      <c r="K1294" s="22" t="s">
        <v>145</v>
      </c>
      <c r="L1294" s="22" t="s">
        <v>57</v>
      </c>
      <c r="M1294" s="22" t="s">
        <v>34</v>
      </c>
      <c r="N1294" s="22">
        <v>26</v>
      </c>
      <c r="O1294" s="26">
        <v>31490</v>
      </c>
      <c r="P1294" s="22">
        <v>0.05</v>
      </c>
      <c r="Q1294" s="30">
        <v>21300</v>
      </c>
      <c r="R1294" s="33">
        <f>Table1_1[[#This Row],[Units Sold]]*Table1_1[[#This Row],[Unit Price]]*1-Table1_1[[#This Row],[Discount]]</f>
        <v>818739.95</v>
      </c>
      <c r="S1294" s="33">
        <f>Table1_1[[#This Row],[Units Sold]]*Table1_1[[#This Row],[Unit Cost]]</f>
        <v>553800</v>
      </c>
      <c r="T1294" s="33">
        <f>Table1_1[[#This Row],[Sales Amount]]-S1294</f>
        <v>264939.94999999995</v>
      </c>
      <c r="U1294" s="32">
        <f>IFERROR(Table1_1[[#This Row],[Profit/loss]]/Table1_1[[#This Row],[Sales Amount]],0)</f>
        <v>0.32359475068976418</v>
      </c>
    </row>
    <row r="1295" spans="1:21" ht="18" x14ac:dyDescent="0.35">
      <c r="A1295" s="21" t="s">
        <v>1402</v>
      </c>
      <c r="B1295" s="36">
        <v>45920</v>
      </c>
      <c r="C1295" s="22">
        <f>YEAR(Table1_1[[#This Row],[Order Date]])</f>
        <v>2025</v>
      </c>
      <c r="D1295" s="22" t="str">
        <f>TEXT(Table1_1[[#This Row],[Order Date]],"MMMM")</f>
        <v>September</v>
      </c>
      <c r="E1295" s="22" t="s">
        <v>26</v>
      </c>
      <c r="F1295" s="22" t="s">
        <v>27</v>
      </c>
      <c r="G1295" s="22" t="s">
        <v>105</v>
      </c>
      <c r="H1295" s="22" t="s">
        <v>19</v>
      </c>
      <c r="I1295" s="22" t="s">
        <v>20</v>
      </c>
      <c r="J1295" s="22" t="s">
        <v>45</v>
      </c>
      <c r="K1295" s="22" t="s">
        <v>196</v>
      </c>
      <c r="L1295" s="22" t="s">
        <v>23</v>
      </c>
      <c r="M1295" s="22" t="s">
        <v>24</v>
      </c>
      <c r="N1295" s="22">
        <v>29</v>
      </c>
      <c r="O1295" s="26">
        <v>2499</v>
      </c>
      <c r="P1295" s="22">
        <v>0.1</v>
      </c>
      <c r="Q1295" s="30">
        <v>1510</v>
      </c>
      <c r="R1295" s="33">
        <f>Table1_1[[#This Row],[Units Sold]]*Table1_1[[#This Row],[Unit Price]]*1-Table1_1[[#This Row],[Discount]]</f>
        <v>72470.899999999994</v>
      </c>
      <c r="S1295" s="33">
        <f>Table1_1[[#This Row],[Units Sold]]*Table1_1[[#This Row],[Unit Cost]]</f>
        <v>43790</v>
      </c>
      <c r="T1295" s="33">
        <f>Table1_1[[#This Row],[Sales Amount]]-S1295</f>
        <v>28680.899999999994</v>
      </c>
      <c r="U1295" s="32">
        <f>IFERROR(Table1_1[[#This Row],[Profit/loss]]/Table1_1[[#This Row],[Sales Amount]],0)</f>
        <v>0.39575746954984686</v>
      </c>
    </row>
    <row r="1296" spans="1:21" ht="18" x14ac:dyDescent="0.35">
      <c r="A1296" s="21" t="s">
        <v>1403</v>
      </c>
      <c r="B1296" s="36">
        <v>45920</v>
      </c>
      <c r="C1296" s="22">
        <f>YEAR(Table1_1[[#This Row],[Order Date]])</f>
        <v>2025</v>
      </c>
      <c r="D1296" s="22" t="str">
        <f>TEXT(Table1_1[[#This Row],[Order Date]],"MMMM")</f>
        <v>September</v>
      </c>
      <c r="E1296" s="22" t="s">
        <v>36</v>
      </c>
      <c r="F1296" s="22" t="s">
        <v>121</v>
      </c>
      <c r="G1296" s="22" t="s">
        <v>84</v>
      </c>
      <c r="H1296" s="22" t="s">
        <v>39</v>
      </c>
      <c r="I1296" s="22" t="s">
        <v>70</v>
      </c>
      <c r="J1296" s="22" t="s">
        <v>71</v>
      </c>
      <c r="K1296" s="22" t="s">
        <v>80</v>
      </c>
      <c r="L1296" s="22" t="s">
        <v>23</v>
      </c>
      <c r="M1296" s="22" t="s">
        <v>24</v>
      </c>
      <c r="N1296" s="22">
        <v>21</v>
      </c>
      <c r="O1296" s="26">
        <v>1299</v>
      </c>
      <c r="P1296" s="22">
        <v>0.12</v>
      </c>
      <c r="Q1296" s="30">
        <v>720</v>
      </c>
      <c r="R1296" s="33">
        <f>Table1_1[[#This Row],[Units Sold]]*Table1_1[[#This Row],[Unit Price]]*1-Table1_1[[#This Row],[Discount]]</f>
        <v>27278.880000000001</v>
      </c>
      <c r="S1296" s="33">
        <f>Table1_1[[#This Row],[Units Sold]]*Table1_1[[#This Row],[Unit Cost]]</f>
        <v>15120</v>
      </c>
      <c r="T1296" s="33">
        <f>Table1_1[[#This Row],[Sales Amount]]-S1296</f>
        <v>12158.880000000001</v>
      </c>
      <c r="U1296" s="32">
        <f>IFERROR(Table1_1[[#This Row],[Profit/loss]]/Table1_1[[#This Row],[Sales Amount]],0)</f>
        <v>0.44572504442997662</v>
      </c>
    </row>
    <row r="1297" spans="1:21" ht="18" x14ac:dyDescent="0.35">
      <c r="A1297" s="21" t="s">
        <v>1404</v>
      </c>
      <c r="B1297" s="36">
        <v>45920</v>
      </c>
      <c r="C1297" s="22">
        <f>YEAR(Table1_1[[#This Row],[Order Date]])</f>
        <v>2025</v>
      </c>
      <c r="D1297" s="22" t="str">
        <f>TEXT(Table1_1[[#This Row],[Order Date]],"MMMM")</f>
        <v>September</v>
      </c>
      <c r="E1297" s="22" t="s">
        <v>48</v>
      </c>
      <c r="F1297" s="22" t="s">
        <v>136</v>
      </c>
      <c r="G1297" s="22" t="s">
        <v>84</v>
      </c>
      <c r="H1297" s="22" t="s">
        <v>39</v>
      </c>
      <c r="I1297" s="22" t="s">
        <v>20</v>
      </c>
      <c r="J1297" s="22" t="s">
        <v>45</v>
      </c>
      <c r="K1297" s="22" t="s">
        <v>1622</v>
      </c>
      <c r="L1297" s="22" t="s">
        <v>57</v>
      </c>
      <c r="M1297" s="22" t="s">
        <v>24</v>
      </c>
      <c r="N1297" s="22">
        <v>34</v>
      </c>
      <c r="O1297" s="26">
        <v>1599</v>
      </c>
      <c r="P1297" s="22">
        <v>0.05</v>
      </c>
      <c r="Q1297" s="30">
        <v>920</v>
      </c>
      <c r="R1297" s="33">
        <f>Table1_1[[#This Row],[Units Sold]]*Table1_1[[#This Row],[Unit Price]]*1-Table1_1[[#This Row],[Discount]]</f>
        <v>54365.95</v>
      </c>
      <c r="S1297" s="33">
        <f>Table1_1[[#This Row],[Units Sold]]*Table1_1[[#This Row],[Unit Cost]]</f>
        <v>31280</v>
      </c>
      <c r="T1297" s="33">
        <f>Table1_1[[#This Row],[Sales Amount]]-S1297</f>
        <v>23085.949999999997</v>
      </c>
      <c r="U1297" s="32">
        <f>IFERROR(Table1_1[[#This Row],[Profit/loss]]/Table1_1[[#This Row],[Sales Amount]],0)</f>
        <v>0.42463987109578694</v>
      </c>
    </row>
    <row r="1298" spans="1:21" ht="18" x14ac:dyDescent="0.35">
      <c r="A1298" s="21" t="s">
        <v>1405</v>
      </c>
      <c r="B1298" s="36">
        <v>45922</v>
      </c>
      <c r="C1298" s="22">
        <f>YEAR(Table1_1[[#This Row],[Order Date]])</f>
        <v>2025</v>
      </c>
      <c r="D1298" s="22" t="str">
        <f>TEXT(Table1_1[[#This Row],[Order Date]],"MMMM")</f>
        <v>September</v>
      </c>
      <c r="E1298" s="22" t="s">
        <v>82</v>
      </c>
      <c r="F1298" s="22" t="s">
        <v>100</v>
      </c>
      <c r="G1298" s="22" t="s">
        <v>101</v>
      </c>
      <c r="H1298" s="22" t="s">
        <v>29</v>
      </c>
      <c r="I1298" s="22" t="s">
        <v>30</v>
      </c>
      <c r="J1298" s="22" t="s">
        <v>31</v>
      </c>
      <c r="K1298" s="22" t="s">
        <v>106</v>
      </c>
      <c r="L1298" s="22" t="s">
        <v>57</v>
      </c>
      <c r="M1298" s="22" t="s">
        <v>66</v>
      </c>
      <c r="N1298" s="22">
        <v>38</v>
      </c>
      <c r="O1298" s="26">
        <v>52990</v>
      </c>
      <c r="P1298" s="22">
        <v>0.15</v>
      </c>
      <c r="Q1298" s="30">
        <v>35100</v>
      </c>
      <c r="R1298" s="33">
        <f>Table1_1[[#This Row],[Units Sold]]*Table1_1[[#This Row],[Unit Price]]*1-Table1_1[[#This Row],[Discount]]</f>
        <v>2013619.85</v>
      </c>
      <c r="S1298" s="33">
        <f>Table1_1[[#This Row],[Units Sold]]*Table1_1[[#This Row],[Unit Cost]]</f>
        <v>1333800</v>
      </c>
      <c r="T1298" s="33">
        <f>Table1_1[[#This Row],[Sales Amount]]-S1298</f>
        <v>679819.85000000009</v>
      </c>
      <c r="U1298" s="32">
        <f>IFERROR(Table1_1[[#This Row],[Profit/loss]]/Table1_1[[#This Row],[Sales Amount]],0)</f>
        <v>0.33761082063230557</v>
      </c>
    </row>
    <row r="1299" spans="1:21" ht="18" x14ac:dyDescent="0.35">
      <c r="A1299" s="21" t="s">
        <v>1406</v>
      </c>
      <c r="B1299" s="36">
        <v>45923</v>
      </c>
      <c r="C1299" s="22">
        <f>YEAR(Table1_1[[#This Row],[Order Date]])</f>
        <v>2025</v>
      </c>
      <c r="D1299" s="22" t="str">
        <f>TEXT(Table1_1[[#This Row],[Order Date]],"MMMM")</f>
        <v>September</v>
      </c>
      <c r="E1299" s="22" t="s">
        <v>48</v>
      </c>
      <c r="F1299" s="22" t="s">
        <v>49</v>
      </c>
      <c r="G1299" s="22" t="s">
        <v>38</v>
      </c>
      <c r="H1299" s="22" t="s">
        <v>29</v>
      </c>
      <c r="I1299" s="22" t="s">
        <v>30</v>
      </c>
      <c r="J1299" s="22" t="s">
        <v>31</v>
      </c>
      <c r="K1299" s="22" t="s">
        <v>85</v>
      </c>
      <c r="L1299" s="22" t="s">
        <v>57</v>
      </c>
      <c r="M1299" s="22" t="s">
        <v>66</v>
      </c>
      <c r="N1299" s="22">
        <v>12</v>
      </c>
      <c r="O1299" s="26">
        <v>43500</v>
      </c>
      <c r="P1299" s="22">
        <v>0.15</v>
      </c>
      <c r="Q1299" s="30">
        <v>29520</v>
      </c>
      <c r="R1299" s="33">
        <f>Table1_1[[#This Row],[Units Sold]]*Table1_1[[#This Row],[Unit Price]]*1-Table1_1[[#This Row],[Discount]]</f>
        <v>521999.85</v>
      </c>
      <c r="S1299" s="33">
        <f>Table1_1[[#This Row],[Units Sold]]*Table1_1[[#This Row],[Unit Cost]]</f>
        <v>354240</v>
      </c>
      <c r="T1299" s="33">
        <f>Table1_1[[#This Row],[Sales Amount]]-S1299</f>
        <v>167759.84999999998</v>
      </c>
      <c r="U1299" s="32">
        <f>IFERROR(Table1_1[[#This Row],[Profit/loss]]/Table1_1[[#This Row],[Sales Amount]],0)</f>
        <v>0.32137911533882624</v>
      </c>
    </row>
    <row r="1300" spans="1:21" ht="18" x14ac:dyDescent="0.35">
      <c r="A1300" s="21" t="s">
        <v>1407</v>
      </c>
      <c r="B1300" s="36">
        <v>45924</v>
      </c>
      <c r="C1300" s="22">
        <f>YEAR(Table1_1[[#This Row],[Order Date]])</f>
        <v>2025</v>
      </c>
      <c r="D1300" s="22" t="str">
        <f>TEXT(Table1_1[[#This Row],[Order Date]],"MMMM")</f>
        <v>September</v>
      </c>
      <c r="E1300" s="22" t="s">
        <v>36</v>
      </c>
      <c r="F1300" s="22" t="s">
        <v>37</v>
      </c>
      <c r="G1300" s="22" t="s">
        <v>75</v>
      </c>
      <c r="H1300" s="22" t="s">
        <v>19</v>
      </c>
      <c r="I1300" s="22" t="s">
        <v>20</v>
      </c>
      <c r="J1300" s="22" t="s">
        <v>45</v>
      </c>
      <c r="K1300" s="22" t="s">
        <v>1622</v>
      </c>
      <c r="L1300" s="22" t="s">
        <v>33</v>
      </c>
      <c r="M1300" s="22" t="s">
        <v>24</v>
      </c>
      <c r="N1300" s="22">
        <v>9</v>
      </c>
      <c r="O1300" s="26">
        <v>1599</v>
      </c>
      <c r="P1300" s="22">
        <v>0.2</v>
      </c>
      <c r="Q1300" s="30">
        <v>920</v>
      </c>
      <c r="R1300" s="33">
        <f>Table1_1[[#This Row],[Units Sold]]*Table1_1[[#This Row],[Unit Price]]*1-Table1_1[[#This Row],[Discount]]</f>
        <v>14390.8</v>
      </c>
      <c r="S1300" s="33">
        <f>Table1_1[[#This Row],[Units Sold]]*Table1_1[[#This Row],[Unit Cost]]</f>
        <v>8280</v>
      </c>
      <c r="T1300" s="33">
        <f>Table1_1[[#This Row],[Sales Amount]]-S1300</f>
        <v>6110.7999999999993</v>
      </c>
      <c r="U1300" s="32">
        <f>IFERROR(Table1_1[[#This Row],[Profit/loss]]/Table1_1[[#This Row],[Sales Amount]],0)</f>
        <v>0.42463240403591179</v>
      </c>
    </row>
    <row r="1301" spans="1:21" ht="18" x14ac:dyDescent="0.35">
      <c r="A1301" s="21" t="s">
        <v>1408</v>
      </c>
      <c r="B1301" s="36">
        <v>45924</v>
      </c>
      <c r="C1301" s="22">
        <f>YEAR(Table1_1[[#This Row],[Order Date]])</f>
        <v>2025</v>
      </c>
      <c r="D1301" s="22" t="str">
        <f>TEXT(Table1_1[[#This Row],[Order Date]],"MMMM")</f>
        <v>September</v>
      </c>
      <c r="E1301" s="22" t="s">
        <v>36</v>
      </c>
      <c r="F1301" s="22" t="s">
        <v>59</v>
      </c>
      <c r="G1301" s="22" t="s">
        <v>60</v>
      </c>
      <c r="H1301" s="22" t="s">
        <v>29</v>
      </c>
      <c r="I1301" s="22" t="s">
        <v>20</v>
      </c>
      <c r="J1301" s="22" t="s">
        <v>21</v>
      </c>
      <c r="K1301" s="22" t="s">
        <v>115</v>
      </c>
      <c r="L1301" s="22" t="s">
        <v>23</v>
      </c>
      <c r="M1301" s="22" t="s">
        <v>24</v>
      </c>
      <c r="N1301" s="22">
        <v>27</v>
      </c>
      <c r="O1301" s="26">
        <v>6499</v>
      </c>
      <c r="P1301" s="22">
        <v>0.2</v>
      </c>
      <c r="Q1301" s="30">
        <v>4210</v>
      </c>
      <c r="R1301" s="33">
        <f>Table1_1[[#This Row],[Units Sold]]*Table1_1[[#This Row],[Unit Price]]*1-Table1_1[[#This Row],[Discount]]</f>
        <v>175472.8</v>
      </c>
      <c r="S1301" s="33">
        <f>Table1_1[[#This Row],[Units Sold]]*Table1_1[[#This Row],[Unit Cost]]</f>
        <v>113670</v>
      </c>
      <c r="T1301" s="33">
        <f>Table1_1[[#This Row],[Sales Amount]]-S1301</f>
        <v>61802.799999999988</v>
      </c>
      <c r="U1301" s="32">
        <f>IFERROR(Table1_1[[#This Row],[Profit/loss]]/Table1_1[[#This Row],[Sales Amount]],0)</f>
        <v>0.35220729366602682</v>
      </c>
    </row>
    <row r="1302" spans="1:21" ht="18" x14ac:dyDescent="0.35">
      <c r="A1302" s="21" t="s">
        <v>1409</v>
      </c>
      <c r="B1302" s="36">
        <v>45924</v>
      </c>
      <c r="C1302" s="22">
        <f>YEAR(Table1_1[[#This Row],[Order Date]])</f>
        <v>2025</v>
      </c>
      <c r="D1302" s="22" t="str">
        <f>TEXT(Table1_1[[#This Row],[Order Date]],"MMMM")</f>
        <v>September</v>
      </c>
      <c r="E1302" s="22" t="s">
        <v>36</v>
      </c>
      <c r="F1302" s="22" t="s">
        <v>121</v>
      </c>
      <c r="G1302" s="22" t="s">
        <v>60</v>
      </c>
      <c r="H1302" s="22" t="s">
        <v>19</v>
      </c>
      <c r="I1302" s="22" t="s">
        <v>70</v>
      </c>
      <c r="J1302" s="22" t="s">
        <v>71</v>
      </c>
      <c r="K1302" s="22" t="s">
        <v>88</v>
      </c>
      <c r="L1302" s="22" t="s">
        <v>23</v>
      </c>
      <c r="M1302" s="22" t="s">
        <v>24</v>
      </c>
      <c r="N1302" s="22">
        <v>16</v>
      </c>
      <c r="O1302" s="26">
        <v>999</v>
      </c>
      <c r="P1302" s="22">
        <v>0.15</v>
      </c>
      <c r="Q1302" s="30">
        <v>540</v>
      </c>
      <c r="R1302" s="33">
        <f>Table1_1[[#This Row],[Units Sold]]*Table1_1[[#This Row],[Unit Price]]*1-Table1_1[[#This Row],[Discount]]</f>
        <v>15983.85</v>
      </c>
      <c r="S1302" s="33">
        <f>Table1_1[[#This Row],[Units Sold]]*Table1_1[[#This Row],[Unit Cost]]</f>
        <v>8640</v>
      </c>
      <c r="T1302" s="33">
        <f>Table1_1[[#This Row],[Sales Amount]]-S1302</f>
        <v>7343.85</v>
      </c>
      <c r="U1302" s="32">
        <f>IFERROR(Table1_1[[#This Row],[Profit/loss]]/Table1_1[[#This Row],[Sales Amount]],0)</f>
        <v>0.45945438677164763</v>
      </c>
    </row>
    <row r="1303" spans="1:21" ht="18" x14ac:dyDescent="0.35">
      <c r="A1303" s="21" t="s">
        <v>1410</v>
      </c>
      <c r="B1303" s="36">
        <v>45925</v>
      </c>
      <c r="C1303" s="22">
        <f>YEAR(Table1_1[[#This Row],[Order Date]])</f>
        <v>2025</v>
      </c>
      <c r="D1303" s="22" t="str">
        <f>TEXT(Table1_1[[#This Row],[Order Date]],"MMMM")</f>
        <v>September</v>
      </c>
      <c r="E1303" s="22" t="s">
        <v>48</v>
      </c>
      <c r="F1303" s="22" t="s">
        <v>136</v>
      </c>
      <c r="G1303" s="22" t="s">
        <v>18</v>
      </c>
      <c r="H1303" s="22" t="s">
        <v>39</v>
      </c>
      <c r="I1303" s="22" t="s">
        <v>54</v>
      </c>
      <c r="J1303" s="22" t="s">
        <v>129</v>
      </c>
      <c r="K1303" s="22" t="s">
        <v>1630</v>
      </c>
      <c r="L1303" s="22" t="s">
        <v>23</v>
      </c>
      <c r="M1303" s="22" t="s">
        <v>78</v>
      </c>
      <c r="N1303" s="22">
        <v>39</v>
      </c>
      <c r="O1303" s="26">
        <v>29010</v>
      </c>
      <c r="P1303" s="22">
        <v>0.18</v>
      </c>
      <c r="Q1303" s="30">
        <v>19100</v>
      </c>
      <c r="R1303" s="33">
        <f>Table1_1[[#This Row],[Units Sold]]*Table1_1[[#This Row],[Unit Price]]*1-Table1_1[[#This Row],[Discount]]</f>
        <v>1131389.82</v>
      </c>
      <c r="S1303" s="33">
        <f>Table1_1[[#This Row],[Units Sold]]*Table1_1[[#This Row],[Unit Cost]]</f>
        <v>744900</v>
      </c>
      <c r="T1303" s="33">
        <f>Table1_1[[#This Row],[Sales Amount]]-S1303</f>
        <v>386489.82000000007</v>
      </c>
      <c r="U1303" s="32">
        <f>IFERROR(Table1_1[[#This Row],[Profit/loss]]/Table1_1[[#This Row],[Sales Amount]],0)</f>
        <v>0.34160623789243572</v>
      </c>
    </row>
    <row r="1304" spans="1:21" ht="18" x14ac:dyDescent="0.35">
      <c r="A1304" s="21" t="s">
        <v>1411</v>
      </c>
      <c r="B1304" s="36">
        <v>45925</v>
      </c>
      <c r="C1304" s="22">
        <f>YEAR(Table1_1[[#This Row],[Order Date]])</f>
        <v>2025</v>
      </c>
      <c r="D1304" s="22" t="str">
        <f>TEXT(Table1_1[[#This Row],[Order Date]],"MMMM")</f>
        <v>September</v>
      </c>
      <c r="E1304" s="22" t="s">
        <v>26</v>
      </c>
      <c r="F1304" s="22" t="s">
        <v>53</v>
      </c>
      <c r="G1304" s="22" t="s">
        <v>75</v>
      </c>
      <c r="H1304" s="22" t="s">
        <v>39</v>
      </c>
      <c r="I1304" s="22" t="s">
        <v>30</v>
      </c>
      <c r="J1304" s="22" t="s">
        <v>31</v>
      </c>
      <c r="K1304" s="22" t="s">
        <v>85</v>
      </c>
      <c r="L1304" s="22" t="s">
        <v>23</v>
      </c>
      <c r="M1304" s="22" t="s">
        <v>24</v>
      </c>
      <c r="N1304" s="22">
        <v>5</v>
      </c>
      <c r="O1304" s="26">
        <v>43500</v>
      </c>
      <c r="P1304" s="22">
        <v>0.08</v>
      </c>
      <c r="Q1304" s="30">
        <v>29520</v>
      </c>
      <c r="R1304" s="33">
        <f>Table1_1[[#This Row],[Units Sold]]*Table1_1[[#This Row],[Unit Price]]*1-Table1_1[[#This Row],[Discount]]</f>
        <v>217499.92</v>
      </c>
      <c r="S1304" s="33">
        <f>Table1_1[[#This Row],[Units Sold]]*Table1_1[[#This Row],[Unit Cost]]</f>
        <v>147600</v>
      </c>
      <c r="T1304" s="33">
        <f>Table1_1[[#This Row],[Sales Amount]]-S1304</f>
        <v>69899.920000000013</v>
      </c>
      <c r="U1304" s="32">
        <f>IFERROR(Table1_1[[#This Row],[Profit/loss]]/Table1_1[[#This Row],[Sales Amount]],0)</f>
        <v>0.32137906073712585</v>
      </c>
    </row>
    <row r="1305" spans="1:21" ht="18" x14ac:dyDescent="0.35">
      <c r="A1305" s="21" t="s">
        <v>1412</v>
      </c>
      <c r="B1305" s="36">
        <v>45926</v>
      </c>
      <c r="C1305" s="22">
        <f>YEAR(Table1_1[[#This Row],[Order Date]])</f>
        <v>2025</v>
      </c>
      <c r="D1305" s="22" t="str">
        <f>TEXT(Table1_1[[#This Row],[Order Date]],"MMMM")</f>
        <v>September</v>
      </c>
      <c r="E1305" s="22" t="s">
        <v>16</v>
      </c>
      <c r="F1305" s="22" t="s">
        <v>98</v>
      </c>
      <c r="G1305" s="22" t="s">
        <v>28</v>
      </c>
      <c r="H1305" s="22" t="s">
        <v>29</v>
      </c>
      <c r="I1305" s="22" t="s">
        <v>54</v>
      </c>
      <c r="J1305" s="22" t="s">
        <v>90</v>
      </c>
      <c r="K1305" s="22" t="s">
        <v>1625</v>
      </c>
      <c r="L1305" s="22" t="s">
        <v>23</v>
      </c>
      <c r="M1305" s="22" t="s">
        <v>34</v>
      </c>
      <c r="N1305" s="22">
        <v>39</v>
      </c>
      <c r="O1305" s="26">
        <v>32800</v>
      </c>
      <c r="P1305" s="22">
        <v>0.18</v>
      </c>
      <c r="Q1305" s="30">
        <v>23100</v>
      </c>
      <c r="R1305" s="33">
        <f>Table1_1[[#This Row],[Units Sold]]*Table1_1[[#This Row],[Unit Price]]*1-Table1_1[[#This Row],[Discount]]</f>
        <v>1279199.82</v>
      </c>
      <c r="S1305" s="33">
        <f>Table1_1[[#This Row],[Units Sold]]*Table1_1[[#This Row],[Unit Cost]]</f>
        <v>900900</v>
      </c>
      <c r="T1305" s="33">
        <f>Table1_1[[#This Row],[Sales Amount]]-S1305</f>
        <v>378299.82000000007</v>
      </c>
      <c r="U1305" s="32">
        <f>IFERROR(Table1_1[[#This Row],[Profit/loss]]/Table1_1[[#This Row],[Sales Amount]],0)</f>
        <v>0.2957316082173933</v>
      </c>
    </row>
    <row r="1306" spans="1:21" ht="18" x14ac:dyDescent="0.35">
      <c r="A1306" s="21" t="s">
        <v>1413</v>
      </c>
      <c r="B1306" s="36">
        <v>45926</v>
      </c>
      <c r="C1306" s="22">
        <f>YEAR(Table1_1[[#This Row],[Order Date]])</f>
        <v>2025</v>
      </c>
      <c r="D1306" s="22" t="str">
        <f>TEXT(Table1_1[[#This Row],[Order Date]],"MMMM")</f>
        <v>September</v>
      </c>
      <c r="E1306" s="22" t="s">
        <v>82</v>
      </c>
      <c r="F1306" s="22" t="s">
        <v>87</v>
      </c>
      <c r="G1306" s="22" t="s">
        <v>60</v>
      </c>
      <c r="H1306" s="22" t="s">
        <v>39</v>
      </c>
      <c r="I1306" s="22" t="s">
        <v>30</v>
      </c>
      <c r="J1306" s="22" t="s">
        <v>31</v>
      </c>
      <c r="K1306" s="22" t="s">
        <v>85</v>
      </c>
      <c r="L1306" s="22" t="s">
        <v>23</v>
      </c>
      <c r="M1306" s="22" t="s">
        <v>24</v>
      </c>
      <c r="N1306" s="22">
        <v>34</v>
      </c>
      <c r="O1306" s="26">
        <v>43500</v>
      </c>
      <c r="P1306" s="22">
        <v>0.1</v>
      </c>
      <c r="Q1306" s="30">
        <v>29520</v>
      </c>
      <c r="R1306" s="33">
        <f>Table1_1[[#This Row],[Units Sold]]*Table1_1[[#This Row],[Unit Price]]*1-Table1_1[[#This Row],[Discount]]</f>
        <v>1478999.9</v>
      </c>
      <c r="S1306" s="33">
        <f>Table1_1[[#This Row],[Units Sold]]*Table1_1[[#This Row],[Unit Cost]]</f>
        <v>1003680</v>
      </c>
      <c r="T1306" s="33">
        <f>Table1_1[[#This Row],[Sales Amount]]-S1306</f>
        <v>475319.89999999991</v>
      </c>
      <c r="U1306" s="32">
        <f>IFERROR(Table1_1[[#This Row],[Profit/loss]]/Table1_1[[#This Row],[Sales Amount]],0)</f>
        <v>0.32137926446107262</v>
      </c>
    </row>
    <row r="1307" spans="1:21" ht="18" x14ac:dyDescent="0.35">
      <c r="A1307" s="21" t="s">
        <v>1414</v>
      </c>
      <c r="B1307" s="36">
        <v>45927</v>
      </c>
      <c r="C1307" s="22">
        <f>YEAR(Table1_1[[#This Row],[Order Date]])</f>
        <v>2025</v>
      </c>
      <c r="D1307" s="22" t="str">
        <f>TEXT(Table1_1[[#This Row],[Order Date]],"MMMM")</f>
        <v>September</v>
      </c>
      <c r="E1307" s="22" t="s">
        <v>26</v>
      </c>
      <c r="F1307" s="22" t="s">
        <v>53</v>
      </c>
      <c r="G1307" s="22" t="s">
        <v>84</v>
      </c>
      <c r="H1307" s="22" t="s">
        <v>29</v>
      </c>
      <c r="I1307" s="22" t="s">
        <v>40</v>
      </c>
      <c r="J1307" s="22" t="s">
        <v>76</v>
      </c>
      <c r="K1307" s="22" t="s">
        <v>1626</v>
      </c>
      <c r="L1307" s="22" t="s">
        <v>57</v>
      </c>
      <c r="M1307" s="22" t="s">
        <v>66</v>
      </c>
      <c r="N1307" s="22">
        <v>26</v>
      </c>
      <c r="O1307" s="26">
        <v>25999</v>
      </c>
      <c r="P1307" s="22">
        <v>0.05</v>
      </c>
      <c r="Q1307" s="30">
        <v>17800</v>
      </c>
      <c r="R1307" s="33">
        <f>Table1_1[[#This Row],[Units Sold]]*Table1_1[[#This Row],[Unit Price]]*1-Table1_1[[#This Row],[Discount]]</f>
        <v>675973.95</v>
      </c>
      <c r="S1307" s="33">
        <f>Table1_1[[#This Row],[Units Sold]]*Table1_1[[#This Row],[Unit Cost]]</f>
        <v>462800</v>
      </c>
      <c r="T1307" s="33">
        <f>Table1_1[[#This Row],[Sales Amount]]-S1307</f>
        <v>213173.94999999995</v>
      </c>
      <c r="U1307" s="32">
        <f>IFERROR(Table1_1[[#This Row],[Profit/loss]]/Table1_1[[#This Row],[Sales Amount]],0)</f>
        <v>0.31535823236975324</v>
      </c>
    </row>
    <row r="1308" spans="1:21" ht="18" x14ac:dyDescent="0.35">
      <c r="A1308" s="21" t="s">
        <v>1415</v>
      </c>
      <c r="B1308" s="36">
        <v>45927</v>
      </c>
      <c r="C1308" s="22">
        <f>YEAR(Table1_1[[#This Row],[Order Date]])</f>
        <v>2025</v>
      </c>
      <c r="D1308" s="22" t="str">
        <f>TEXT(Table1_1[[#This Row],[Order Date]],"MMMM")</f>
        <v>September</v>
      </c>
      <c r="E1308" s="22" t="s">
        <v>82</v>
      </c>
      <c r="F1308" s="22" t="s">
        <v>87</v>
      </c>
      <c r="G1308" s="22" t="s">
        <v>50</v>
      </c>
      <c r="H1308" s="22" t="s">
        <v>19</v>
      </c>
      <c r="I1308" s="22" t="s">
        <v>54</v>
      </c>
      <c r="J1308" s="22" t="s">
        <v>129</v>
      </c>
      <c r="K1308" s="22" t="s">
        <v>1630</v>
      </c>
      <c r="L1308" s="22" t="s">
        <v>57</v>
      </c>
      <c r="M1308" s="22" t="s">
        <v>24</v>
      </c>
      <c r="N1308" s="22">
        <v>39</v>
      </c>
      <c r="O1308" s="26">
        <v>29010</v>
      </c>
      <c r="P1308" s="22">
        <v>0.08</v>
      </c>
      <c r="Q1308" s="30">
        <v>19100</v>
      </c>
      <c r="R1308" s="33">
        <f>Table1_1[[#This Row],[Units Sold]]*Table1_1[[#This Row],[Unit Price]]*1-Table1_1[[#This Row],[Discount]]</f>
        <v>1131389.92</v>
      </c>
      <c r="S1308" s="33">
        <f>Table1_1[[#This Row],[Units Sold]]*Table1_1[[#This Row],[Unit Cost]]</f>
        <v>744900</v>
      </c>
      <c r="T1308" s="33">
        <f>Table1_1[[#This Row],[Sales Amount]]-S1308</f>
        <v>386489.91999999993</v>
      </c>
      <c r="U1308" s="32">
        <f>IFERROR(Table1_1[[#This Row],[Profit/loss]]/Table1_1[[#This Row],[Sales Amount]],0)</f>
        <v>0.34160629608579152</v>
      </c>
    </row>
    <row r="1309" spans="1:21" ht="18" x14ac:dyDescent="0.35">
      <c r="A1309" s="21" t="s">
        <v>1416</v>
      </c>
      <c r="B1309" s="36">
        <v>45929</v>
      </c>
      <c r="C1309" s="22">
        <f>YEAR(Table1_1[[#This Row],[Order Date]])</f>
        <v>2025</v>
      </c>
      <c r="D1309" s="22" t="str">
        <f>TEXT(Table1_1[[#This Row],[Order Date]],"MMMM")</f>
        <v>September</v>
      </c>
      <c r="E1309" s="22" t="s">
        <v>48</v>
      </c>
      <c r="F1309" s="22" t="s">
        <v>136</v>
      </c>
      <c r="G1309" s="22" t="s">
        <v>75</v>
      </c>
      <c r="H1309" s="22" t="s">
        <v>19</v>
      </c>
      <c r="I1309" s="22" t="s">
        <v>40</v>
      </c>
      <c r="J1309" s="22" t="s">
        <v>64</v>
      </c>
      <c r="K1309" s="22" t="s">
        <v>1619</v>
      </c>
      <c r="L1309" s="22" t="s">
        <v>33</v>
      </c>
      <c r="M1309" s="22" t="s">
        <v>24</v>
      </c>
      <c r="N1309" s="22">
        <v>33</v>
      </c>
      <c r="O1309" s="26">
        <v>1930</v>
      </c>
      <c r="P1309" s="22">
        <v>0.2</v>
      </c>
      <c r="Q1309" s="30">
        <v>1120</v>
      </c>
      <c r="R1309" s="33">
        <f>Table1_1[[#This Row],[Units Sold]]*Table1_1[[#This Row],[Unit Price]]*1-Table1_1[[#This Row],[Discount]]</f>
        <v>63689.8</v>
      </c>
      <c r="S1309" s="33">
        <f>Table1_1[[#This Row],[Units Sold]]*Table1_1[[#This Row],[Unit Cost]]</f>
        <v>36960</v>
      </c>
      <c r="T1309" s="33">
        <f>Table1_1[[#This Row],[Sales Amount]]-S1309</f>
        <v>26729.800000000003</v>
      </c>
      <c r="U1309" s="32">
        <f>IFERROR(Table1_1[[#This Row],[Profit/loss]]/Table1_1[[#This Row],[Sales Amount]],0)</f>
        <v>0.41968729686700229</v>
      </c>
    </row>
    <row r="1310" spans="1:21" ht="18" x14ac:dyDescent="0.35">
      <c r="A1310" s="21" t="s">
        <v>1417</v>
      </c>
      <c r="B1310" s="36">
        <v>45929</v>
      </c>
      <c r="C1310" s="22">
        <f>YEAR(Table1_1[[#This Row],[Order Date]])</f>
        <v>2025</v>
      </c>
      <c r="D1310" s="22" t="str">
        <f>TEXT(Table1_1[[#This Row],[Order Date]],"MMMM")</f>
        <v>September</v>
      </c>
      <c r="E1310" s="22" t="s">
        <v>36</v>
      </c>
      <c r="F1310" s="22" t="s">
        <v>121</v>
      </c>
      <c r="G1310" s="22" t="s">
        <v>50</v>
      </c>
      <c r="H1310" s="22" t="s">
        <v>39</v>
      </c>
      <c r="I1310" s="22" t="s">
        <v>70</v>
      </c>
      <c r="J1310" s="22" t="s">
        <v>71</v>
      </c>
      <c r="K1310" s="22" t="s">
        <v>88</v>
      </c>
      <c r="L1310" s="22" t="s">
        <v>57</v>
      </c>
      <c r="M1310" s="22" t="s">
        <v>78</v>
      </c>
      <c r="N1310" s="22">
        <v>15</v>
      </c>
      <c r="O1310" s="26">
        <v>999</v>
      </c>
      <c r="P1310" s="22">
        <v>0.18</v>
      </c>
      <c r="Q1310" s="30">
        <v>540</v>
      </c>
      <c r="R1310" s="33">
        <f>Table1_1[[#This Row],[Units Sold]]*Table1_1[[#This Row],[Unit Price]]*1-Table1_1[[#This Row],[Discount]]</f>
        <v>14984.82</v>
      </c>
      <c r="S1310" s="33">
        <f>Table1_1[[#This Row],[Units Sold]]*Table1_1[[#This Row],[Unit Cost]]</f>
        <v>8100</v>
      </c>
      <c r="T1310" s="33">
        <f>Table1_1[[#This Row],[Sales Amount]]-S1310</f>
        <v>6884.82</v>
      </c>
      <c r="U1310" s="32">
        <f>IFERROR(Table1_1[[#This Row],[Profit/loss]]/Table1_1[[#This Row],[Sales Amount]],0)</f>
        <v>0.45945296640199879</v>
      </c>
    </row>
    <row r="1311" spans="1:21" ht="18" x14ac:dyDescent="0.35">
      <c r="A1311" s="21" t="s">
        <v>1418</v>
      </c>
      <c r="B1311" s="36">
        <v>45929</v>
      </c>
      <c r="C1311" s="22">
        <f>YEAR(Table1_1[[#This Row],[Order Date]])</f>
        <v>2025</v>
      </c>
      <c r="D1311" s="22" t="str">
        <f>TEXT(Table1_1[[#This Row],[Order Date]],"MMMM")</f>
        <v>September</v>
      </c>
      <c r="E1311" s="22" t="s">
        <v>26</v>
      </c>
      <c r="F1311" s="22" t="s">
        <v>74</v>
      </c>
      <c r="G1311" s="22" t="s">
        <v>28</v>
      </c>
      <c r="H1311" s="22" t="s">
        <v>19</v>
      </c>
      <c r="I1311" s="22" t="s">
        <v>20</v>
      </c>
      <c r="J1311" s="22" t="s">
        <v>45</v>
      </c>
      <c r="K1311" s="22" t="s">
        <v>1622</v>
      </c>
      <c r="L1311" s="22" t="s">
        <v>57</v>
      </c>
      <c r="M1311" s="22" t="s">
        <v>66</v>
      </c>
      <c r="N1311" s="22">
        <v>26</v>
      </c>
      <c r="O1311" s="26">
        <v>1599</v>
      </c>
      <c r="P1311" s="22">
        <v>0.08</v>
      </c>
      <c r="Q1311" s="30">
        <v>920</v>
      </c>
      <c r="R1311" s="33">
        <f>Table1_1[[#This Row],[Units Sold]]*Table1_1[[#This Row],[Unit Price]]*1-Table1_1[[#This Row],[Discount]]</f>
        <v>41573.919999999998</v>
      </c>
      <c r="S1311" s="33">
        <f>Table1_1[[#This Row],[Units Sold]]*Table1_1[[#This Row],[Unit Cost]]</f>
        <v>23920</v>
      </c>
      <c r="T1311" s="33">
        <f>Table1_1[[#This Row],[Sales Amount]]-S1311</f>
        <v>17653.919999999998</v>
      </c>
      <c r="U1311" s="32">
        <f>IFERROR(Table1_1[[#This Row],[Profit/loss]]/Table1_1[[#This Row],[Sales Amount]],0)</f>
        <v>0.42463929309528664</v>
      </c>
    </row>
    <row r="1312" spans="1:21" ht="18" x14ac:dyDescent="0.35">
      <c r="A1312" s="21" t="s">
        <v>1419</v>
      </c>
      <c r="B1312" s="36">
        <v>45929</v>
      </c>
      <c r="C1312" s="22">
        <f>YEAR(Table1_1[[#This Row],[Order Date]])</f>
        <v>2025</v>
      </c>
      <c r="D1312" s="22" t="str">
        <f>TEXT(Table1_1[[#This Row],[Order Date]],"MMMM")</f>
        <v>September</v>
      </c>
      <c r="E1312" s="22" t="s">
        <v>26</v>
      </c>
      <c r="F1312" s="22" t="s">
        <v>27</v>
      </c>
      <c r="G1312" s="22" t="s">
        <v>105</v>
      </c>
      <c r="H1312" s="22" t="s">
        <v>29</v>
      </c>
      <c r="I1312" s="22" t="s">
        <v>70</v>
      </c>
      <c r="J1312" s="22" t="s">
        <v>71</v>
      </c>
      <c r="K1312" s="22" t="s">
        <v>80</v>
      </c>
      <c r="L1312" s="22" t="s">
        <v>23</v>
      </c>
      <c r="M1312" s="22" t="s">
        <v>66</v>
      </c>
      <c r="N1312" s="22">
        <v>18</v>
      </c>
      <c r="O1312" s="26">
        <v>1299</v>
      </c>
      <c r="P1312" s="22">
        <v>0.15</v>
      </c>
      <c r="Q1312" s="30">
        <v>720</v>
      </c>
      <c r="R1312" s="33">
        <f>Table1_1[[#This Row],[Units Sold]]*Table1_1[[#This Row],[Unit Price]]*1-Table1_1[[#This Row],[Discount]]</f>
        <v>23381.85</v>
      </c>
      <c r="S1312" s="33">
        <f>Table1_1[[#This Row],[Units Sold]]*Table1_1[[#This Row],[Unit Cost]]</f>
        <v>12960</v>
      </c>
      <c r="T1312" s="33">
        <f>Table1_1[[#This Row],[Sales Amount]]-S1312</f>
        <v>10421.849999999999</v>
      </c>
      <c r="U1312" s="32">
        <f>IFERROR(Table1_1[[#This Row],[Profit/loss]]/Table1_1[[#This Row],[Sales Amount]],0)</f>
        <v>0.44572392689201235</v>
      </c>
    </row>
    <row r="1313" spans="1:21" ht="18" x14ac:dyDescent="0.35">
      <c r="A1313" s="21" t="s">
        <v>1420</v>
      </c>
      <c r="B1313" s="36">
        <v>45930</v>
      </c>
      <c r="C1313" s="22">
        <f>YEAR(Table1_1[[#This Row],[Order Date]])</f>
        <v>2025</v>
      </c>
      <c r="D1313" s="22" t="str">
        <f>TEXT(Table1_1[[#This Row],[Order Date]],"MMMM")</f>
        <v>September</v>
      </c>
      <c r="E1313" s="22" t="s">
        <v>82</v>
      </c>
      <c r="F1313" s="22" t="s">
        <v>83</v>
      </c>
      <c r="G1313" s="22" t="s">
        <v>75</v>
      </c>
      <c r="H1313" s="22" t="s">
        <v>39</v>
      </c>
      <c r="I1313" s="22" t="s">
        <v>40</v>
      </c>
      <c r="J1313" s="22" t="s">
        <v>64</v>
      </c>
      <c r="K1313" s="22" t="s">
        <v>1619</v>
      </c>
      <c r="L1313" s="22" t="s">
        <v>23</v>
      </c>
      <c r="M1313" s="22" t="s">
        <v>34</v>
      </c>
      <c r="N1313" s="22">
        <v>32</v>
      </c>
      <c r="O1313" s="26">
        <v>1930</v>
      </c>
      <c r="P1313" s="22">
        <v>0.18</v>
      </c>
      <c r="Q1313" s="30">
        <v>1120</v>
      </c>
      <c r="R1313" s="33">
        <f>Table1_1[[#This Row],[Units Sold]]*Table1_1[[#This Row],[Unit Price]]*1-Table1_1[[#This Row],[Discount]]</f>
        <v>61759.82</v>
      </c>
      <c r="S1313" s="33">
        <f>Table1_1[[#This Row],[Units Sold]]*Table1_1[[#This Row],[Unit Cost]]</f>
        <v>35840</v>
      </c>
      <c r="T1313" s="33">
        <f>Table1_1[[#This Row],[Sales Amount]]-S1313</f>
        <v>25919.82</v>
      </c>
      <c r="U1313" s="32">
        <f>IFERROR(Table1_1[[#This Row],[Profit/loss]]/Table1_1[[#This Row],[Sales Amount]],0)</f>
        <v>0.41968742784548269</v>
      </c>
    </row>
    <row r="1314" spans="1:21" ht="18" x14ac:dyDescent="0.35">
      <c r="A1314" s="21" t="s">
        <v>1421</v>
      </c>
      <c r="B1314" s="36">
        <v>45930</v>
      </c>
      <c r="C1314" s="22">
        <f>YEAR(Table1_1[[#This Row],[Order Date]])</f>
        <v>2025</v>
      </c>
      <c r="D1314" s="22" t="str">
        <f>TEXT(Table1_1[[#This Row],[Order Date]],"MMMM")</f>
        <v>September</v>
      </c>
      <c r="E1314" s="22" t="s">
        <v>16</v>
      </c>
      <c r="F1314" s="22" t="s">
        <v>126</v>
      </c>
      <c r="G1314" s="22" t="s">
        <v>38</v>
      </c>
      <c r="H1314" s="22" t="s">
        <v>19</v>
      </c>
      <c r="I1314" s="22" t="s">
        <v>20</v>
      </c>
      <c r="J1314" s="22" t="s">
        <v>21</v>
      </c>
      <c r="K1314" s="22" t="s">
        <v>51</v>
      </c>
      <c r="L1314" s="22" t="s">
        <v>57</v>
      </c>
      <c r="M1314" s="22" t="s">
        <v>24</v>
      </c>
      <c r="N1314" s="22">
        <v>32</v>
      </c>
      <c r="O1314" s="26">
        <v>5999</v>
      </c>
      <c r="P1314" s="22">
        <v>0.1</v>
      </c>
      <c r="Q1314" s="30">
        <v>3890</v>
      </c>
      <c r="R1314" s="33">
        <f>Table1_1[[#This Row],[Units Sold]]*Table1_1[[#This Row],[Unit Price]]*1-Table1_1[[#This Row],[Discount]]</f>
        <v>191967.9</v>
      </c>
      <c r="S1314" s="33">
        <f>Table1_1[[#This Row],[Units Sold]]*Table1_1[[#This Row],[Unit Cost]]</f>
        <v>124480</v>
      </c>
      <c r="T1314" s="33">
        <f>Table1_1[[#This Row],[Sales Amount]]-S1314</f>
        <v>67487.899999999994</v>
      </c>
      <c r="U1314" s="32">
        <f>IFERROR(Table1_1[[#This Row],[Profit/loss]]/Table1_1[[#This Row],[Sales Amount]],0)</f>
        <v>0.3515582553124767</v>
      </c>
    </row>
    <row r="1315" spans="1:21" ht="18" x14ac:dyDescent="0.35">
      <c r="A1315" s="21" t="s">
        <v>1422</v>
      </c>
      <c r="B1315" s="36">
        <v>45931</v>
      </c>
      <c r="C1315" s="22">
        <f>YEAR(Table1_1[[#This Row],[Order Date]])</f>
        <v>2025</v>
      </c>
      <c r="D1315" s="22" t="str">
        <f>TEXT(Table1_1[[#This Row],[Order Date]],"MMMM")</f>
        <v>October</v>
      </c>
      <c r="E1315" s="22" t="s">
        <v>16</v>
      </c>
      <c r="F1315" s="22" t="s">
        <v>17</v>
      </c>
      <c r="G1315" s="22" t="s">
        <v>18</v>
      </c>
      <c r="H1315" s="22" t="s">
        <v>29</v>
      </c>
      <c r="I1315" s="22" t="s">
        <v>40</v>
      </c>
      <c r="J1315" s="22" t="s">
        <v>64</v>
      </c>
      <c r="K1315" s="22" t="s">
        <v>1627</v>
      </c>
      <c r="L1315" s="22" t="s">
        <v>57</v>
      </c>
      <c r="M1315" s="22" t="s">
        <v>66</v>
      </c>
      <c r="N1315" s="22">
        <v>7</v>
      </c>
      <c r="O1315" s="26">
        <v>4490</v>
      </c>
      <c r="P1315" s="22">
        <v>0.12</v>
      </c>
      <c r="Q1315" s="30">
        <v>2950</v>
      </c>
      <c r="R1315" s="33">
        <f>Table1_1[[#This Row],[Units Sold]]*Table1_1[[#This Row],[Unit Price]]*1-Table1_1[[#This Row],[Discount]]</f>
        <v>31429.88</v>
      </c>
      <c r="S1315" s="33">
        <f>Table1_1[[#This Row],[Units Sold]]*Table1_1[[#This Row],[Unit Cost]]</f>
        <v>20650</v>
      </c>
      <c r="T1315" s="33">
        <f>Table1_1[[#This Row],[Sales Amount]]-S1315</f>
        <v>10779.880000000001</v>
      </c>
      <c r="U1315" s="32">
        <f>IFERROR(Table1_1[[#This Row],[Profit/loss]]/Table1_1[[#This Row],[Sales Amount]],0)</f>
        <v>0.34298190129901868</v>
      </c>
    </row>
    <row r="1316" spans="1:21" ht="18" x14ac:dyDescent="0.35">
      <c r="A1316" s="21" t="s">
        <v>1423</v>
      </c>
      <c r="B1316" s="36">
        <v>45931</v>
      </c>
      <c r="C1316" s="22">
        <f>YEAR(Table1_1[[#This Row],[Order Date]])</f>
        <v>2025</v>
      </c>
      <c r="D1316" s="22" t="str">
        <f>TEXT(Table1_1[[#This Row],[Order Date]],"MMMM")</f>
        <v>October</v>
      </c>
      <c r="E1316" s="22" t="s">
        <v>48</v>
      </c>
      <c r="F1316" s="22" t="s">
        <v>136</v>
      </c>
      <c r="G1316" s="22" t="s">
        <v>75</v>
      </c>
      <c r="H1316" s="22" t="s">
        <v>19</v>
      </c>
      <c r="I1316" s="22" t="s">
        <v>54</v>
      </c>
      <c r="J1316" s="22" t="s">
        <v>55</v>
      </c>
      <c r="K1316" s="22" t="s">
        <v>1623</v>
      </c>
      <c r="L1316" s="22" t="s">
        <v>23</v>
      </c>
      <c r="M1316" s="22" t="s">
        <v>34</v>
      </c>
      <c r="N1316" s="22">
        <v>6</v>
      </c>
      <c r="O1316" s="26">
        <v>5890</v>
      </c>
      <c r="P1316" s="22">
        <v>0.2</v>
      </c>
      <c r="Q1316" s="30">
        <v>3980</v>
      </c>
      <c r="R1316" s="33">
        <f>Table1_1[[#This Row],[Units Sold]]*Table1_1[[#This Row],[Unit Price]]*1-Table1_1[[#This Row],[Discount]]</f>
        <v>35339.800000000003</v>
      </c>
      <c r="S1316" s="33">
        <f>Table1_1[[#This Row],[Units Sold]]*Table1_1[[#This Row],[Unit Cost]]</f>
        <v>23880</v>
      </c>
      <c r="T1316" s="33">
        <f>Table1_1[[#This Row],[Sales Amount]]-S1316</f>
        <v>11459.800000000003</v>
      </c>
      <c r="U1316" s="32">
        <f>IFERROR(Table1_1[[#This Row],[Profit/loss]]/Table1_1[[#This Row],[Sales Amount]],0)</f>
        <v>0.32427461389141993</v>
      </c>
    </row>
    <row r="1317" spans="1:21" ht="18" x14ac:dyDescent="0.35">
      <c r="A1317" s="21" t="s">
        <v>1424</v>
      </c>
      <c r="B1317" s="36">
        <v>45931</v>
      </c>
      <c r="C1317" s="22">
        <f>YEAR(Table1_1[[#This Row],[Order Date]])</f>
        <v>2025</v>
      </c>
      <c r="D1317" s="22" t="str">
        <f>TEXT(Table1_1[[#This Row],[Order Date]],"MMMM")</f>
        <v>October</v>
      </c>
      <c r="E1317" s="22" t="s">
        <v>36</v>
      </c>
      <c r="F1317" s="22" t="s">
        <v>121</v>
      </c>
      <c r="G1317" s="22" t="s">
        <v>69</v>
      </c>
      <c r="H1317" s="22" t="s">
        <v>39</v>
      </c>
      <c r="I1317" s="22" t="s">
        <v>40</v>
      </c>
      <c r="J1317" s="22" t="s">
        <v>41</v>
      </c>
      <c r="K1317" s="22" t="s">
        <v>42</v>
      </c>
      <c r="L1317" s="22" t="s">
        <v>33</v>
      </c>
      <c r="M1317" s="22" t="s">
        <v>78</v>
      </c>
      <c r="N1317" s="22">
        <v>19</v>
      </c>
      <c r="O1317" s="26">
        <v>55230</v>
      </c>
      <c r="P1317" s="22">
        <v>0.18</v>
      </c>
      <c r="Q1317" s="30">
        <v>33800</v>
      </c>
      <c r="R1317" s="33">
        <f>Table1_1[[#This Row],[Units Sold]]*Table1_1[[#This Row],[Unit Price]]*1-Table1_1[[#This Row],[Discount]]</f>
        <v>1049369.82</v>
      </c>
      <c r="S1317" s="33">
        <f>Table1_1[[#This Row],[Units Sold]]*Table1_1[[#This Row],[Unit Cost]]</f>
        <v>642200</v>
      </c>
      <c r="T1317" s="33">
        <f>Table1_1[[#This Row],[Sales Amount]]-S1317</f>
        <v>407169.82000000007</v>
      </c>
      <c r="U1317" s="32">
        <f>IFERROR(Table1_1[[#This Row],[Profit/loss]]/Table1_1[[#This Row],[Sales Amount]],0)</f>
        <v>0.38801365566240514</v>
      </c>
    </row>
    <row r="1318" spans="1:21" ht="18" x14ac:dyDescent="0.35">
      <c r="A1318" s="21" t="s">
        <v>1425</v>
      </c>
      <c r="B1318" s="36">
        <v>45931</v>
      </c>
      <c r="C1318" s="22">
        <f>YEAR(Table1_1[[#This Row],[Order Date]])</f>
        <v>2025</v>
      </c>
      <c r="D1318" s="22" t="str">
        <f>TEXT(Table1_1[[#This Row],[Order Date]],"MMMM")</f>
        <v>October</v>
      </c>
      <c r="E1318" s="22" t="s">
        <v>36</v>
      </c>
      <c r="F1318" s="22" t="s">
        <v>59</v>
      </c>
      <c r="G1318" s="22" t="s">
        <v>101</v>
      </c>
      <c r="H1318" s="22" t="s">
        <v>29</v>
      </c>
      <c r="I1318" s="22" t="s">
        <v>30</v>
      </c>
      <c r="J1318" s="22" t="s">
        <v>31</v>
      </c>
      <c r="K1318" s="22" t="s">
        <v>106</v>
      </c>
      <c r="L1318" s="22" t="s">
        <v>33</v>
      </c>
      <c r="M1318" s="22" t="s">
        <v>24</v>
      </c>
      <c r="N1318" s="22">
        <v>15</v>
      </c>
      <c r="O1318" s="26">
        <v>52990</v>
      </c>
      <c r="P1318" s="22">
        <v>0.05</v>
      </c>
      <c r="Q1318" s="30">
        <v>35100</v>
      </c>
      <c r="R1318" s="33">
        <f>Table1_1[[#This Row],[Units Sold]]*Table1_1[[#This Row],[Unit Price]]*1-Table1_1[[#This Row],[Discount]]</f>
        <v>794849.95</v>
      </c>
      <c r="S1318" s="33">
        <f>Table1_1[[#This Row],[Units Sold]]*Table1_1[[#This Row],[Unit Cost]]</f>
        <v>526500</v>
      </c>
      <c r="T1318" s="33">
        <f>Table1_1[[#This Row],[Sales Amount]]-S1318</f>
        <v>268349.94999999995</v>
      </c>
      <c r="U1318" s="32">
        <f>IFERROR(Table1_1[[#This Row],[Profit/loss]]/Table1_1[[#This Row],[Sales Amount]],0)</f>
        <v>0.33761082830790889</v>
      </c>
    </row>
    <row r="1319" spans="1:21" ht="18" x14ac:dyDescent="0.35">
      <c r="A1319" s="21" t="s">
        <v>1426</v>
      </c>
      <c r="B1319" s="36">
        <v>45932</v>
      </c>
      <c r="C1319" s="22">
        <f>YEAR(Table1_1[[#This Row],[Order Date]])</f>
        <v>2025</v>
      </c>
      <c r="D1319" s="22" t="str">
        <f>TEXT(Table1_1[[#This Row],[Order Date]],"MMMM")</f>
        <v>October</v>
      </c>
      <c r="E1319" s="22" t="s">
        <v>16</v>
      </c>
      <c r="F1319" s="22" t="s">
        <v>111</v>
      </c>
      <c r="G1319" s="22" t="s">
        <v>75</v>
      </c>
      <c r="H1319" s="22" t="s">
        <v>29</v>
      </c>
      <c r="I1319" s="22" t="s">
        <v>54</v>
      </c>
      <c r="J1319" s="22" t="s">
        <v>90</v>
      </c>
      <c r="K1319" s="22" t="s">
        <v>1631</v>
      </c>
      <c r="L1319" s="22" t="s">
        <v>23</v>
      </c>
      <c r="M1319" s="22" t="s">
        <v>34</v>
      </c>
      <c r="N1319" s="22">
        <v>7</v>
      </c>
      <c r="O1319" s="26">
        <v>29010</v>
      </c>
      <c r="P1319" s="22">
        <v>0.18</v>
      </c>
      <c r="Q1319" s="30">
        <v>19150</v>
      </c>
      <c r="R1319" s="33">
        <f>Table1_1[[#This Row],[Units Sold]]*Table1_1[[#This Row],[Unit Price]]*1-Table1_1[[#This Row],[Discount]]</f>
        <v>203069.82</v>
      </c>
      <c r="S1319" s="33">
        <f>Table1_1[[#This Row],[Units Sold]]*Table1_1[[#This Row],[Unit Cost]]</f>
        <v>134050</v>
      </c>
      <c r="T1319" s="33">
        <f>Table1_1[[#This Row],[Sales Amount]]-S1319</f>
        <v>69019.820000000007</v>
      </c>
      <c r="U1319" s="32">
        <f>IFERROR(Table1_1[[#This Row],[Profit/loss]]/Table1_1[[#This Row],[Sales Amount]],0)</f>
        <v>0.33988221391046686</v>
      </c>
    </row>
    <row r="1320" spans="1:21" ht="18" x14ac:dyDescent="0.35">
      <c r="A1320" s="21" t="s">
        <v>1427</v>
      </c>
      <c r="B1320" s="36">
        <v>45932</v>
      </c>
      <c r="C1320" s="22">
        <f>YEAR(Table1_1[[#This Row],[Order Date]])</f>
        <v>2025</v>
      </c>
      <c r="D1320" s="22" t="str">
        <f>TEXT(Table1_1[[#This Row],[Order Date]],"MMMM")</f>
        <v>October</v>
      </c>
      <c r="E1320" s="22" t="s">
        <v>48</v>
      </c>
      <c r="F1320" s="22" t="s">
        <v>136</v>
      </c>
      <c r="G1320" s="22" t="s">
        <v>101</v>
      </c>
      <c r="H1320" s="22" t="s">
        <v>29</v>
      </c>
      <c r="I1320" s="22" t="s">
        <v>20</v>
      </c>
      <c r="J1320" s="22" t="s">
        <v>45</v>
      </c>
      <c r="K1320" s="22" t="s">
        <v>1622</v>
      </c>
      <c r="L1320" s="22" t="s">
        <v>57</v>
      </c>
      <c r="M1320" s="22" t="s">
        <v>24</v>
      </c>
      <c r="N1320" s="22">
        <v>28</v>
      </c>
      <c r="O1320" s="26">
        <v>1599</v>
      </c>
      <c r="P1320" s="22">
        <v>0.08</v>
      </c>
      <c r="Q1320" s="30">
        <v>920</v>
      </c>
      <c r="R1320" s="33">
        <f>Table1_1[[#This Row],[Units Sold]]*Table1_1[[#This Row],[Unit Price]]*1-Table1_1[[#This Row],[Discount]]</f>
        <v>44771.92</v>
      </c>
      <c r="S1320" s="33">
        <f>Table1_1[[#This Row],[Units Sold]]*Table1_1[[#This Row],[Unit Cost]]</f>
        <v>25760</v>
      </c>
      <c r="T1320" s="33">
        <f>Table1_1[[#This Row],[Sales Amount]]-S1320</f>
        <v>19011.919999999998</v>
      </c>
      <c r="U1320" s="32">
        <f>IFERROR(Table1_1[[#This Row],[Profit/loss]]/Table1_1[[#This Row],[Sales Amount]],0)</f>
        <v>0.42463937217791864</v>
      </c>
    </row>
    <row r="1321" spans="1:21" ht="18" x14ac:dyDescent="0.35">
      <c r="A1321" s="21" t="s">
        <v>1428</v>
      </c>
      <c r="B1321" s="36">
        <v>45933</v>
      </c>
      <c r="C1321" s="22">
        <f>YEAR(Table1_1[[#This Row],[Order Date]])</f>
        <v>2025</v>
      </c>
      <c r="D1321" s="22" t="str">
        <f>TEXT(Table1_1[[#This Row],[Order Date]],"MMMM")</f>
        <v>October</v>
      </c>
      <c r="E1321" s="22" t="s">
        <v>82</v>
      </c>
      <c r="F1321" s="22" t="s">
        <v>87</v>
      </c>
      <c r="G1321" s="22" t="s">
        <v>28</v>
      </c>
      <c r="H1321" s="22" t="s">
        <v>39</v>
      </c>
      <c r="I1321" s="22" t="s">
        <v>20</v>
      </c>
      <c r="J1321" s="22" t="s">
        <v>45</v>
      </c>
      <c r="K1321" s="22" t="s">
        <v>196</v>
      </c>
      <c r="L1321" s="22" t="s">
        <v>33</v>
      </c>
      <c r="M1321" s="22" t="s">
        <v>24</v>
      </c>
      <c r="N1321" s="22">
        <v>21</v>
      </c>
      <c r="O1321" s="26">
        <v>2499</v>
      </c>
      <c r="P1321" s="22">
        <v>0.05</v>
      </c>
      <c r="Q1321" s="30">
        <v>1510</v>
      </c>
      <c r="R1321" s="33">
        <f>Table1_1[[#This Row],[Units Sold]]*Table1_1[[#This Row],[Unit Price]]*1-Table1_1[[#This Row],[Discount]]</f>
        <v>52478.95</v>
      </c>
      <c r="S1321" s="33">
        <f>Table1_1[[#This Row],[Units Sold]]*Table1_1[[#This Row],[Unit Cost]]</f>
        <v>31710</v>
      </c>
      <c r="T1321" s="33">
        <f>Table1_1[[#This Row],[Sales Amount]]-S1321</f>
        <v>20768.949999999997</v>
      </c>
      <c r="U1321" s="32">
        <f>IFERROR(Table1_1[[#This Row],[Profit/loss]]/Table1_1[[#This Row],[Sales Amount]],0)</f>
        <v>0.395757727622218</v>
      </c>
    </row>
    <row r="1322" spans="1:21" ht="18" x14ac:dyDescent="0.35">
      <c r="A1322" s="21" t="s">
        <v>1429</v>
      </c>
      <c r="B1322" s="36">
        <v>45933</v>
      </c>
      <c r="C1322" s="22">
        <f>YEAR(Table1_1[[#This Row],[Order Date]])</f>
        <v>2025</v>
      </c>
      <c r="D1322" s="22" t="str">
        <f>TEXT(Table1_1[[#This Row],[Order Date]],"MMMM")</f>
        <v>October</v>
      </c>
      <c r="E1322" s="22" t="s">
        <v>82</v>
      </c>
      <c r="F1322" s="22" t="s">
        <v>183</v>
      </c>
      <c r="G1322" s="22" t="s">
        <v>105</v>
      </c>
      <c r="H1322" s="22" t="s">
        <v>39</v>
      </c>
      <c r="I1322" s="22" t="s">
        <v>20</v>
      </c>
      <c r="J1322" s="22" t="s">
        <v>21</v>
      </c>
      <c r="K1322" s="22" t="s">
        <v>115</v>
      </c>
      <c r="L1322" s="22" t="s">
        <v>33</v>
      </c>
      <c r="M1322" s="22" t="s">
        <v>24</v>
      </c>
      <c r="N1322" s="22">
        <v>24</v>
      </c>
      <c r="O1322" s="26">
        <v>6499</v>
      </c>
      <c r="P1322" s="22">
        <v>0.2</v>
      </c>
      <c r="Q1322" s="30">
        <v>4210</v>
      </c>
      <c r="R1322" s="33">
        <f>Table1_1[[#This Row],[Units Sold]]*Table1_1[[#This Row],[Unit Price]]*1-Table1_1[[#This Row],[Discount]]</f>
        <v>155975.79999999999</v>
      </c>
      <c r="S1322" s="33">
        <f>Table1_1[[#This Row],[Units Sold]]*Table1_1[[#This Row],[Unit Cost]]</f>
        <v>101040</v>
      </c>
      <c r="T1322" s="33">
        <f>Table1_1[[#This Row],[Sales Amount]]-S1322</f>
        <v>54935.799999999988</v>
      </c>
      <c r="U1322" s="32">
        <f>IFERROR(Table1_1[[#This Row],[Profit/loss]]/Table1_1[[#This Row],[Sales Amount]],0)</f>
        <v>0.35220720137354639</v>
      </c>
    </row>
    <row r="1323" spans="1:21" ht="18" x14ac:dyDescent="0.35">
      <c r="A1323" s="21" t="s">
        <v>1430</v>
      </c>
      <c r="B1323" s="36">
        <v>45933</v>
      </c>
      <c r="C1323" s="22">
        <f>YEAR(Table1_1[[#This Row],[Order Date]])</f>
        <v>2025</v>
      </c>
      <c r="D1323" s="22" t="str">
        <f>TEXT(Table1_1[[#This Row],[Order Date]],"MMMM")</f>
        <v>October</v>
      </c>
      <c r="E1323" s="22" t="s">
        <v>26</v>
      </c>
      <c r="F1323" s="22" t="s">
        <v>74</v>
      </c>
      <c r="G1323" s="22" t="s">
        <v>18</v>
      </c>
      <c r="H1323" s="22" t="s">
        <v>19</v>
      </c>
      <c r="I1323" s="22" t="s">
        <v>70</v>
      </c>
      <c r="J1323" s="22" t="s">
        <v>71</v>
      </c>
      <c r="K1323" s="22" t="s">
        <v>80</v>
      </c>
      <c r="L1323" s="22" t="s">
        <v>33</v>
      </c>
      <c r="M1323" s="22" t="s">
        <v>24</v>
      </c>
      <c r="N1323" s="22">
        <v>22</v>
      </c>
      <c r="O1323" s="26">
        <v>1299</v>
      </c>
      <c r="P1323" s="22">
        <v>0.1</v>
      </c>
      <c r="Q1323" s="30">
        <v>720</v>
      </c>
      <c r="R1323" s="33">
        <f>Table1_1[[#This Row],[Units Sold]]*Table1_1[[#This Row],[Unit Price]]*1-Table1_1[[#This Row],[Discount]]</f>
        <v>28577.9</v>
      </c>
      <c r="S1323" s="33">
        <f>Table1_1[[#This Row],[Units Sold]]*Table1_1[[#This Row],[Unit Cost]]</f>
        <v>15840</v>
      </c>
      <c r="T1323" s="33">
        <f>Table1_1[[#This Row],[Sales Amount]]-S1323</f>
        <v>12737.900000000001</v>
      </c>
      <c r="U1323" s="32">
        <f>IFERROR(Table1_1[[#This Row],[Profit/loss]]/Table1_1[[#This Row],[Sales Amount]],0)</f>
        <v>0.44572554316447327</v>
      </c>
    </row>
    <row r="1324" spans="1:21" ht="18" x14ac:dyDescent="0.35">
      <c r="A1324" s="21" t="s">
        <v>1431</v>
      </c>
      <c r="B1324" s="36">
        <v>45934</v>
      </c>
      <c r="C1324" s="22">
        <f>YEAR(Table1_1[[#This Row],[Order Date]])</f>
        <v>2025</v>
      </c>
      <c r="D1324" s="22" t="str">
        <f>TEXT(Table1_1[[#This Row],[Order Date]],"MMMM")</f>
        <v>October</v>
      </c>
      <c r="E1324" s="22" t="s">
        <v>26</v>
      </c>
      <c r="F1324" s="22" t="s">
        <v>53</v>
      </c>
      <c r="G1324" s="22" t="s">
        <v>101</v>
      </c>
      <c r="H1324" s="22" t="s">
        <v>29</v>
      </c>
      <c r="I1324" s="22" t="s">
        <v>40</v>
      </c>
      <c r="J1324" s="22" t="s">
        <v>64</v>
      </c>
      <c r="K1324" s="22" t="s">
        <v>1629</v>
      </c>
      <c r="L1324" s="22" t="s">
        <v>57</v>
      </c>
      <c r="M1324" s="22" t="s">
        <v>66</v>
      </c>
      <c r="N1324" s="22">
        <v>9</v>
      </c>
      <c r="O1324" s="26">
        <v>3299</v>
      </c>
      <c r="P1324" s="22">
        <v>0.15</v>
      </c>
      <c r="Q1324" s="30">
        <v>2050</v>
      </c>
      <c r="R1324" s="33">
        <f>Table1_1[[#This Row],[Units Sold]]*Table1_1[[#This Row],[Unit Price]]*1-Table1_1[[#This Row],[Discount]]</f>
        <v>29690.85</v>
      </c>
      <c r="S1324" s="33">
        <f>Table1_1[[#This Row],[Units Sold]]*Table1_1[[#This Row],[Unit Cost]]</f>
        <v>18450</v>
      </c>
      <c r="T1324" s="33">
        <f>Table1_1[[#This Row],[Sales Amount]]-S1324</f>
        <v>11240.849999999999</v>
      </c>
      <c r="U1324" s="32">
        <f>IFERROR(Table1_1[[#This Row],[Profit/loss]]/Table1_1[[#This Row],[Sales Amount]],0)</f>
        <v>0.37859643627582235</v>
      </c>
    </row>
    <row r="1325" spans="1:21" ht="18" x14ac:dyDescent="0.35">
      <c r="A1325" s="21" t="s">
        <v>1432</v>
      </c>
      <c r="B1325" s="36">
        <v>45934</v>
      </c>
      <c r="C1325" s="22">
        <f>YEAR(Table1_1[[#This Row],[Order Date]])</f>
        <v>2025</v>
      </c>
      <c r="D1325" s="22" t="str">
        <f>TEXT(Table1_1[[#This Row],[Order Date]],"MMMM")</f>
        <v>October</v>
      </c>
      <c r="E1325" s="22" t="s">
        <v>36</v>
      </c>
      <c r="F1325" s="22" t="s">
        <v>37</v>
      </c>
      <c r="G1325" s="22" t="s">
        <v>60</v>
      </c>
      <c r="H1325" s="22" t="s">
        <v>39</v>
      </c>
      <c r="I1325" s="22" t="s">
        <v>30</v>
      </c>
      <c r="J1325" s="22" t="s">
        <v>61</v>
      </c>
      <c r="K1325" s="22" t="s">
        <v>96</v>
      </c>
      <c r="L1325" s="22" t="s">
        <v>57</v>
      </c>
      <c r="M1325" s="22" t="s">
        <v>24</v>
      </c>
      <c r="N1325" s="22">
        <v>4</v>
      </c>
      <c r="O1325" s="26">
        <v>25110</v>
      </c>
      <c r="P1325" s="22">
        <v>0.15</v>
      </c>
      <c r="Q1325" s="30">
        <v>16730</v>
      </c>
      <c r="R1325" s="33">
        <f>Table1_1[[#This Row],[Units Sold]]*Table1_1[[#This Row],[Unit Price]]*1-Table1_1[[#This Row],[Discount]]</f>
        <v>100439.85</v>
      </c>
      <c r="S1325" s="33">
        <f>Table1_1[[#This Row],[Units Sold]]*Table1_1[[#This Row],[Unit Cost]]</f>
        <v>66920</v>
      </c>
      <c r="T1325" s="33">
        <f>Table1_1[[#This Row],[Sales Amount]]-S1325</f>
        <v>33519.850000000006</v>
      </c>
      <c r="U1325" s="32">
        <f>IFERROR(Table1_1[[#This Row],[Profit/loss]]/Table1_1[[#This Row],[Sales Amount]],0)</f>
        <v>0.33373058601740252</v>
      </c>
    </row>
    <row r="1326" spans="1:21" ht="18" x14ac:dyDescent="0.35">
      <c r="A1326" s="21" t="s">
        <v>1433</v>
      </c>
      <c r="B1326" s="36">
        <v>45934</v>
      </c>
      <c r="C1326" s="22">
        <f>YEAR(Table1_1[[#This Row],[Order Date]])</f>
        <v>2025</v>
      </c>
      <c r="D1326" s="22" t="str">
        <f>TEXT(Table1_1[[#This Row],[Order Date]],"MMMM")</f>
        <v>October</v>
      </c>
      <c r="E1326" s="22" t="s">
        <v>82</v>
      </c>
      <c r="F1326" s="22" t="s">
        <v>83</v>
      </c>
      <c r="G1326" s="22" t="s">
        <v>60</v>
      </c>
      <c r="H1326" s="22" t="s">
        <v>29</v>
      </c>
      <c r="I1326" s="22" t="s">
        <v>54</v>
      </c>
      <c r="J1326" s="22" t="s">
        <v>129</v>
      </c>
      <c r="K1326" s="22" t="s">
        <v>130</v>
      </c>
      <c r="L1326" s="22" t="s">
        <v>33</v>
      </c>
      <c r="M1326" s="22" t="s">
        <v>24</v>
      </c>
      <c r="N1326" s="22">
        <v>39</v>
      </c>
      <c r="O1326" s="26">
        <v>27890</v>
      </c>
      <c r="P1326" s="22">
        <v>0.05</v>
      </c>
      <c r="Q1326" s="30">
        <v>18800</v>
      </c>
      <c r="R1326" s="33">
        <f>Table1_1[[#This Row],[Units Sold]]*Table1_1[[#This Row],[Unit Price]]*1-Table1_1[[#This Row],[Discount]]</f>
        <v>1087709.95</v>
      </c>
      <c r="S1326" s="33">
        <f>Table1_1[[#This Row],[Units Sold]]*Table1_1[[#This Row],[Unit Cost]]</f>
        <v>733200</v>
      </c>
      <c r="T1326" s="33">
        <f>Table1_1[[#This Row],[Sales Amount]]-S1326</f>
        <v>354509.94999999995</v>
      </c>
      <c r="U1326" s="32">
        <f>IFERROR(Table1_1[[#This Row],[Profit/loss]]/Table1_1[[#This Row],[Sales Amount]],0)</f>
        <v>0.32592323900319198</v>
      </c>
    </row>
    <row r="1327" spans="1:21" ht="18" x14ac:dyDescent="0.35">
      <c r="A1327" s="21" t="s">
        <v>1434</v>
      </c>
      <c r="B1327" s="36">
        <v>45934</v>
      </c>
      <c r="C1327" s="22">
        <f>YEAR(Table1_1[[#This Row],[Order Date]])</f>
        <v>2025</v>
      </c>
      <c r="D1327" s="22" t="str">
        <f>TEXT(Table1_1[[#This Row],[Order Date]],"MMMM")</f>
        <v>October</v>
      </c>
      <c r="E1327" s="22" t="s">
        <v>82</v>
      </c>
      <c r="F1327" s="22" t="s">
        <v>83</v>
      </c>
      <c r="G1327" s="22" t="s">
        <v>84</v>
      </c>
      <c r="H1327" s="22" t="s">
        <v>19</v>
      </c>
      <c r="I1327" s="22" t="s">
        <v>40</v>
      </c>
      <c r="J1327" s="22" t="s">
        <v>41</v>
      </c>
      <c r="K1327" s="22" t="s">
        <v>1624</v>
      </c>
      <c r="L1327" s="22" t="s">
        <v>57</v>
      </c>
      <c r="M1327" s="22" t="s">
        <v>24</v>
      </c>
      <c r="N1327" s="22">
        <v>40</v>
      </c>
      <c r="O1327" s="26">
        <v>48990</v>
      </c>
      <c r="P1327" s="22">
        <v>0.15</v>
      </c>
      <c r="Q1327" s="30">
        <v>30100</v>
      </c>
      <c r="R1327" s="33">
        <f>Table1_1[[#This Row],[Units Sold]]*Table1_1[[#This Row],[Unit Price]]*1-Table1_1[[#This Row],[Discount]]</f>
        <v>1959599.85</v>
      </c>
      <c r="S1327" s="33">
        <f>Table1_1[[#This Row],[Units Sold]]*Table1_1[[#This Row],[Unit Cost]]</f>
        <v>1204000</v>
      </c>
      <c r="T1327" s="33">
        <f>Table1_1[[#This Row],[Sales Amount]]-S1327</f>
        <v>755599.85000000009</v>
      </c>
      <c r="U1327" s="32">
        <f>IFERROR(Table1_1[[#This Row],[Profit/loss]]/Table1_1[[#This Row],[Sales Amount]],0)</f>
        <v>0.38558884866213888</v>
      </c>
    </row>
    <row r="1328" spans="1:21" ht="18" x14ac:dyDescent="0.35">
      <c r="A1328" s="21" t="s">
        <v>1435</v>
      </c>
      <c r="B1328" s="36">
        <v>45935</v>
      </c>
      <c r="C1328" s="22">
        <f>YEAR(Table1_1[[#This Row],[Order Date]])</f>
        <v>2025</v>
      </c>
      <c r="D1328" s="22" t="str">
        <f>TEXT(Table1_1[[#This Row],[Order Date]],"MMMM")</f>
        <v>October</v>
      </c>
      <c r="E1328" s="22" t="s">
        <v>26</v>
      </c>
      <c r="F1328" s="22" t="s">
        <v>74</v>
      </c>
      <c r="G1328" s="22" t="s">
        <v>18</v>
      </c>
      <c r="H1328" s="22" t="s">
        <v>29</v>
      </c>
      <c r="I1328" s="22" t="s">
        <v>40</v>
      </c>
      <c r="J1328" s="22" t="s">
        <v>76</v>
      </c>
      <c r="K1328" s="22" t="s">
        <v>1620</v>
      </c>
      <c r="L1328" s="22" t="s">
        <v>57</v>
      </c>
      <c r="M1328" s="22" t="s">
        <v>24</v>
      </c>
      <c r="N1328" s="22">
        <v>16</v>
      </c>
      <c r="O1328" s="26">
        <v>52990</v>
      </c>
      <c r="P1328" s="22">
        <v>0.2</v>
      </c>
      <c r="Q1328" s="30">
        <v>39500</v>
      </c>
      <c r="R1328" s="33">
        <f>Table1_1[[#This Row],[Units Sold]]*Table1_1[[#This Row],[Unit Price]]*1-Table1_1[[#This Row],[Discount]]</f>
        <v>847839.8</v>
      </c>
      <c r="S1328" s="33">
        <f>Table1_1[[#This Row],[Units Sold]]*Table1_1[[#This Row],[Unit Cost]]</f>
        <v>632000</v>
      </c>
      <c r="T1328" s="33">
        <f>Table1_1[[#This Row],[Sales Amount]]-S1328</f>
        <v>215839.80000000005</v>
      </c>
      <c r="U1328" s="32">
        <f>IFERROR(Table1_1[[#This Row],[Profit/loss]]/Table1_1[[#This Row],[Sales Amount]],0)</f>
        <v>0.25457615931688987</v>
      </c>
    </row>
    <row r="1329" spans="1:21" ht="18" x14ac:dyDescent="0.35">
      <c r="A1329" s="21" t="s">
        <v>1436</v>
      </c>
      <c r="B1329" s="36">
        <v>45935</v>
      </c>
      <c r="C1329" s="22">
        <f>YEAR(Table1_1[[#This Row],[Order Date]])</f>
        <v>2025</v>
      </c>
      <c r="D1329" s="22" t="str">
        <f>TEXT(Table1_1[[#This Row],[Order Date]],"MMMM")</f>
        <v>October</v>
      </c>
      <c r="E1329" s="22" t="s">
        <v>82</v>
      </c>
      <c r="F1329" s="22" t="s">
        <v>183</v>
      </c>
      <c r="G1329" s="22" t="s">
        <v>50</v>
      </c>
      <c r="H1329" s="22" t="s">
        <v>19</v>
      </c>
      <c r="I1329" s="22" t="s">
        <v>70</v>
      </c>
      <c r="J1329" s="22" t="s">
        <v>71</v>
      </c>
      <c r="K1329" s="22" t="s">
        <v>88</v>
      </c>
      <c r="L1329" s="22" t="s">
        <v>57</v>
      </c>
      <c r="M1329" s="22" t="s">
        <v>66</v>
      </c>
      <c r="N1329" s="22">
        <v>39</v>
      </c>
      <c r="O1329" s="26">
        <v>999</v>
      </c>
      <c r="P1329" s="22">
        <v>0.1</v>
      </c>
      <c r="Q1329" s="30">
        <v>540</v>
      </c>
      <c r="R1329" s="33">
        <f>Table1_1[[#This Row],[Units Sold]]*Table1_1[[#This Row],[Unit Price]]*1-Table1_1[[#This Row],[Discount]]</f>
        <v>38960.9</v>
      </c>
      <c r="S1329" s="33">
        <f>Table1_1[[#This Row],[Units Sold]]*Table1_1[[#This Row],[Unit Cost]]</f>
        <v>21060</v>
      </c>
      <c r="T1329" s="33">
        <f>Table1_1[[#This Row],[Sales Amount]]-S1329</f>
        <v>17900.900000000001</v>
      </c>
      <c r="U1329" s="32">
        <f>IFERROR(Table1_1[[#This Row],[Profit/loss]]/Table1_1[[#This Row],[Sales Amount]],0)</f>
        <v>0.45945807206712375</v>
      </c>
    </row>
    <row r="1330" spans="1:21" ht="18" x14ac:dyDescent="0.35">
      <c r="A1330" s="21" t="s">
        <v>1437</v>
      </c>
      <c r="B1330" s="36">
        <v>45936</v>
      </c>
      <c r="C1330" s="22">
        <f>YEAR(Table1_1[[#This Row],[Order Date]])</f>
        <v>2025</v>
      </c>
      <c r="D1330" s="22" t="str">
        <f>TEXT(Table1_1[[#This Row],[Order Date]],"MMMM")</f>
        <v>October</v>
      </c>
      <c r="E1330" s="22" t="s">
        <v>36</v>
      </c>
      <c r="F1330" s="22" t="s">
        <v>121</v>
      </c>
      <c r="G1330" s="22" t="s">
        <v>50</v>
      </c>
      <c r="H1330" s="22" t="s">
        <v>29</v>
      </c>
      <c r="I1330" s="22" t="s">
        <v>54</v>
      </c>
      <c r="J1330" s="22" t="s">
        <v>129</v>
      </c>
      <c r="K1330" s="22" t="s">
        <v>145</v>
      </c>
      <c r="L1330" s="22" t="s">
        <v>33</v>
      </c>
      <c r="M1330" s="22" t="s">
        <v>34</v>
      </c>
      <c r="N1330" s="22">
        <v>8</v>
      </c>
      <c r="O1330" s="26">
        <v>31490</v>
      </c>
      <c r="P1330" s="22">
        <v>0.15</v>
      </c>
      <c r="Q1330" s="30">
        <v>21300</v>
      </c>
      <c r="R1330" s="33">
        <f>Table1_1[[#This Row],[Units Sold]]*Table1_1[[#This Row],[Unit Price]]*1-Table1_1[[#This Row],[Discount]]</f>
        <v>251919.85</v>
      </c>
      <c r="S1330" s="33">
        <f>Table1_1[[#This Row],[Units Sold]]*Table1_1[[#This Row],[Unit Cost]]</f>
        <v>170400</v>
      </c>
      <c r="T1330" s="33">
        <f>Table1_1[[#This Row],[Sales Amount]]-S1330</f>
        <v>81519.850000000006</v>
      </c>
      <c r="U1330" s="32">
        <f>IFERROR(Table1_1[[#This Row],[Profit/loss]]/Table1_1[[#This Row],[Sales Amount]],0)</f>
        <v>0.32359438924721495</v>
      </c>
    </row>
    <row r="1331" spans="1:21" ht="18" x14ac:dyDescent="0.35">
      <c r="A1331" s="21" t="s">
        <v>1438</v>
      </c>
      <c r="B1331" s="36">
        <v>45937</v>
      </c>
      <c r="C1331" s="22">
        <f>YEAR(Table1_1[[#This Row],[Order Date]])</f>
        <v>2025</v>
      </c>
      <c r="D1331" s="22" t="str">
        <f>TEXT(Table1_1[[#This Row],[Order Date]],"MMMM")</f>
        <v>October</v>
      </c>
      <c r="E1331" s="22" t="s">
        <v>48</v>
      </c>
      <c r="F1331" s="22" t="s">
        <v>136</v>
      </c>
      <c r="G1331" s="22" t="s">
        <v>28</v>
      </c>
      <c r="H1331" s="22" t="s">
        <v>29</v>
      </c>
      <c r="I1331" s="22" t="s">
        <v>30</v>
      </c>
      <c r="J1331" s="22" t="s">
        <v>61</v>
      </c>
      <c r="K1331" s="22" t="s">
        <v>186</v>
      </c>
      <c r="L1331" s="22" t="s">
        <v>33</v>
      </c>
      <c r="M1331" s="22" t="s">
        <v>24</v>
      </c>
      <c r="N1331" s="22">
        <v>33</v>
      </c>
      <c r="O1331" s="26">
        <v>6999</v>
      </c>
      <c r="P1331" s="22">
        <v>0.15</v>
      </c>
      <c r="Q1331" s="30">
        <v>4320</v>
      </c>
      <c r="R1331" s="33">
        <f>Table1_1[[#This Row],[Units Sold]]*Table1_1[[#This Row],[Unit Price]]*1-Table1_1[[#This Row],[Discount]]</f>
        <v>230966.85</v>
      </c>
      <c r="S1331" s="33">
        <f>Table1_1[[#This Row],[Units Sold]]*Table1_1[[#This Row],[Unit Cost]]</f>
        <v>142560</v>
      </c>
      <c r="T1331" s="33">
        <f>Table1_1[[#This Row],[Sales Amount]]-S1331</f>
        <v>88406.85</v>
      </c>
      <c r="U1331" s="32">
        <f>IFERROR(Table1_1[[#This Row],[Profit/loss]]/Table1_1[[#This Row],[Sales Amount]],0)</f>
        <v>0.38276856613838739</v>
      </c>
    </row>
    <row r="1332" spans="1:21" ht="18" x14ac:dyDescent="0.35">
      <c r="A1332" s="21" t="s">
        <v>1439</v>
      </c>
      <c r="B1332" s="36">
        <v>45937</v>
      </c>
      <c r="C1332" s="22">
        <f>YEAR(Table1_1[[#This Row],[Order Date]])</f>
        <v>2025</v>
      </c>
      <c r="D1332" s="22" t="str">
        <f>TEXT(Table1_1[[#This Row],[Order Date]],"MMMM")</f>
        <v>October</v>
      </c>
      <c r="E1332" s="22" t="s">
        <v>36</v>
      </c>
      <c r="F1332" s="22" t="s">
        <v>59</v>
      </c>
      <c r="G1332" s="22" t="s">
        <v>105</v>
      </c>
      <c r="H1332" s="22" t="s">
        <v>19</v>
      </c>
      <c r="I1332" s="22" t="s">
        <v>30</v>
      </c>
      <c r="J1332" s="22" t="s">
        <v>31</v>
      </c>
      <c r="K1332" s="22" t="s">
        <v>32</v>
      </c>
      <c r="L1332" s="22" t="s">
        <v>57</v>
      </c>
      <c r="M1332" s="22" t="s">
        <v>24</v>
      </c>
      <c r="N1332" s="22">
        <v>32</v>
      </c>
      <c r="O1332" s="26">
        <v>38990</v>
      </c>
      <c r="P1332" s="22">
        <v>0.1</v>
      </c>
      <c r="Q1332" s="30">
        <v>25400</v>
      </c>
      <c r="R1332" s="33">
        <f>Table1_1[[#This Row],[Units Sold]]*Table1_1[[#This Row],[Unit Price]]*1-Table1_1[[#This Row],[Discount]]</f>
        <v>1247679.8999999999</v>
      </c>
      <c r="S1332" s="33">
        <f>Table1_1[[#This Row],[Units Sold]]*Table1_1[[#This Row],[Unit Cost]]</f>
        <v>812800</v>
      </c>
      <c r="T1332" s="33">
        <f>Table1_1[[#This Row],[Sales Amount]]-S1332</f>
        <v>434879.89999999991</v>
      </c>
      <c r="U1332" s="32">
        <f>IFERROR(Table1_1[[#This Row],[Profit/loss]]/Table1_1[[#This Row],[Sales Amount]],0)</f>
        <v>0.34855085827703081</v>
      </c>
    </row>
    <row r="1333" spans="1:21" ht="18" x14ac:dyDescent="0.35">
      <c r="A1333" s="21" t="s">
        <v>1440</v>
      </c>
      <c r="B1333" s="36">
        <v>45938</v>
      </c>
      <c r="C1333" s="22">
        <f>YEAR(Table1_1[[#This Row],[Order Date]])</f>
        <v>2025</v>
      </c>
      <c r="D1333" s="22" t="str">
        <f>TEXT(Table1_1[[#This Row],[Order Date]],"MMMM")</f>
        <v>October</v>
      </c>
      <c r="E1333" s="22" t="s">
        <v>26</v>
      </c>
      <c r="F1333" s="22" t="s">
        <v>53</v>
      </c>
      <c r="G1333" s="22" t="s">
        <v>69</v>
      </c>
      <c r="H1333" s="22" t="s">
        <v>29</v>
      </c>
      <c r="I1333" s="22" t="s">
        <v>30</v>
      </c>
      <c r="J1333" s="22" t="s">
        <v>61</v>
      </c>
      <c r="K1333" s="22" t="s">
        <v>186</v>
      </c>
      <c r="L1333" s="22" t="s">
        <v>33</v>
      </c>
      <c r="M1333" s="22" t="s">
        <v>34</v>
      </c>
      <c r="N1333" s="22">
        <v>3</v>
      </c>
      <c r="O1333" s="26">
        <v>6999</v>
      </c>
      <c r="P1333" s="22">
        <v>0.08</v>
      </c>
      <c r="Q1333" s="30">
        <v>4320</v>
      </c>
      <c r="R1333" s="33">
        <f>Table1_1[[#This Row],[Units Sold]]*Table1_1[[#This Row],[Unit Price]]*1-Table1_1[[#This Row],[Discount]]</f>
        <v>20996.92</v>
      </c>
      <c r="S1333" s="33">
        <f>Table1_1[[#This Row],[Units Sold]]*Table1_1[[#This Row],[Unit Cost]]</f>
        <v>12960</v>
      </c>
      <c r="T1333" s="33">
        <f>Table1_1[[#This Row],[Sales Amount]]-S1333</f>
        <v>8036.9199999999983</v>
      </c>
      <c r="U1333" s="32">
        <f>IFERROR(Table1_1[[#This Row],[Profit/loss]]/Table1_1[[#This Row],[Sales Amount]],0)</f>
        <v>0.38276661529405259</v>
      </c>
    </row>
    <row r="1334" spans="1:21" ht="18" x14ac:dyDescent="0.35">
      <c r="A1334" s="21" t="s">
        <v>1441</v>
      </c>
      <c r="B1334" s="36">
        <v>45941</v>
      </c>
      <c r="C1334" s="22">
        <f>YEAR(Table1_1[[#This Row],[Order Date]])</f>
        <v>2025</v>
      </c>
      <c r="D1334" s="22" t="str">
        <f>TEXT(Table1_1[[#This Row],[Order Date]],"MMMM")</f>
        <v>October</v>
      </c>
      <c r="E1334" s="22" t="s">
        <v>82</v>
      </c>
      <c r="F1334" s="22" t="s">
        <v>100</v>
      </c>
      <c r="G1334" s="22" t="s">
        <v>28</v>
      </c>
      <c r="H1334" s="22" t="s">
        <v>39</v>
      </c>
      <c r="I1334" s="22" t="s">
        <v>70</v>
      </c>
      <c r="J1334" s="22" t="s">
        <v>71</v>
      </c>
      <c r="K1334" s="22" t="s">
        <v>80</v>
      </c>
      <c r="L1334" s="22" t="s">
        <v>57</v>
      </c>
      <c r="M1334" s="22" t="s">
        <v>24</v>
      </c>
      <c r="N1334" s="22">
        <v>21</v>
      </c>
      <c r="O1334" s="26">
        <v>1299</v>
      </c>
      <c r="P1334" s="22">
        <v>0.12</v>
      </c>
      <c r="Q1334" s="30">
        <v>720</v>
      </c>
      <c r="R1334" s="33">
        <f>Table1_1[[#This Row],[Units Sold]]*Table1_1[[#This Row],[Unit Price]]*1-Table1_1[[#This Row],[Discount]]</f>
        <v>27278.880000000001</v>
      </c>
      <c r="S1334" s="33">
        <f>Table1_1[[#This Row],[Units Sold]]*Table1_1[[#This Row],[Unit Cost]]</f>
        <v>15120</v>
      </c>
      <c r="T1334" s="33">
        <f>Table1_1[[#This Row],[Sales Amount]]-S1334</f>
        <v>12158.880000000001</v>
      </c>
      <c r="U1334" s="32">
        <f>IFERROR(Table1_1[[#This Row],[Profit/loss]]/Table1_1[[#This Row],[Sales Amount]],0)</f>
        <v>0.44572504442997662</v>
      </c>
    </row>
    <row r="1335" spans="1:21" ht="18" x14ac:dyDescent="0.35">
      <c r="A1335" s="21" t="s">
        <v>1442</v>
      </c>
      <c r="B1335" s="36">
        <v>45941</v>
      </c>
      <c r="C1335" s="22">
        <f>YEAR(Table1_1[[#This Row],[Order Date]])</f>
        <v>2025</v>
      </c>
      <c r="D1335" s="22" t="str">
        <f>TEXT(Table1_1[[#This Row],[Order Date]],"MMMM")</f>
        <v>October</v>
      </c>
      <c r="E1335" s="22" t="s">
        <v>48</v>
      </c>
      <c r="F1335" s="22" t="s">
        <v>49</v>
      </c>
      <c r="G1335" s="22" t="s">
        <v>18</v>
      </c>
      <c r="H1335" s="22" t="s">
        <v>29</v>
      </c>
      <c r="I1335" s="22" t="s">
        <v>30</v>
      </c>
      <c r="J1335" s="22" t="s">
        <v>61</v>
      </c>
      <c r="K1335" s="22" t="s">
        <v>96</v>
      </c>
      <c r="L1335" s="22" t="s">
        <v>57</v>
      </c>
      <c r="M1335" s="22" t="s">
        <v>66</v>
      </c>
      <c r="N1335" s="22">
        <v>12</v>
      </c>
      <c r="O1335" s="26">
        <v>25110</v>
      </c>
      <c r="P1335" s="22">
        <v>0.1</v>
      </c>
      <c r="Q1335" s="30">
        <v>16730</v>
      </c>
      <c r="R1335" s="33">
        <f>Table1_1[[#This Row],[Units Sold]]*Table1_1[[#This Row],[Unit Price]]*1-Table1_1[[#This Row],[Discount]]</f>
        <v>301319.90000000002</v>
      </c>
      <c r="S1335" s="33">
        <f>Table1_1[[#This Row],[Units Sold]]*Table1_1[[#This Row],[Unit Cost]]</f>
        <v>200760</v>
      </c>
      <c r="T1335" s="33">
        <f>Table1_1[[#This Row],[Sales Amount]]-S1335</f>
        <v>100559.90000000002</v>
      </c>
      <c r="U1335" s="32">
        <f>IFERROR(Table1_1[[#This Row],[Profit/loss]]/Table1_1[[#This Row],[Sales Amount]],0)</f>
        <v>0.33373135992677555</v>
      </c>
    </row>
    <row r="1336" spans="1:21" ht="18" x14ac:dyDescent="0.35">
      <c r="A1336" s="21" t="s">
        <v>1443</v>
      </c>
      <c r="B1336" s="36">
        <v>45943</v>
      </c>
      <c r="C1336" s="22">
        <f>YEAR(Table1_1[[#This Row],[Order Date]])</f>
        <v>2025</v>
      </c>
      <c r="D1336" s="22" t="str">
        <f>TEXT(Table1_1[[#This Row],[Order Date]],"MMMM")</f>
        <v>October</v>
      </c>
      <c r="E1336" s="22" t="s">
        <v>48</v>
      </c>
      <c r="F1336" s="22" t="s">
        <v>93</v>
      </c>
      <c r="G1336" s="22" t="s">
        <v>60</v>
      </c>
      <c r="H1336" s="22" t="s">
        <v>29</v>
      </c>
      <c r="I1336" s="22" t="s">
        <v>40</v>
      </c>
      <c r="J1336" s="22" t="s">
        <v>41</v>
      </c>
      <c r="K1336" s="22" t="s">
        <v>1624</v>
      </c>
      <c r="L1336" s="22" t="s">
        <v>33</v>
      </c>
      <c r="M1336" s="22" t="s">
        <v>34</v>
      </c>
      <c r="N1336" s="22">
        <v>38</v>
      </c>
      <c r="O1336" s="26">
        <v>48990</v>
      </c>
      <c r="P1336" s="22">
        <v>0.18</v>
      </c>
      <c r="Q1336" s="30">
        <v>30100</v>
      </c>
      <c r="R1336" s="33">
        <f>Table1_1[[#This Row],[Units Sold]]*Table1_1[[#This Row],[Unit Price]]*1-Table1_1[[#This Row],[Discount]]</f>
        <v>1861619.82</v>
      </c>
      <c r="S1336" s="33">
        <f>Table1_1[[#This Row],[Units Sold]]*Table1_1[[#This Row],[Unit Cost]]</f>
        <v>1143800</v>
      </c>
      <c r="T1336" s="33">
        <f>Table1_1[[#This Row],[Sales Amount]]-S1336</f>
        <v>717819.82000000007</v>
      </c>
      <c r="U1336" s="32">
        <f>IFERROR(Table1_1[[#This Row],[Profit/loss]]/Table1_1[[#This Row],[Sales Amount]],0)</f>
        <v>0.38558883628559565</v>
      </c>
    </row>
    <row r="1337" spans="1:21" ht="18" x14ac:dyDescent="0.35">
      <c r="A1337" s="21" t="s">
        <v>1444</v>
      </c>
      <c r="B1337" s="36">
        <v>45944</v>
      </c>
      <c r="C1337" s="22">
        <f>YEAR(Table1_1[[#This Row],[Order Date]])</f>
        <v>2025</v>
      </c>
      <c r="D1337" s="22" t="str">
        <f>TEXT(Table1_1[[#This Row],[Order Date]],"MMMM")</f>
        <v>October</v>
      </c>
      <c r="E1337" s="22" t="s">
        <v>26</v>
      </c>
      <c r="F1337" s="22" t="s">
        <v>53</v>
      </c>
      <c r="G1337" s="22" t="s">
        <v>28</v>
      </c>
      <c r="H1337" s="22" t="s">
        <v>29</v>
      </c>
      <c r="I1337" s="22" t="s">
        <v>20</v>
      </c>
      <c r="J1337" s="22" t="s">
        <v>21</v>
      </c>
      <c r="K1337" s="22" t="s">
        <v>51</v>
      </c>
      <c r="L1337" s="22" t="s">
        <v>23</v>
      </c>
      <c r="M1337" s="22" t="s">
        <v>78</v>
      </c>
      <c r="N1337" s="22">
        <v>26</v>
      </c>
      <c r="O1337" s="26">
        <v>5999</v>
      </c>
      <c r="P1337" s="22">
        <v>0.15</v>
      </c>
      <c r="Q1337" s="30">
        <v>3890</v>
      </c>
      <c r="R1337" s="33">
        <f>Table1_1[[#This Row],[Units Sold]]*Table1_1[[#This Row],[Unit Price]]*1-Table1_1[[#This Row],[Discount]]</f>
        <v>155973.85</v>
      </c>
      <c r="S1337" s="33">
        <f>Table1_1[[#This Row],[Units Sold]]*Table1_1[[#This Row],[Unit Cost]]</f>
        <v>101140</v>
      </c>
      <c r="T1337" s="33">
        <f>Table1_1[[#This Row],[Sales Amount]]-S1337</f>
        <v>54833.850000000006</v>
      </c>
      <c r="U1337" s="32">
        <f>IFERROR(Table1_1[[#This Row],[Profit/loss]]/Table1_1[[#This Row],[Sales Amount]],0)</f>
        <v>0.35155796949296308</v>
      </c>
    </row>
    <row r="1338" spans="1:21" ht="18" x14ac:dyDescent="0.35">
      <c r="A1338" s="21" t="s">
        <v>1445</v>
      </c>
      <c r="B1338" s="36">
        <v>45945</v>
      </c>
      <c r="C1338" s="22">
        <f>YEAR(Table1_1[[#This Row],[Order Date]])</f>
        <v>2025</v>
      </c>
      <c r="D1338" s="22" t="str">
        <f>TEXT(Table1_1[[#This Row],[Order Date]],"MMMM")</f>
        <v>October</v>
      </c>
      <c r="E1338" s="22" t="s">
        <v>16</v>
      </c>
      <c r="F1338" s="22" t="s">
        <v>111</v>
      </c>
      <c r="G1338" s="22" t="s">
        <v>50</v>
      </c>
      <c r="H1338" s="22" t="s">
        <v>19</v>
      </c>
      <c r="I1338" s="22" t="s">
        <v>20</v>
      </c>
      <c r="J1338" s="22" t="s">
        <v>45</v>
      </c>
      <c r="K1338" s="22" t="s">
        <v>196</v>
      </c>
      <c r="L1338" s="22" t="s">
        <v>33</v>
      </c>
      <c r="M1338" s="22" t="s">
        <v>24</v>
      </c>
      <c r="N1338" s="22">
        <v>20</v>
      </c>
      <c r="O1338" s="26">
        <v>2499</v>
      </c>
      <c r="P1338" s="22">
        <v>0.05</v>
      </c>
      <c r="Q1338" s="30">
        <v>1510</v>
      </c>
      <c r="R1338" s="33">
        <f>Table1_1[[#This Row],[Units Sold]]*Table1_1[[#This Row],[Unit Price]]*1-Table1_1[[#This Row],[Discount]]</f>
        <v>49979.95</v>
      </c>
      <c r="S1338" s="33">
        <f>Table1_1[[#This Row],[Units Sold]]*Table1_1[[#This Row],[Unit Cost]]</f>
        <v>30200</v>
      </c>
      <c r="T1338" s="33">
        <f>Table1_1[[#This Row],[Sales Amount]]-S1338</f>
        <v>19779.949999999997</v>
      </c>
      <c r="U1338" s="32">
        <f>IFERROR(Table1_1[[#This Row],[Profit/loss]]/Table1_1[[#This Row],[Sales Amount]],0)</f>
        <v>0.39575769883723372</v>
      </c>
    </row>
    <row r="1339" spans="1:21" ht="18" x14ac:dyDescent="0.35">
      <c r="A1339" s="21" t="s">
        <v>1446</v>
      </c>
      <c r="B1339" s="36">
        <v>45946</v>
      </c>
      <c r="C1339" s="22">
        <f>YEAR(Table1_1[[#This Row],[Order Date]])</f>
        <v>2025</v>
      </c>
      <c r="D1339" s="22" t="str">
        <f>TEXT(Table1_1[[#This Row],[Order Date]],"MMMM")</f>
        <v>October</v>
      </c>
      <c r="E1339" s="22" t="s">
        <v>16</v>
      </c>
      <c r="F1339" s="22" t="s">
        <v>17</v>
      </c>
      <c r="G1339" s="22" t="s">
        <v>38</v>
      </c>
      <c r="H1339" s="22" t="s">
        <v>29</v>
      </c>
      <c r="I1339" s="22" t="s">
        <v>40</v>
      </c>
      <c r="J1339" s="22" t="s">
        <v>41</v>
      </c>
      <c r="K1339" s="22" t="s">
        <v>42</v>
      </c>
      <c r="L1339" s="22" t="s">
        <v>33</v>
      </c>
      <c r="M1339" s="22" t="s">
        <v>78</v>
      </c>
      <c r="N1339" s="22">
        <v>37</v>
      </c>
      <c r="O1339" s="26">
        <v>55230</v>
      </c>
      <c r="P1339" s="22">
        <v>0.05</v>
      </c>
      <c r="Q1339" s="30">
        <v>33800</v>
      </c>
      <c r="R1339" s="33">
        <f>Table1_1[[#This Row],[Units Sold]]*Table1_1[[#This Row],[Unit Price]]*1-Table1_1[[#This Row],[Discount]]</f>
        <v>2043509.95</v>
      </c>
      <c r="S1339" s="33">
        <f>Table1_1[[#This Row],[Units Sold]]*Table1_1[[#This Row],[Unit Cost]]</f>
        <v>1250600</v>
      </c>
      <c r="T1339" s="33">
        <f>Table1_1[[#This Row],[Sales Amount]]-S1339</f>
        <v>792909.95</v>
      </c>
      <c r="U1339" s="32">
        <f>IFERROR(Table1_1[[#This Row],[Profit/loss]]/Table1_1[[#This Row],[Sales Amount]],0)</f>
        <v>0.38801374566343561</v>
      </c>
    </row>
    <row r="1340" spans="1:21" ht="18" x14ac:dyDescent="0.35">
      <c r="A1340" s="21" t="s">
        <v>1447</v>
      </c>
      <c r="B1340" s="36">
        <v>45946</v>
      </c>
      <c r="C1340" s="22">
        <f>YEAR(Table1_1[[#This Row],[Order Date]])</f>
        <v>2025</v>
      </c>
      <c r="D1340" s="22" t="str">
        <f>TEXT(Table1_1[[#This Row],[Order Date]],"MMMM")</f>
        <v>October</v>
      </c>
      <c r="E1340" s="22" t="s">
        <v>82</v>
      </c>
      <c r="F1340" s="22" t="s">
        <v>83</v>
      </c>
      <c r="G1340" s="22" t="s">
        <v>38</v>
      </c>
      <c r="H1340" s="22" t="s">
        <v>19</v>
      </c>
      <c r="I1340" s="22" t="s">
        <v>70</v>
      </c>
      <c r="J1340" s="22" t="s">
        <v>71</v>
      </c>
      <c r="K1340" s="22" t="s">
        <v>80</v>
      </c>
      <c r="L1340" s="22" t="s">
        <v>23</v>
      </c>
      <c r="M1340" s="22" t="s">
        <v>24</v>
      </c>
      <c r="N1340" s="22">
        <v>23</v>
      </c>
      <c r="O1340" s="26">
        <v>1299</v>
      </c>
      <c r="P1340" s="22">
        <v>0.18</v>
      </c>
      <c r="Q1340" s="30">
        <v>720</v>
      </c>
      <c r="R1340" s="33">
        <f>Table1_1[[#This Row],[Units Sold]]*Table1_1[[#This Row],[Unit Price]]*1-Table1_1[[#This Row],[Discount]]</f>
        <v>29876.82</v>
      </c>
      <c r="S1340" s="33">
        <f>Table1_1[[#This Row],[Units Sold]]*Table1_1[[#This Row],[Unit Cost]]</f>
        <v>16560</v>
      </c>
      <c r="T1340" s="33">
        <f>Table1_1[[#This Row],[Sales Amount]]-S1340</f>
        <v>13316.82</v>
      </c>
      <c r="U1340" s="32">
        <f>IFERROR(Table1_1[[#This Row],[Profit/loss]]/Table1_1[[#This Row],[Sales Amount]],0)</f>
        <v>0.44572414333252336</v>
      </c>
    </row>
    <row r="1341" spans="1:21" ht="18" x14ac:dyDescent="0.35">
      <c r="A1341" s="21" t="s">
        <v>1448</v>
      </c>
      <c r="B1341" s="36">
        <v>45946</v>
      </c>
      <c r="C1341" s="22">
        <f>YEAR(Table1_1[[#This Row],[Order Date]])</f>
        <v>2025</v>
      </c>
      <c r="D1341" s="22" t="str">
        <f>TEXT(Table1_1[[#This Row],[Order Date]],"MMMM")</f>
        <v>October</v>
      </c>
      <c r="E1341" s="22" t="s">
        <v>16</v>
      </c>
      <c r="F1341" s="22" t="s">
        <v>98</v>
      </c>
      <c r="G1341" s="22" t="s">
        <v>84</v>
      </c>
      <c r="H1341" s="22" t="s">
        <v>39</v>
      </c>
      <c r="I1341" s="22" t="s">
        <v>54</v>
      </c>
      <c r="J1341" s="22" t="s">
        <v>90</v>
      </c>
      <c r="K1341" s="22" t="s">
        <v>1625</v>
      </c>
      <c r="L1341" s="22" t="s">
        <v>57</v>
      </c>
      <c r="M1341" s="22" t="s">
        <v>78</v>
      </c>
      <c r="N1341" s="22">
        <v>21</v>
      </c>
      <c r="O1341" s="26">
        <v>32800</v>
      </c>
      <c r="P1341" s="22">
        <v>0.1</v>
      </c>
      <c r="Q1341" s="30">
        <v>23100</v>
      </c>
      <c r="R1341" s="33">
        <f>Table1_1[[#This Row],[Units Sold]]*Table1_1[[#This Row],[Unit Price]]*1-Table1_1[[#This Row],[Discount]]</f>
        <v>688799.9</v>
      </c>
      <c r="S1341" s="33">
        <f>Table1_1[[#This Row],[Units Sold]]*Table1_1[[#This Row],[Unit Cost]]</f>
        <v>485100</v>
      </c>
      <c r="T1341" s="33">
        <f>Table1_1[[#This Row],[Sales Amount]]-S1341</f>
        <v>203699.90000000002</v>
      </c>
      <c r="U1341" s="32">
        <f>IFERROR(Table1_1[[#This Row],[Profit/loss]]/Table1_1[[#This Row],[Sales Amount]],0)</f>
        <v>0.29573160507137125</v>
      </c>
    </row>
    <row r="1342" spans="1:21" ht="18" x14ac:dyDescent="0.35">
      <c r="A1342" s="21" t="s">
        <v>1449</v>
      </c>
      <c r="B1342" s="36">
        <v>45946</v>
      </c>
      <c r="C1342" s="22">
        <f>YEAR(Table1_1[[#This Row],[Order Date]])</f>
        <v>2025</v>
      </c>
      <c r="D1342" s="22" t="str">
        <f>TEXT(Table1_1[[#This Row],[Order Date]],"MMMM")</f>
        <v>October</v>
      </c>
      <c r="E1342" s="22" t="s">
        <v>48</v>
      </c>
      <c r="F1342" s="22" t="s">
        <v>68</v>
      </c>
      <c r="G1342" s="22" t="s">
        <v>75</v>
      </c>
      <c r="H1342" s="22" t="s">
        <v>19</v>
      </c>
      <c r="I1342" s="22" t="s">
        <v>70</v>
      </c>
      <c r="J1342" s="22" t="s">
        <v>71</v>
      </c>
      <c r="K1342" s="22" t="s">
        <v>88</v>
      </c>
      <c r="L1342" s="22" t="s">
        <v>33</v>
      </c>
      <c r="M1342" s="22" t="s">
        <v>66</v>
      </c>
      <c r="N1342" s="22">
        <v>21</v>
      </c>
      <c r="O1342" s="26">
        <v>999</v>
      </c>
      <c r="P1342" s="22">
        <v>0.15</v>
      </c>
      <c r="Q1342" s="30">
        <v>540</v>
      </c>
      <c r="R1342" s="33">
        <f>Table1_1[[#This Row],[Units Sold]]*Table1_1[[#This Row],[Unit Price]]*1-Table1_1[[#This Row],[Discount]]</f>
        <v>20978.85</v>
      </c>
      <c r="S1342" s="33">
        <f>Table1_1[[#This Row],[Units Sold]]*Table1_1[[#This Row],[Unit Cost]]</f>
        <v>11340</v>
      </c>
      <c r="T1342" s="33">
        <f>Table1_1[[#This Row],[Sales Amount]]-S1342</f>
        <v>9638.8499999999985</v>
      </c>
      <c r="U1342" s="32">
        <f>IFERROR(Table1_1[[#This Row],[Profit/loss]]/Table1_1[[#This Row],[Sales Amount]],0)</f>
        <v>0.45945559456309565</v>
      </c>
    </row>
    <row r="1343" spans="1:21" ht="18" x14ac:dyDescent="0.35">
      <c r="A1343" s="21" t="s">
        <v>1450</v>
      </c>
      <c r="B1343" s="36">
        <v>45947</v>
      </c>
      <c r="C1343" s="22">
        <f>YEAR(Table1_1[[#This Row],[Order Date]])</f>
        <v>2025</v>
      </c>
      <c r="D1343" s="22" t="str">
        <f>TEXT(Table1_1[[#This Row],[Order Date]],"MMMM")</f>
        <v>October</v>
      </c>
      <c r="E1343" s="22" t="s">
        <v>48</v>
      </c>
      <c r="F1343" s="22" t="s">
        <v>136</v>
      </c>
      <c r="G1343" s="22" t="s">
        <v>50</v>
      </c>
      <c r="H1343" s="22" t="s">
        <v>19</v>
      </c>
      <c r="I1343" s="22" t="s">
        <v>54</v>
      </c>
      <c r="J1343" s="22" t="s">
        <v>129</v>
      </c>
      <c r="K1343" s="22" t="s">
        <v>130</v>
      </c>
      <c r="L1343" s="22" t="s">
        <v>57</v>
      </c>
      <c r="M1343" s="22" t="s">
        <v>24</v>
      </c>
      <c r="N1343" s="22">
        <v>40</v>
      </c>
      <c r="O1343" s="26">
        <v>27890</v>
      </c>
      <c r="P1343" s="22">
        <v>0.15</v>
      </c>
      <c r="Q1343" s="30">
        <v>18800</v>
      </c>
      <c r="R1343" s="33">
        <f>Table1_1[[#This Row],[Units Sold]]*Table1_1[[#This Row],[Unit Price]]*1-Table1_1[[#This Row],[Discount]]</f>
        <v>1115599.8500000001</v>
      </c>
      <c r="S1343" s="33">
        <f>Table1_1[[#This Row],[Units Sold]]*Table1_1[[#This Row],[Unit Cost]]</f>
        <v>752000</v>
      </c>
      <c r="T1343" s="33">
        <f>Table1_1[[#This Row],[Sales Amount]]-S1343</f>
        <v>363599.85000000009</v>
      </c>
      <c r="U1343" s="32">
        <f>IFERROR(Table1_1[[#This Row],[Profit/loss]]/Table1_1[[#This Row],[Sales Amount]],0)</f>
        <v>0.32592317935503495</v>
      </c>
    </row>
    <row r="1344" spans="1:21" ht="18" x14ac:dyDescent="0.35">
      <c r="A1344" s="21" t="s">
        <v>1451</v>
      </c>
      <c r="B1344" s="36">
        <v>45948</v>
      </c>
      <c r="C1344" s="22">
        <f>YEAR(Table1_1[[#This Row],[Order Date]])</f>
        <v>2025</v>
      </c>
      <c r="D1344" s="22" t="str">
        <f>TEXT(Table1_1[[#This Row],[Order Date]],"MMMM")</f>
        <v>October</v>
      </c>
      <c r="E1344" s="22" t="s">
        <v>82</v>
      </c>
      <c r="F1344" s="22" t="s">
        <v>183</v>
      </c>
      <c r="G1344" s="22" t="s">
        <v>101</v>
      </c>
      <c r="H1344" s="22" t="s">
        <v>29</v>
      </c>
      <c r="I1344" s="22" t="s">
        <v>40</v>
      </c>
      <c r="J1344" s="22" t="s">
        <v>64</v>
      </c>
      <c r="K1344" s="22" t="s">
        <v>1629</v>
      </c>
      <c r="L1344" s="22" t="s">
        <v>57</v>
      </c>
      <c r="M1344" s="22" t="s">
        <v>34</v>
      </c>
      <c r="N1344" s="22">
        <v>36</v>
      </c>
      <c r="O1344" s="26">
        <v>3299</v>
      </c>
      <c r="P1344" s="22">
        <v>0.15</v>
      </c>
      <c r="Q1344" s="30">
        <v>2050</v>
      </c>
      <c r="R1344" s="33">
        <f>Table1_1[[#This Row],[Units Sold]]*Table1_1[[#This Row],[Unit Price]]*1-Table1_1[[#This Row],[Discount]]</f>
        <v>118763.85</v>
      </c>
      <c r="S1344" s="33">
        <f>Table1_1[[#This Row],[Units Sold]]*Table1_1[[#This Row],[Unit Cost]]</f>
        <v>73800</v>
      </c>
      <c r="T1344" s="33">
        <f>Table1_1[[#This Row],[Sales Amount]]-S1344</f>
        <v>44963.850000000006</v>
      </c>
      <c r="U1344" s="32">
        <f>IFERROR(Table1_1[[#This Row],[Profit/loss]]/Table1_1[[#This Row],[Sales Amount]],0)</f>
        <v>0.37859879079366326</v>
      </c>
    </row>
    <row r="1345" spans="1:21" ht="18" x14ac:dyDescent="0.35">
      <c r="A1345" s="21" t="s">
        <v>1452</v>
      </c>
      <c r="B1345" s="36">
        <v>45948</v>
      </c>
      <c r="C1345" s="22">
        <f>YEAR(Table1_1[[#This Row],[Order Date]])</f>
        <v>2025</v>
      </c>
      <c r="D1345" s="22" t="str">
        <f>TEXT(Table1_1[[#This Row],[Order Date]],"MMMM")</f>
        <v>October</v>
      </c>
      <c r="E1345" s="22" t="s">
        <v>48</v>
      </c>
      <c r="F1345" s="22" t="s">
        <v>49</v>
      </c>
      <c r="G1345" s="22" t="s">
        <v>75</v>
      </c>
      <c r="H1345" s="22" t="s">
        <v>39</v>
      </c>
      <c r="I1345" s="22" t="s">
        <v>40</v>
      </c>
      <c r="J1345" s="22" t="s">
        <v>41</v>
      </c>
      <c r="K1345" s="22" t="s">
        <v>42</v>
      </c>
      <c r="L1345" s="22" t="s">
        <v>33</v>
      </c>
      <c r="M1345" s="22" t="s">
        <v>24</v>
      </c>
      <c r="N1345" s="22">
        <v>29</v>
      </c>
      <c r="O1345" s="26">
        <v>55230</v>
      </c>
      <c r="P1345" s="22">
        <v>0.12</v>
      </c>
      <c r="Q1345" s="30">
        <v>33800</v>
      </c>
      <c r="R1345" s="33">
        <f>Table1_1[[#This Row],[Units Sold]]*Table1_1[[#This Row],[Unit Price]]*1-Table1_1[[#This Row],[Discount]]</f>
        <v>1601669.88</v>
      </c>
      <c r="S1345" s="33">
        <f>Table1_1[[#This Row],[Units Sold]]*Table1_1[[#This Row],[Unit Cost]]</f>
        <v>980200</v>
      </c>
      <c r="T1345" s="33">
        <f>Table1_1[[#This Row],[Sales Amount]]-S1345</f>
        <v>621469.87999999989</v>
      </c>
      <c r="U1345" s="32">
        <f>IFERROR(Table1_1[[#This Row],[Profit/loss]]/Table1_1[[#This Row],[Sales Amount]],0)</f>
        <v>0.38801371478622043</v>
      </c>
    </row>
    <row r="1346" spans="1:21" ht="18" x14ac:dyDescent="0.35">
      <c r="A1346" s="21" t="s">
        <v>1453</v>
      </c>
      <c r="B1346" s="36">
        <v>45949</v>
      </c>
      <c r="C1346" s="22">
        <f>YEAR(Table1_1[[#This Row],[Order Date]])</f>
        <v>2025</v>
      </c>
      <c r="D1346" s="22" t="str">
        <f>TEXT(Table1_1[[#This Row],[Order Date]],"MMMM")</f>
        <v>October</v>
      </c>
      <c r="E1346" s="22" t="s">
        <v>48</v>
      </c>
      <c r="F1346" s="22" t="s">
        <v>49</v>
      </c>
      <c r="G1346" s="22" t="s">
        <v>60</v>
      </c>
      <c r="H1346" s="22" t="s">
        <v>39</v>
      </c>
      <c r="I1346" s="22" t="s">
        <v>20</v>
      </c>
      <c r="J1346" s="22" t="s">
        <v>45</v>
      </c>
      <c r="K1346" s="22" t="s">
        <v>1622</v>
      </c>
      <c r="L1346" s="22" t="s">
        <v>57</v>
      </c>
      <c r="M1346" s="22" t="s">
        <v>34</v>
      </c>
      <c r="N1346" s="22">
        <v>9</v>
      </c>
      <c r="O1346" s="26">
        <v>1599</v>
      </c>
      <c r="P1346" s="22">
        <v>0.05</v>
      </c>
      <c r="Q1346" s="30">
        <v>920</v>
      </c>
      <c r="R1346" s="33">
        <f>Table1_1[[#This Row],[Units Sold]]*Table1_1[[#This Row],[Unit Price]]*1-Table1_1[[#This Row],[Discount]]</f>
        <v>14390.95</v>
      </c>
      <c r="S1346" s="33">
        <f>Table1_1[[#This Row],[Units Sold]]*Table1_1[[#This Row],[Unit Cost]]</f>
        <v>8280</v>
      </c>
      <c r="T1346" s="33">
        <f>Table1_1[[#This Row],[Sales Amount]]-S1346</f>
        <v>6110.9500000000007</v>
      </c>
      <c r="U1346" s="32">
        <f>IFERROR(Table1_1[[#This Row],[Profit/loss]]/Table1_1[[#This Row],[Sales Amount]],0)</f>
        <v>0.42463840121743179</v>
      </c>
    </row>
    <row r="1347" spans="1:21" ht="18" x14ac:dyDescent="0.35">
      <c r="A1347" s="21" t="s">
        <v>1454</v>
      </c>
      <c r="B1347" s="36">
        <v>45949</v>
      </c>
      <c r="C1347" s="22">
        <f>YEAR(Table1_1[[#This Row],[Order Date]])</f>
        <v>2025</v>
      </c>
      <c r="D1347" s="22" t="str">
        <f>TEXT(Table1_1[[#This Row],[Order Date]],"MMMM")</f>
        <v>October</v>
      </c>
      <c r="E1347" s="22" t="s">
        <v>26</v>
      </c>
      <c r="F1347" s="22" t="s">
        <v>53</v>
      </c>
      <c r="G1347" s="22" t="s">
        <v>28</v>
      </c>
      <c r="H1347" s="22" t="s">
        <v>39</v>
      </c>
      <c r="I1347" s="22" t="s">
        <v>40</v>
      </c>
      <c r="J1347" s="22" t="s">
        <v>64</v>
      </c>
      <c r="K1347" s="22" t="s">
        <v>1627</v>
      </c>
      <c r="L1347" s="22" t="s">
        <v>33</v>
      </c>
      <c r="M1347" s="22" t="s">
        <v>24</v>
      </c>
      <c r="N1347" s="22">
        <v>21</v>
      </c>
      <c r="O1347" s="26">
        <v>4490</v>
      </c>
      <c r="P1347" s="22">
        <v>0.05</v>
      </c>
      <c r="Q1347" s="30">
        <v>2950</v>
      </c>
      <c r="R1347" s="33">
        <f>Table1_1[[#This Row],[Units Sold]]*Table1_1[[#This Row],[Unit Price]]*1-Table1_1[[#This Row],[Discount]]</f>
        <v>94289.95</v>
      </c>
      <c r="S1347" s="33">
        <f>Table1_1[[#This Row],[Units Sold]]*Table1_1[[#This Row],[Unit Cost]]</f>
        <v>61950</v>
      </c>
      <c r="T1347" s="33">
        <f>Table1_1[[#This Row],[Sales Amount]]-S1347</f>
        <v>32339.949999999997</v>
      </c>
      <c r="U1347" s="32">
        <f>IFERROR(Table1_1[[#This Row],[Profit/loss]]/Table1_1[[#This Row],[Sales Amount]],0)</f>
        <v>0.34298406139784776</v>
      </c>
    </row>
    <row r="1348" spans="1:21" ht="18" x14ac:dyDescent="0.35">
      <c r="A1348" s="21" t="s">
        <v>1455</v>
      </c>
      <c r="B1348" s="36">
        <v>45949</v>
      </c>
      <c r="C1348" s="22">
        <f>YEAR(Table1_1[[#This Row],[Order Date]])</f>
        <v>2025</v>
      </c>
      <c r="D1348" s="22" t="str">
        <f>TEXT(Table1_1[[#This Row],[Order Date]],"MMMM")</f>
        <v>October</v>
      </c>
      <c r="E1348" s="22" t="s">
        <v>36</v>
      </c>
      <c r="F1348" s="22" t="s">
        <v>44</v>
      </c>
      <c r="G1348" s="22" t="s">
        <v>18</v>
      </c>
      <c r="H1348" s="22" t="s">
        <v>29</v>
      </c>
      <c r="I1348" s="22" t="s">
        <v>40</v>
      </c>
      <c r="J1348" s="22" t="s">
        <v>41</v>
      </c>
      <c r="K1348" s="22" t="s">
        <v>42</v>
      </c>
      <c r="L1348" s="22" t="s">
        <v>33</v>
      </c>
      <c r="M1348" s="22" t="s">
        <v>66</v>
      </c>
      <c r="N1348" s="22">
        <v>14</v>
      </c>
      <c r="O1348" s="26">
        <v>55230</v>
      </c>
      <c r="P1348" s="22">
        <v>0.08</v>
      </c>
      <c r="Q1348" s="30">
        <v>33800</v>
      </c>
      <c r="R1348" s="33">
        <f>Table1_1[[#This Row],[Units Sold]]*Table1_1[[#This Row],[Unit Price]]*1-Table1_1[[#This Row],[Discount]]</f>
        <v>773219.92</v>
      </c>
      <c r="S1348" s="33">
        <f>Table1_1[[#This Row],[Units Sold]]*Table1_1[[#This Row],[Unit Cost]]</f>
        <v>473200</v>
      </c>
      <c r="T1348" s="33">
        <f>Table1_1[[#This Row],[Sales Amount]]-S1348</f>
        <v>300019.92000000004</v>
      </c>
      <c r="U1348" s="32">
        <f>IFERROR(Table1_1[[#This Row],[Profit/loss]]/Table1_1[[#This Row],[Sales Amount]],0)</f>
        <v>0.38801369731912755</v>
      </c>
    </row>
    <row r="1349" spans="1:21" ht="18" x14ac:dyDescent="0.35">
      <c r="A1349" s="21" t="s">
        <v>1456</v>
      </c>
      <c r="B1349" s="36">
        <v>45950</v>
      </c>
      <c r="C1349" s="22">
        <f>YEAR(Table1_1[[#This Row],[Order Date]])</f>
        <v>2025</v>
      </c>
      <c r="D1349" s="22" t="str">
        <f>TEXT(Table1_1[[#This Row],[Order Date]],"MMMM")</f>
        <v>October</v>
      </c>
      <c r="E1349" s="22" t="s">
        <v>48</v>
      </c>
      <c r="F1349" s="22" t="s">
        <v>68</v>
      </c>
      <c r="G1349" s="22" t="s">
        <v>69</v>
      </c>
      <c r="H1349" s="22" t="s">
        <v>39</v>
      </c>
      <c r="I1349" s="22" t="s">
        <v>20</v>
      </c>
      <c r="J1349" s="22" t="s">
        <v>45</v>
      </c>
      <c r="K1349" s="22" t="s">
        <v>1618</v>
      </c>
      <c r="L1349" s="22" t="s">
        <v>57</v>
      </c>
      <c r="M1349" s="22" t="s">
        <v>24</v>
      </c>
      <c r="N1349" s="22">
        <v>22</v>
      </c>
      <c r="O1349" s="26">
        <v>1899</v>
      </c>
      <c r="P1349" s="22">
        <v>0.05</v>
      </c>
      <c r="Q1349" s="30">
        <v>1080</v>
      </c>
      <c r="R1349" s="33">
        <f>Table1_1[[#This Row],[Units Sold]]*Table1_1[[#This Row],[Unit Price]]*1-Table1_1[[#This Row],[Discount]]</f>
        <v>41777.949999999997</v>
      </c>
      <c r="S1349" s="33">
        <f>Table1_1[[#This Row],[Units Sold]]*Table1_1[[#This Row],[Unit Cost]]</f>
        <v>23760</v>
      </c>
      <c r="T1349" s="33">
        <f>Table1_1[[#This Row],[Sales Amount]]-S1349</f>
        <v>18017.949999999997</v>
      </c>
      <c r="U1349" s="32">
        <f>IFERROR(Table1_1[[#This Row],[Profit/loss]]/Table1_1[[#This Row],[Sales Amount]],0)</f>
        <v>0.43127894020649643</v>
      </c>
    </row>
    <row r="1350" spans="1:21" ht="18" x14ac:dyDescent="0.35">
      <c r="A1350" s="21" t="s">
        <v>1457</v>
      </c>
      <c r="B1350" s="36">
        <v>45950</v>
      </c>
      <c r="C1350" s="22">
        <f>YEAR(Table1_1[[#This Row],[Order Date]])</f>
        <v>2025</v>
      </c>
      <c r="D1350" s="22" t="str">
        <f>TEXT(Table1_1[[#This Row],[Order Date]],"MMMM")</f>
        <v>October</v>
      </c>
      <c r="E1350" s="22" t="s">
        <v>82</v>
      </c>
      <c r="F1350" s="22" t="s">
        <v>87</v>
      </c>
      <c r="G1350" s="22" t="s">
        <v>38</v>
      </c>
      <c r="H1350" s="22" t="s">
        <v>29</v>
      </c>
      <c r="I1350" s="22" t="s">
        <v>20</v>
      </c>
      <c r="J1350" s="22" t="s">
        <v>21</v>
      </c>
      <c r="K1350" s="22" t="s">
        <v>115</v>
      </c>
      <c r="L1350" s="22" t="s">
        <v>57</v>
      </c>
      <c r="M1350" s="22" t="s">
        <v>24</v>
      </c>
      <c r="N1350" s="22">
        <v>14</v>
      </c>
      <c r="O1350" s="26">
        <v>6499</v>
      </c>
      <c r="P1350" s="22">
        <v>0.05</v>
      </c>
      <c r="Q1350" s="30">
        <v>4210</v>
      </c>
      <c r="R1350" s="33">
        <f>Table1_1[[#This Row],[Units Sold]]*Table1_1[[#This Row],[Unit Price]]*1-Table1_1[[#This Row],[Discount]]</f>
        <v>90985.95</v>
      </c>
      <c r="S1350" s="33">
        <f>Table1_1[[#This Row],[Units Sold]]*Table1_1[[#This Row],[Unit Cost]]</f>
        <v>58940</v>
      </c>
      <c r="T1350" s="33">
        <f>Table1_1[[#This Row],[Sales Amount]]-S1350</f>
        <v>32045.949999999997</v>
      </c>
      <c r="U1350" s="32">
        <f>IFERROR(Table1_1[[#This Row],[Profit/loss]]/Table1_1[[#This Row],[Sales Amount]],0)</f>
        <v>0.35220767602030861</v>
      </c>
    </row>
    <row r="1351" spans="1:21" ht="18" x14ac:dyDescent="0.35">
      <c r="A1351" s="21" t="s">
        <v>1458</v>
      </c>
      <c r="B1351" s="36">
        <v>45952</v>
      </c>
      <c r="C1351" s="22">
        <f>YEAR(Table1_1[[#This Row],[Order Date]])</f>
        <v>2025</v>
      </c>
      <c r="D1351" s="22" t="str">
        <f>TEXT(Table1_1[[#This Row],[Order Date]],"MMMM")</f>
        <v>October</v>
      </c>
      <c r="E1351" s="22" t="s">
        <v>26</v>
      </c>
      <c r="F1351" s="22" t="s">
        <v>74</v>
      </c>
      <c r="G1351" s="22" t="s">
        <v>101</v>
      </c>
      <c r="H1351" s="22" t="s">
        <v>29</v>
      </c>
      <c r="I1351" s="22" t="s">
        <v>54</v>
      </c>
      <c r="J1351" s="22" t="s">
        <v>55</v>
      </c>
      <c r="K1351" s="22" t="s">
        <v>1623</v>
      </c>
      <c r="L1351" s="22" t="s">
        <v>33</v>
      </c>
      <c r="M1351" s="22" t="s">
        <v>66</v>
      </c>
      <c r="N1351" s="22">
        <v>1</v>
      </c>
      <c r="O1351" s="26">
        <v>5890</v>
      </c>
      <c r="P1351" s="22">
        <v>0.1</v>
      </c>
      <c r="Q1351" s="30">
        <v>3980</v>
      </c>
      <c r="R1351" s="33">
        <f>Table1_1[[#This Row],[Units Sold]]*Table1_1[[#This Row],[Unit Price]]*1-Table1_1[[#This Row],[Discount]]</f>
        <v>5889.9</v>
      </c>
      <c r="S1351" s="33">
        <f>Table1_1[[#This Row],[Units Sold]]*Table1_1[[#This Row],[Unit Cost]]</f>
        <v>3980</v>
      </c>
      <c r="T1351" s="33">
        <f>Table1_1[[#This Row],[Sales Amount]]-S1351</f>
        <v>1909.8999999999996</v>
      </c>
      <c r="U1351" s="32">
        <f>IFERROR(Table1_1[[#This Row],[Profit/loss]]/Table1_1[[#This Row],[Sales Amount]],0)</f>
        <v>0.32426696548328493</v>
      </c>
    </row>
    <row r="1352" spans="1:21" ht="18" x14ac:dyDescent="0.35">
      <c r="A1352" s="21" t="s">
        <v>1459</v>
      </c>
      <c r="B1352" s="36">
        <v>45952</v>
      </c>
      <c r="C1352" s="22">
        <f>YEAR(Table1_1[[#This Row],[Order Date]])</f>
        <v>2025</v>
      </c>
      <c r="D1352" s="22" t="str">
        <f>TEXT(Table1_1[[#This Row],[Order Date]],"MMMM")</f>
        <v>October</v>
      </c>
      <c r="E1352" s="22" t="s">
        <v>82</v>
      </c>
      <c r="F1352" s="22" t="s">
        <v>83</v>
      </c>
      <c r="G1352" s="22" t="s">
        <v>101</v>
      </c>
      <c r="H1352" s="22" t="s">
        <v>19</v>
      </c>
      <c r="I1352" s="22" t="s">
        <v>30</v>
      </c>
      <c r="J1352" s="22" t="s">
        <v>61</v>
      </c>
      <c r="K1352" s="22" t="s">
        <v>96</v>
      </c>
      <c r="L1352" s="22" t="s">
        <v>57</v>
      </c>
      <c r="M1352" s="22" t="s">
        <v>34</v>
      </c>
      <c r="N1352" s="22">
        <v>33</v>
      </c>
      <c r="O1352" s="26">
        <v>25110</v>
      </c>
      <c r="P1352" s="22">
        <v>0.08</v>
      </c>
      <c r="Q1352" s="30">
        <v>16730</v>
      </c>
      <c r="R1352" s="33">
        <f>Table1_1[[#This Row],[Units Sold]]*Table1_1[[#This Row],[Unit Price]]*1-Table1_1[[#This Row],[Discount]]</f>
        <v>828629.92</v>
      </c>
      <c r="S1352" s="33">
        <f>Table1_1[[#This Row],[Units Sold]]*Table1_1[[#This Row],[Unit Cost]]</f>
        <v>552090</v>
      </c>
      <c r="T1352" s="33">
        <f>Table1_1[[#This Row],[Sales Amount]]-S1352</f>
        <v>276539.92000000004</v>
      </c>
      <c r="U1352" s="32">
        <f>IFERROR(Table1_1[[#This Row],[Profit/loss]]/Table1_1[[#This Row],[Sales Amount]],0)</f>
        <v>0.33373151671858531</v>
      </c>
    </row>
    <row r="1353" spans="1:21" ht="18" x14ac:dyDescent="0.35">
      <c r="A1353" s="21" t="s">
        <v>1460</v>
      </c>
      <c r="B1353" s="36">
        <v>45952</v>
      </c>
      <c r="C1353" s="22">
        <f>YEAR(Table1_1[[#This Row],[Order Date]])</f>
        <v>2025</v>
      </c>
      <c r="D1353" s="22" t="str">
        <f>TEXT(Table1_1[[#This Row],[Order Date]],"MMMM")</f>
        <v>October</v>
      </c>
      <c r="E1353" s="22" t="s">
        <v>16</v>
      </c>
      <c r="F1353" s="22" t="s">
        <v>17</v>
      </c>
      <c r="G1353" s="22" t="s">
        <v>101</v>
      </c>
      <c r="H1353" s="22" t="s">
        <v>39</v>
      </c>
      <c r="I1353" s="22" t="s">
        <v>40</v>
      </c>
      <c r="J1353" s="22" t="s">
        <v>41</v>
      </c>
      <c r="K1353" s="22" t="s">
        <v>1624</v>
      </c>
      <c r="L1353" s="22" t="s">
        <v>23</v>
      </c>
      <c r="M1353" s="22" t="s">
        <v>66</v>
      </c>
      <c r="N1353" s="22">
        <v>25</v>
      </c>
      <c r="O1353" s="26">
        <v>48990</v>
      </c>
      <c r="P1353" s="22">
        <v>0.1</v>
      </c>
      <c r="Q1353" s="30">
        <v>30100</v>
      </c>
      <c r="R1353" s="33">
        <f>Table1_1[[#This Row],[Units Sold]]*Table1_1[[#This Row],[Unit Price]]*1-Table1_1[[#This Row],[Discount]]</f>
        <v>1224749.8999999999</v>
      </c>
      <c r="S1353" s="33">
        <f>Table1_1[[#This Row],[Units Sold]]*Table1_1[[#This Row],[Unit Cost]]</f>
        <v>752500</v>
      </c>
      <c r="T1353" s="33">
        <f>Table1_1[[#This Row],[Sales Amount]]-S1353</f>
        <v>472249.89999999991</v>
      </c>
      <c r="U1353" s="32">
        <f>IFERROR(Table1_1[[#This Row],[Profit/loss]]/Table1_1[[#This Row],[Sales Amount]],0)</f>
        <v>0.38558884552674788</v>
      </c>
    </row>
    <row r="1354" spans="1:21" ht="18" x14ac:dyDescent="0.35">
      <c r="A1354" s="21" t="s">
        <v>1461</v>
      </c>
      <c r="B1354" s="36">
        <v>45953</v>
      </c>
      <c r="C1354" s="22">
        <f>YEAR(Table1_1[[#This Row],[Order Date]])</f>
        <v>2025</v>
      </c>
      <c r="D1354" s="22" t="str">
        <f>TEXT(Table1_1[[#This Row],[Order Date]],"MMMM")</f>
        <v>October</v>
      </c>
      <c r="E1354" s="22" t="s">
        <v>36</v>
      </c>
      <c r="F1354" s="22" t="s">
        <v>44</v>
      </c>
      <c r="G1354" s="22" t="s">
        <v>38</v>
      </c>
      <c r="H1354" s="22" t="s">
        <v>39</v>
      </c>
      <c r="I1354" s="22" t="s">
        <v>54</v>
      </c>
      <c r="J1354" s="22" t="s">
        <v>90</v>
      </c>
      <c r="K1354" s="22" t="s">
        <v>1625</v>
      </c>
      <c r="L1354" s="22" t="s">
        <v>23</v>
      </c>
      <c r="M1354" s="22" t="s">
        <v>66</v>
      </c>
      <c r="N1354" s="22">
        <v>27</v>
      </c>
      <c r="O1354" s="26">
        <v>32800</v>
      </c>
      <c r="P1354" s="22">
        <v>0.15</v>
      </c>
      <c r="Q1354" s="30">
        <v>23100</v>
      </c>
      <c r="R1354" s="33">
        <f>Table1_1[[#This Row],[Units Sold]]*Table1_1[[#This Row],[Unit Price]]*1-Table1_1[[#This Row],[Discount]]</f>
        <v>885599.85</v>
      </c>
      <c r="S1354" s="33">
        <f>Table1_1[[#This Row],[Units Sold]]*Table1_1[[#This Row],[Unit Cost]]</f>
        <v>623700</v>
      </c>
      <c r="T1354" s="33">
        <f>Table1_1[[#This Row],[Sales Amount]]-S1354</f>
        <v>261899.84999999998</v>
      </c>
      <c r="U1354" s="32">
        <f>IFERROR(Table1_1[[#This Row],[Profit/loss]]/Table1_1[[#This Row],[Sales Amount]],0)</f>
        <v>0.29573158803041799</v>
      </c>
    </row>
    <row r="1355" spans="1:21" ht="18" x14ac:dyDescent="0.35">
      <c r="A1355" s="21" t="s">
        <v>1462</v>
      </c>
      <c r="B1355" s="36">
        <v>45953</v>
      </c>
      <c r="C1355" s="22">
        <f>YEAR(Table1_1[[#This Row],[Order Date]])</f>
        <v>2025</v>
      </c>
      <c r="D1355" s="22" t="str">
        <f>TEXT(Table1_1[[#This Row],[Order Date]],"MMMM")</f>
        <v>October</v>
      </c>
      <c r="E1355" s="22" t="s">
        <v>82</v>
      </c>
      <c r="F1355" s="22" t="s">
        <v>87</v>
      </c>
      <c r="G1355" s="22" t="s">
        <v>18</v>
      </c>
      <c r="H1355" s="22" t="s">
        <v>39</v>
      </c>
      <c r="I1355" s="22" t="s">
        <v>20</v>
      </c>
      <c r="J1355" s="22" t="s">
        <v>21</v>
      </c>
      <c r="K1355" s="22" t="s">
        <v>22</v>
      </c>
      <c r="L1355" s="22" t="s">
        <v>23</v>
      </c>
      <c r="M1355" s="22" t="s">
        <v>34</v>
      </c>
      <c r="N1355" s="22">
        <v>4</v>
      </c>
      <c r="O1355" s="26">
        <v>4499</v>
      </c>
      <c r="P1355" s="22">
        <v>0.2</v>
      </c>
      <c r="Q1355" s="30">
        <v>2910</v>
      </c>
      <c r="R1355" s="33">
        <f>Table1_1[[#This Row],[Units Sold]]*Table1_1[[#This Row],[Unit Price]]*1-Table1_1[[#This Row],[Discount]]</f>
        <v>17995.8</v>
      </c>
      <c r="S1355" s="33">
        <f>Table1_1[[#This Row],[Units Sold]]*Table1_1[[#This Row],[Unit Cost]]</f>
        <v>11640</v>
      </c>
      <c r="T1355" s="33">
        <f>Table1_1[[#This Row],[Sales Amount]]-S1355</f>
        <v>6355.7999999999993</v>
      </c>
      <c r="U1355" s="32">
        <f>IFERROR(Table1_1[[#This Row],[Profit/loss]]/Table1_1[[#This Row],[Sales Amount]],0)</f>
        <v>0.35318240922882005</v>
      </c>
    </row>
    <row r="1356" spans="1:21" ht="18" x14ac:dyDescent="0.35">
      <c r="A1356" s="21" t="s">
        <v>1463</v>
      </c>
      <c r="B1356" s="36">
        <v>45953</v>
      </c>
      <c r="C1356" s="22">
        <f>YEAR(Table1_1[[#This Row],[Order Date]])</f>
        <v>2025</v>
      </c>
      <c r="D1356" s="22" t="str">
        <f>TEXT(Table1_1[[#This Row],[Order Date]],"MMMM")</f>
        <v>October</v>
      </c>
      <c r="E1356" s="22" t="s">
        <v>26</v>
      </c>
      <c r="F1356" s="22" t="s">
        <v>27</v>
      </c>
      <c r="G1356" s="22" t="s">
        <v>28</v>
      </c>
      <c r="H1356" s="22" t="s">
        <v>39</v>
      </c>
      <c r="I1356" s="22" t="s">
        <v>20</v>
      </c>
      <c r="J1356" s="22" t="s">
        <v>45</v>
      </c>
      <c r="K1356" s="22" t="s">
        <v>196</v>
      </c>
      <c r="L1356" s="22" t="s">
        <v>23</v>
      </c>
      <c r="M1356" s="22" t="s">
        <v>24</v>
      </c>
      <c r="N1356" s="22">
        <v>29</v>
      </c>
      <c r="O1356" s="26">
        <v>2499</v>
      </c>
      <c r="P1356" s="22">
        <v>0.08</v>
      </c>
      <c r="Q1356" s="30">
        <v>1510</v>
      </c>
      <c r="R1356" s="33">
        <f>Table1_1[[#This Row],[Units Sold]]*Table1_1[[#This Row],[Unit Price]]*1-Table1_1[[#This Row],[Discount]]</f>
        <v>72470.92</v>
      </c>
      <c r="S1356" s="33">
        <f>Table1_1[[#This Row],[Units Sold]]*Table1_1[[#This Row],[Unit Cost]]</f>
        <v>43790</v>
      </c>
      <c r="T1356" s="33">
        <f>Table1_1[[#This Row],[Sales Amount]]-S1356</f>
        <v>28680.92</v>
      </c>
      <c r="U1356" s="32">
        <f>IFERROR(Table1_1[[#This Row],[Profit/loss]]/Table1_1[[#This Row],[Sales Amount]],0)</f>
        <v>0.39575763630432731</v>
      </c>
    </row>
    <row r="1357" spans="1:21" ht="18" x14ac:dyDescent="0.35">
      <c r="A1357" s="21" t="s">
        <v>1464</v>
      </c>
      <c r="B1357" s="36">
        <v>45953</v>
      </c>
      <c r="C1357" s="22">
        <f>YEAR(Table1_1[[#This Row],[Order Date]])</f>
        <v>2025</v>
      </c>
      <c r="D1357" s="22" t="str">
        <f>TEXT(Table1_1[[#This Row],[Order Date]],"MMMM")</f>
        <v>October</v>
      </c>
      <c r="E1357" s="22" t="s">
        <v>82</v>
      </c>
      <c r="F1357" s="22" t="s">
        <v>100</v>
      </c>
      <c r="G1357" s="22" t="s">
        <v>28</v>
      </c>
      <c r="H1357" s="22" t="s">
        <v>39</v>
      </c>
      <c r="I1357" s="22" t="s">
        <v>54</v>
      </c>
      <c r="J1357" s="22" t="s">
        <v>90</v>
      </c>
      <c r="K1357" s="22" t="s">
        <v>1625</v>
      </c>
      <c r="L1357" s="22" t="s">
        <v>57</v>
      </c>
      <c r="M1357" s="22" t="s">
        <v>24</v>
      </c>
      <c r="N1357" s="22">
        <v>2</v>
      </c>
      <c r="O1357" s="26">
        <v>32800</v>
      </c>
      <c r="P1357" s="22">
        <v>0.08</v>
      </c>
      <c r="Q1357" s="30">
        <v>23100</v>
      </c>
      <c r="R1357" s="33">
        <f>Table1_1[[#This Row],[Units Sold]]*Table1_1[[#This Row],[Unit Price]]*1-Table1_1[[#This Row],[Discount]]</f>
        <v>65599.92</v>
      </c>
      <c r="S1357" s="33">
        <f>Table1_1[[#This Row],[Units Sold]]*Table1_1[[#This Row],[Unit Cost]]</f>
        <v>46200</v>
      </c>
      <c r="T1357" s="33">
        <f>Table1_1[[#This Row],[Sales Amount]]-S1357</f>
        <v>19399.919999999998</v>
      </c>
      <c r="U1357" s="32">
        <f>IFERROR(Table1_1[[#This Row],[Profit/loss]]/Table1_1[[#This Row],[Sales Amount]],0)</f>
        <v>0.29573084845225417</v>
      </c>
    </row>
    <row r="1358" spans="1:21" ht="18" x14ac:dyDescent="0.35">
      <c r="A1358" s="21" t="s">
        <v>1465</v>
      </c>
      <c r="B1358" s="36">
        <v>45954</v>
      </c>
      <c r="C1358" s="22">
        <f>YEAR(Table1_1[[#This Row],[Order Date]])</f>
        <v>2025</v>
      </c>
      <c r="D1358" s="22" t="str">
        <f>TEXT(Table1_1[[#This Row],[Order Date]],"MMMM")</f>
        <v>October</v>
      </c>
      <c r="E1358" s="22" t="s">
        <v>48</v>
      </c>
      <c r="F1358" s="22" t="s">
        <v>68</v>
      </c>
      <c r="G1358" s="22" t="s">
        <v>101</v>
      </c>
      <c r="H1358" s="22" t="s">
        <v>39</v>
      </c>
      <c r="I1358" s="22" t="s">
        <v>30</v>
      </c>
      <c r="J1358" s="22" t="s">
        <v>61</v>
      </c>
      <c r="K1358" s="22" t="s">
        <v>62</v>
      </c>
      <c r="L1358" s="22" t="s">
        <v>57</v>
      </c>
      <c r="M1358" s="22" t="s">
        <v>66</v>
      </c>
      <c r="N1358" s="22">
        <v>21</v>
      </c>
      <c r="O1358" s="26">
        <v>12490</v>
      </c>
      <c r="P1358" s="22">
        <v>0.2</v>
      </c>
      <c r="Q1358" s="30">
        <v>7900</v>
      </c>
      <c r="R1358" s="33">
        <f>Table1_1[[#This Row],[Units Sold]]*Table1_1[[#This Row],[Unit Price]]*1-Table1_1[[#This Row],[Discount]]</f>
        <v>262289.8</v>
      </c>
      <c r="S1358" s="33">
        <f>Table1_1[[#This Row],[Units Sold]]*Table1_1[[#This Row],[Unit Cost]]</f>
        <v>165900</v>
      </c>
      <c r="T1358" s="33">
        <f>Table1_1[[#This Row],[Sales Amount]]-S1358</f>
        <v>96389.799999999988</v>
      </c>
      <c r="U1358" s="32">
        <f>IFERROR(Table1_1[[#This Row],[Profit/loss]]/Table1_1[[#This Row],[Sales Amount]],0)</f>
        <v>0.36749351290061599</v>
      </c>
    </row>
    <row r="1359" spans="1:21" ht="18" x14ac:dyDescent="0.35">
      <c r="A1359" s="21" t="s">
        <v>1466</v>
      </c>
      <c r="B1359" s="36">
        <v>45955</v>
      </c>
      <c r="C1359" s="22">
        <f>YEAR(Table1_1[[#This Row],[Order Date]])</f>
        <v>2025</v>
      </c>
      <c r="D1359" s="22" t="str">
        <f>TEXT(Table1_1[[#This Row],[Order Date]],"MMMM")</f>
        <v>October</v>
      </c>
      <c r="E1359" s="22" t="s">
        <v>36</v>
      </c>
      <c r="F1359" s="22" t="s">
        <v>37</v>
      </c>
      <c r="G1359" s="22" t="s">
        <v>69</v>
      </c>
      <c r="H1359" s="22" t="s">
        <v>39</v>
      </c>
      <c r="I1359" s="22" t="s">
        <v>30</v>
      </c>
      <c r="J1359" s="22" t="s">
        <v>61</v>
      </c>
      <c r="K1359" s="22" t="s">
        <v>186</v>
      </c>
      <c r="L1359" s="22" t="s">
        <v>33</v>
      </c>
      <c r="M1359" s="22" t="s">
        <v>24</v>
      </c>
      <c r="N1359" s="22">
        <v>18</v>
      </c>
      <c r="O1359" s="26">
        <v>6999</v>
      </c>
      <c r="P1359" s="22">
        <v>0.08</v>
      </c>
      <c r="Q1359" s="30">
        <v>4320</v>
      </c>
      <c r="R1359" s="33">
        <f>Table1_1[[#This Row],[Units Sold]]*Table1_1[[#This Row],[Unit Price]]*1-Table1_1[[#This Row],[Discount]]</f>
        <v>125981.92</v>
      </c>
      <c r="S1359" s="33">
        <f>Table1_1[[#This Row],[Units Sold]]*Table1_1[[#This Row],[Unit Cost]]</f>
        <v>77760</v>
      </c>
      <c r="T1359" s="33">
        <f>Table1_1[[#This Row],[Sales Amount]]-S1359</f>
        <v>48221.919999999998</v>
      </c>
      <c r="U1359" s="32">
        <f>IFERROR(Table1_1[[#This Row],[Profit/loss]]/Table1_1[[#This Row],[Sales Amount]],0)</f>
        <v>0.38276857504632411</v>
      </c>
    </row>
    <row r="1360" spans="1:21" ht="18" x14ac:dyDescent="0.35">
      <c r="A1360" s="21" t="s">
        <v>1467</v>
      </c>
      <c r="B1360" s="36">
        <v>45955</v>
      </c>
      <c r="C1360" s="22">
        <f>YEAR(Table1_1[[#This Row],[Order Date]])</f>
        <v>2025</v>
      </c>
      <c r="D1360" s="22" t="str">
        <f>TEXT(Table1_1[[#This Row],[Order Date]],"MMMM")</f>
        <v>October</v>
      </c>
      <c r="E1360" s="22" t="s">
        <v>16</v>
      </c>
      <c r="F1360" s="22" t="s">
        <v>17</v>
      </c>
      <c r="G1360" s="22" t="s">
        <v>50</v>
      </c>
      <c r="H1360" s="22" t="s">
        <v>29</v>
      </c>
      <c r="I1360" s="22" t="s">
        <v>40</v>
      </c>
      <c r="J1360" s="22" t="s">
        <v>64</v>
      </c>
      <c r="K1360" s="22" t="s">
        <v>1619</v>
      </c>
      <c r="L1360" s="22" t="s">
        <v>57</v>
      </c>
      <c r="M1360" s="22" t="s">
        <v>78</v>
      </c>
      <c r="N1360" s="22">
        <v>33</v>
      </c>
      <c r="O1360" s="26">
        <v>1930</v>
      </c>
      <c r="P1360" s="22">
        <v>0.2</v>
      </c>
      <c r="Q1360" s="30">
        <v>1120</v>
      </c>
      <c r="R1360" s="33">
        <f>Table1_1[[#This Row],[Units Sold]]*Table1_1[[#This Row],[Unit Price]]*1-Table1_1[[#This Row],[Discount]]</f>
        <v>63689.8</v>
      </c>
      <c r="S1360" s="33">
        <f>Table1_1[[#This Row],[Units Sold]]*Table1_1[[#This Row],[Unit Cost]]</f>
        <v>36960</v>
      </c>
      <c r="T1360" s="33">
        <f>Table1_1[[#This Row],[Sales Amount]]-S1360</f>
        <v>26729.800000000003</v>
      </c>
      <c r="U1360" s="32">
        <f>IFERROR(Table1_1[[#This Row],[Profit/loss]]/Table1_1[[#This Row],[Sales Amount]],0)</f>
        <v>0.41968729686700229</v>
      </c>
    </row>
    <row r="1361" spans="1:21" ht="18" x14ac:dyDescent="0.35">
      <c r="A1361" s="21" t="s">
        <v>1468</v>
      </c>
      <c r="B1361" s="36">
        <v>45957</v>
      </c>
      <c r="C1361" s="22">
        <f>YEAR(Table1_1[[#This Row],[Order Date]])</f>
        <v>2025</v>
      </c>
      <c r="D1361" s="22" t="str">
        <f>TEXT(Table1_1[[#This Row],[Order Date]],"MMMM")</f>
        <v>October</v>
      </c>
      <c r="E1361" s="22" t="s">
        <v>26</v>
      </c>
      <c r="F1361" s="22" t="s">
        <v>163</v>
      </c>
      <c r="G1361" s="22" t="s">
        <v>60</v>
      </c>
      <c r="H1361" s="22" t="s">
        <v>29</v>
      </c>
      <c r="I1361" s="22" t="s">
        <v>70</v>
      </c>
      <c r="J1361" s="22" t="s">
        <v>71</v>
      </c>
      <c r="K1361" s="22" t="s">
        <v>80</v>
      </c>
      <c r="L1361" s="22" t="s">
        <v>33</v>
      </c>
      <c r="M1361" s="22" t="s">
        <v>24</v>
      </c>
      <c r="N1361" s="22">
        <v>10</v>
      </c>
      <c r="O1361" s="26">
        <v>1299</v>
      </c>
      <c r="P1361" s="22">
        <v>0.2</v>
      </c>
      <c r="Q1361" s="30">
        <v>720</v>
      </c>
      <c r="R1361" s="33">
        <f>Table1_1[[#This Row],[Units Sold]]*Table1_1[[#This Row],[Unit Price]]*1-Table1_1[[#This Row],[Discount]]</f>
        <v>12989.8</v>
      </c>
      <c r="S1361" s="33">
        <f>Table1_1[[#This Row],[Units Sold]]*Table1_1[[#This Row],[Unit Cost]]</f>
        <v>7200</v>
      </c>
      <c r="T1361" s="33">
        <f>Table1_1[[#This Row],[Sales Amount]]-S1361</f>
        <v>5789.7999999999993</v>
      </c>
      <c r="U1361" s="32">
        <f>IFERROR(Table1_1[[#This Row],[Profit/loss]]/Table1_1[[#This Row],[Sales Amount]],0)</f>
        <v>0.44571894871360601</v>
      </c>
    </row>
    <row r="1362" spans="1:21" ht="18" x14ac:dyDescent="0.35">
      <c r="A1362" s="21" t="s">
        <v>1469</v>
      </c>
      <c r="B1362" s="36">
        <v>45957</v>
      </c>
      <c r="C1362" s="22">
        <f>YEAR(Table1_1[[#This Row],[Order Date]])</f>
        <v>2025</v>
      </c>
      <c r="D1362" s="22" t="str">
        <f>TEXT(Table1_1[[#This Row],[Order Date]],"MMMM")</f>
        <v>October</v>
      </c>
      <c r="E1362" s="22" t="s">
        <v>26</v>
      </c>
      <c r="F1362" s="22" t="s">
        <v>53</v>
      </c>
      <c r="G1362" s="22" t="s">
        <v>28</v>
      </c>
      <c r="H1362" s="22" t="s">
        <v>19</v>
      </c>
      <c r="I1362" s="22" t="s">
        <v>54</v>
      </c>
      <c r="J1362" s="22" t="s">
        <v>129</v>
      </c>
      <c r="K1362" s="22" t="s">
        <v>1630</v>
      </c>
      <c r="L1362" s="22" t="s">
        <v>23</v>
      </c>
      <c r="M1362" s="22" t="s">
        <v>24</v>
      </c>
      <c r="N1362" s="22">
        <v>27</v>
      </c>
      <c r="O1362" s="26">
        <v>29010</v>
      </c>
      <c r="P1362" s="22">
        <v>0.18</v>
      </c>
      <c r="Q1362" s="30">
        <v>19100</v>
      </c>
      <c r="R1362" s="33">
        <f>Table1_1[[#This Row],[Units Sold]]*Table1_1[[#This Row],[Unit Price]]*1-Table1_1[[#This Row],[Discount]]</f>
        <v>783269.82</v>
      </c>
      <c r="S1362" s="33">
        <f>Table1_1[[#This Row],[Units Sold]]*Table1_1[[#This Row],[Unit Cost]]</f>
        <v>515700</v>
      </c>
      <c r="T1362" s="33">
        <f>Table1_1[[#This Row],[Sales Amount]]-S1362</f>
        <v>267569.81999999995</v>
      </c>
      <c r="U1362" s="32">
        <f>IFERROR(Table1_1[[#This Row],[Profit/loss]]/Table1_1[[#This Row],[Sales Amount]],0)</f>
        <v>0.34160619133774356</v>
      </c>
    </row>
    <row r="1363" spans="1:21" ht="18" x14ac:dyDescent="0.35">
      <c r="A1363" s="21" t="s">
        <v>1470</v>
      </c>
      <c r="B1363" s="36">
        <v>45957</v>
      </c>
      <c r="C1363" s="22">
        <f>YEAR(Table1_1[[#This Row],[Order Date]])</f>
        <v>2025</v>
      </c>
      <c r="D1363" s="22" t="str">
        <f>TEXT(Table1_1[[#This Row],[Order Date]],"MMMM")</f>
        <v>October</v>
      </c>
      <c r="E1363" s="22" t="s">
        <v>82</v>
      </c>
      <c r="F1363" s="22" t="s">
        <v>87</v>
      </c>
      <c r="G1363" s="22" t="s">
        <v>101</v>
      </c>
      <c r="H1363" s="22" t="s">
        <v>39</v>
      </c>
      <c r="I1363" s="22" t="s">
        <v>70</v>
      </c>
      <c r="J1363" s="22" t="s">
        <v>71</v>
      </c>
      <c r="K1363" s="22" t="s">
        <v>88</v>
      </c>
      <c r="L1363" s="22" t="s">
        <v>23</v>
      </c>
      <c r="M1363" s="22" t="s">
        <v>66</v>
      </c>
      <c r="N1363" s="22">
        <v>4</v>
      </c>
      <c r="O1363" s="26">
        <v>999</v>
      </c>
      <c r="P1363" s="22">
        <v>0.1</v>
      </c>
      <c r="Q1363" s="30">
        <v>540</v>
      </c>
      <c r="R1363" s="33">
        <f>Table1_1[[#This Row],[Units Sold]]*Table1_1[[#This Row],[Unit Price]]*1-Table1_1[[#This Row],[Discount]]</f>
        <v>3995.9</v>
      </c>
      <c r="S1363" s="33">
        <f>Table1_1[[#This Row],[Units Sold]]*Table1_1[[#This Row],[Unit Cost]]</f>
        <v>2160</v>
      </c>
      <c r="T1363" s="33">
        <f>Table1_1[[#This Row],[Sales Amount]]-S1363</f>
        <v>1835.9</v>
      </c>
      <c r="U1363" s="32">
        <f>IFERROR(Table1_1[[#This Row],[Profit/loss]]/Table1_1[[#This Row],[Sales Amount]],0)</f>
        <v>0.45944593208038242</v>
      </c>
    </row>
    <row r="1364" spans="1:21" ht="18" x14ac:dyDescent="0.35">
      <c r="A1364" s="21" t="s">
        <v>1471</v>
      </c>
      <c r="B1364" s="36">
        <v>45958</v>
      </c>
      <c r="C1364" s="22">
        <f>YEAR(Table1_1[[#This Row],[Order Date]])</f>
        <v>2025</v>
      </c>
      <c r="D1364" s="22" t="str">
        <f>TEXT(Table1_1[[#This Row],[Order Date]],"MMMM")</f>
        <v>October</v>
      </c>
      <c r="E1364" s="22" t="s">
        <v>36</v>
      </c>
      <c r="F1364" s="22" t="s">
        <v>44</v>
      </c>
      <c r="G1364" s="22" t="s">
        <v>101</v>
      </c>
      <c r="H1364" s="22" t="s">
        <v>19</v>
      </c>
      <c r="I1364" s="22" t="s">
        <v>30</v>
      </c>
      <c r="J1364" s="22" t="s">
        <v>61</v>
      </c>
      <c r="K1364" s="22" t="s">
        <v>62</v>
      </c>
      <c r="L1364" s="22" t="s">
        <v>33</v>
      </c>
      <c r="M1364" s="22" t="s">
        <v>24</v>
      </c>
      <c r="N1364" s="22">
        <v>6</v>
      </c>
      <c r="O1364" s="26">
        <v>12490</v>
      </c>
      <c r="P1364" s="22">
        <v>0.1</v>
      </c>
      <c r="Q1364" s="30">
        <v>7900</v>
      </c>
      <c r="R1364" s="33">
        <f>Table1_1[[#This Row],[Units Sold]]*Table1_1[[#This Row],[Unit Price]]*1-Table1_1[[#This Row],[Discount]]</f>
        <v>74939.899999999994</v>
      </c>
      <c r="S1364" s="33">
        <f>Table1_1[[#This Row],[Units Sold]]*Table1_1[[#This Row],[Unit Cost]]</f>
        <v>47400</v>
      </c>
      <c r="T1364" s="33">
        <f>Table1_1[[#This Row],[Sales Amount]]-S1364</f>
        <v>27539.899999999994</v>
      </c>
      <c r="U1364" s="32">
        <f>IFERROR(Table1_1[[#This Row],[Profit/loss]]/Table1_1[[#This Row],[Sales Amount]],0)</f>
        <v>0.36749315117847764</v>
      </c>
    </row>
    <row r="1365" spans="1:21" ht="18" x14ac:dyDescent="0.35">
      <c r="A1365" s="21" t="s">
        <v>1472</v>
      </c>
      <c r="B1365" s="36">
        <v>45959</v>
      </c>
      <c r="C1365" s="22">
        <f>YEAR(Table1_1[[#This Row],[Order Date]])</f>
        <v>2025</v>
      </c>
      <c r="D1365" s="22" t="str">
        <f>TEXT(Table1_1[[#This Row],[Order Date]],"MMMM")</f>
        <v>October</v>
      </c>
      <c r="E1365" s="22" t="s">
        <v>48</v>
      </c>
      <c r="F1365" s="22" t="s">
        <v>68</v>
      </c>
      <c r="G1365" s="22" t="s">
        <v>38</v>
      </c>
      <c r="H1365" s="22" t="s">
        <v>19</v>
      </c>
      <c r="I1365" s="22" t="s">
        <v>70</v>
      </c>
      <c r="J1365" s="22" t="s">
        <v>71</v>
      </c>
      <c r="K1365" s="22" t="s">
        <v>72</v>
      </c>
      <c r="L1365" s="22" t="s">
        <v>23</v>
      </c>
      <c r="M1365" s="22" t="s">
        <v>24</v>
      </c>
      <c r="N1365" s="22">
        <v>22</v>
      </c>
      <c r="O1365" s="26">
        <v>3499</v>
      </c>
      <c r="P1365" s="22">
        <v>0.12</v>
      </c>
      <c r="Q1365" s="30">
        <v>2190</v>
      </c>
      <c r="R1365" s="33">
        <f>Table1_1[[#This Row],[Units Sold]]*Table1_1[[#This Row],[Unit Price]]*1-Table1_1[[#This Row],[Discount]]</f>
        <v>76977.88</v>
      </c>
      <c r="S1365" s="33">
        <f>Table1_1[[#This Row],[Units Sold]]*Table1_1[[#This Row],[Unit Cost]]</f>
        <v>48180</v>
      </c>
      <c r="T1365" s="33">
        <f>Table1_1[[#This Row],[Sales Amount]]-S1365</f>
        <v>28797.880000000005</v>
      </c>
      <c r="U1365" s="32">
        <f>IFERROR(Table1_1[[#This Row],[Profit/loss]]/Table1_1[[#This Row],[Sales Amount]],0)</f>
        <v>0.37410591198406612</v>
      </c>
    </row>
    <row r="1366" spans="1:21" ht="18" x14ac:dyDescent="0.35">
      <c r="A1366" s="21" t="s">
        <v>1473</v>
      </c>
      <c r="B1366" s="36">
        <v>45959</v>
      </c>
      <c r="C1366" s="22">
        <f>YEAR(Table1_1[[#This Row],[Order Date]])</f>
        <v>2025</v>
      </c>
      <c r="D1366" s="22" t="str">
        <f>TEXT(Table1_1[[#This Row],[Order Date]],"MMMM")</f>
        <v>October</v>
      </c>
      <c r="E1366" s="22" t="s">
        <v>16</v>
      </c>
      <c r="F1366" s="22" t="s">
        <v>98</v>
      </c>
      <c r="G1366" s="22" t="s">
        <v>18</v>
      </c>
      <c r="H1366" s="22" t="s">
        <v>19</v>
      </c>
      <c r="I1366" s="22" t="s">
        <v>40</v>
      </c>
      <c r="J1366" s="22" t="s">
        <v>76</v>
      </c>
      <c r="K1366" s="22" t="s">
        <v>1626</v>
      </c>
      <c r="L1366" s="22" t="s">
        <v>57</v>
      </c>
      <c r="M1366" s="22" t="s">
        <v>24</v>
      </c>
      <c r="N1366" s="22">
        <v>7</v>
      </c>
      <c r="O1366" s="26">
        <v>25999</v>
      </c>
      <c r="P1366" s="22">
        <v>0.15</v>
      </c>
      <c r="Q1366" s="30">
        <v>17800</v>
      </c>
      <c r="R1366" s="33">
        <f>Table1_1[[#This Row],[Units Sold]]*Table1_1[[#This Row],[Unit Price]]*1-Table1_1[[#This Row],[Discount]]</f>
        <v>181992.85</v>
      </c>
      <c r="S1366" s="33">
        <f>Table1_1[[#This Row],[Units Sold]]*Table1_1[[#This Row],[Unit Cost]]</f>
        <v>124600</v>
      </c>
      <c r="T1366" s="33">
        <f>Table1_1[[#This Row],[Sales Amount]]-S1366</f>
        <v>57392.850000000006</v>
      </c>
      <c r="U1366" s="32">
        <f>IFERROR(Table1_1[[#This Row],[Profit/loss]]/Table1_1[[#This Row],[Sales Amount]],0)</f>
        <v>0.31535771872356527</v>
      </c>
    </row>
    <row r="1367" spans="1:21" ht="18" x14ac:dyDescent="0.35">
      <c r="A1367" s="21" t="s">
        <v>1474</v>
      </c>
      <c r="B1367" s="36">
        <v>45959</v>
      </c>
      <c r="C1367" s="22">
        <f>YEAR(Table1_1[[#This Row],[Order Date]])</f>
        <v>2025</v>
      </c>
      <c r="D1367" s="22" t="str">
        <f>TEXT(Table1_1[[#This Row],[Order Date]],"MMMM")</f>
        <v>October</v>
      </c>
      <c r="E1367" s="22" t="s">
        <v>26</v>
      </c>
      <c r="F1367" s="22" t="s">
        <v>27</v>
      </c>
      <c r="G1367" s="22" t="s">
        <v>50</v>
      </c>
      <c r="H1367" s="22" t="s">
        <v>19</v>
      </c>
      <c r="I1367" s="22" t="s">
        <v>30</v>
      </c>
      <c r="J1367" s="22" t="s">
        <v>31</v>
      </c>
      <c r="K1367" s="22" t="s">
        <v>32</v>
      </c>
      <c r="L1367" s="22" t="s">
        <v>33</v>
      </c>
      <c r="M1367" s="22" t="s">
        <v>24</v>
      </c>
      <c r="N1367" s="22">
        <v>28</v>
      </c>
      <c r="O1367" s="26">
        <v>38990</v>
      </c>
      <c r="P1367" s="22">
        <v>0.15</v>
      </c>
      <c r="Q1367" s="30">
        <v>25400</v>
      </c>
      <c r="R1367" s="33">
        <f>Table1_1[[#This Row],[Units Sold]]*Table1_1[[#This Row],[Unit Price]]*1-Table1_1[[#This Row],[Discount]]</f>
        <v>1091719.8500000001</v>
      </c>
      <c r="S1367" s="33">
        <f>Table1_1[[#This Row],[Units Sold]]*Table1_1[[#This Row],[Unit Cost]]</f>
        <v>711200</v>
      </c>
      <c r="T1367" s="33">
        <f>Table1_1[[#This Row],[Sales Amount]]-S1367</f>
        <v>380519.85000000009</v>
      </c>
      <c r="U1367" s="32">
        <f>IFERROR(Table1_1[[#This Row],[Profit/loss]]/Table1_1[[#This Row],[Sales Amount]],0)</f>
        <v>0.34855082098214124</v>
      </c>
    </row>
    <row r="1368" spans="1:21" ht="18" x14ac:dyDescent="0.35">
      <c r="A1368" s="21" t="s">
        <v>1475</v>
      </c>
      <c r="B1368" s="36">
        <v>45960</v>
      </c>
      <c r="C1368" s="22">
        <f>YEAR(Table1_1[[#This Row],[Order Date]])</f>
        <v>2025</v>
      </c>
      <c r="D1368" s="22" t="str">
        <f>TEXT(Table1_1[[#This Row],[Order Date]],"MMMM")</f>
        <v>October</v>
      </c>
      <c r="E1368" s="22" t="s">
        <v>48</v>
      </c>
      <c r="F1368" s="22" t="s">
        <v>136</v>
      </c>
      <c r="G1368" s="22" t="s">
        <v>75</v>
      </c>
      <c r="H1368" s="22" t="s">
        <v>29</v>
      </c>
      <c r="I1368" s="22" t="s">
        <v>54</v>
      </c>
      <c r="J1368" s="22" t="s">
        <v>90</v>
      </c>
      <c r="K1368" s="22" t="s">
        <v>1625</v>
      </c>
      <c r="L1368" s="22" t="s">
        <v>33</v>
      </c>
      <c r="M1368" s="22" t="s">
        <v>78</v>
      </c>
      <c r="N1368" s="22">
        <v>36</v>
      </c>
      <c r="O1368" s="26">
        <v>32800</v>
      </c>
      <c r="P1368" s="22">
        <v>0.08</v>
      </c>
      <c r="Q1368" s="30">
        <v>23100</v>
      </c>
      <c r="R1368" s="33">
        <f>Table1_1[[#This Row],[Units Sold]]*Table1_1[[#This Row],[Unit Price]]*1-Table1_1[[#This Row],[Discount]]</f>
        <v>1180799.92</v>
      </c>
      <c r="S1368" s="33">
        <f>Table1_1[[#This Row],[Units Sold]]*Table1_1[[#This Row],[Unit Cost]]</f>
        <v>831600</v>
      </c>
      <c r="T1368" s="33">
        <f>Table1_1[[#This Row],[Sales Amount]]-S1368</f>
        <v>349199.91999999993</v>
      </c>
      <c r="U1368" s="32">
        <f>IFERROR(Table1_1[[#This Row],[Profit/loss]]/Table1_1[[#This Row],[Sales Amount]],0)</f>
        <v>0.29573165960241593</v>
      </c>
    </row>
    <row r="1369" spans="1:21" ht="18" x14ac:dyDescent="0.35">
      <c r="A1369" s="21" t="s">
        <v>1476</v>
      </c>
      <c r="B1369" s="36">
        <v>45960</v>
      </c>
      <c r="C1369" s="22">
        <f>YEAR(Table1_1[[#This Row],[Order Date]])</f>
        <v>2025</v>
      </c>
      <c r="D1369" s="22" t="str">
        <f>TEXT(Table1_1[[#This Row],[Order Date]],"MMMM")</f>
        <v>October</v>
      </c>
      <c r="E1369" s="22" t="s">
        <v>26</v>
      </c>
      <c r="F1369" s="22" t="s">
        <v>53</v>
      </c>
      <c r="G1369" s="22" t="s">
        <v>28</v>
      </c>
      <c r="H1369" s="22" t="s">
        <v>39</v>
      </c>
      <c r="I1369" s="22" t="s">
        <v>40</v>
      </c>
      <c r="J1369" s="22" t="s">
        <v>64</v>
      </c>
      <c r="K1369" s="22" t="s">
        <v>1627</v>
      </c>
      <c r="L1369" s="22" t="s">
        <v>23</v>
      </c>
      <c r="M1369" s="22" t="s">
        <v>78</v>
      </c>
      <c r="N1369" s="22">
        <v>12</v>
      </c>
      <c r="O1369" s="26">
        <v>4490</v>
      </c>
      <c r="P1369" s="22">
        <v>0.08</v>
      </c>
      <c r="Q1369" s="30">
        <v>2950</v>
      </c>
      <c r="R1369" s="33">
        <f>Table1_1[[#This Row],[Units Sold]]*Table1_1[[#This Row],[Unit Price]]*1-Table1_1[[#This Row],[Discount]]</f>
        <v>53879.92</v>
      </c>
      <c r="S1369" s="33">
        <f>Table1_1[[#This Row],[Units Sold]]*Table1_1[[#This Row],[Unit Cost]]</f>
        <v>35400</v>
      </c>
      <c r="T1369" s="33">
        <f>Table1_1[[#This Row],[Sales Amount]]-S1369</f>
        <v>18479.919999999998</v>
      </c>
      <c r="U1369" s="32">
        <f>IFERROR(Table1_1[[#This Row],[Profit/loss]]/Table1_1[[#This Row],[Sales Amount]],0)</f>
        <v>0.34298343427384448</v>
      </c>
    </row>
    <row r="1370" spans="1:21" ht="18" x14ac:dyDescent="0.35">
      <c r="A1370" s="21" t="s">
        <v>1477</v>
      </c>
      <c r="B1370" s="36">
        <v>45960</v>
      </c>
      <c r="C1370" s="22">
        <f>YEAR(Table1_1[[#This Row],[Order Date]])</f>
        <v>2025</v>
      </c>
      <c r="D1370" s="22" t="str">
        <f>TEXT(Table1_1[[#This Row],[Order Date]],"MMMM")</f>
        <v>October</v>
      </c>
      <c r="E1370" s="22" t="s">
        <v>26</v>
      </c>
      <c r="F1370" s="22" t="s">
        <v>53</v>
      </c>
      <c r="G1370" s="22" t="s">
        <v>60</v>
      </c>
      <c r="H1370" s="22" t="s">
        <v>19</v>
      </c>
      <c r="I1370" s="22" t="s">
        <v>54</v>
      </c>
      <c r="J1370" s="22" t="s">
        <v>55</v>
      </c>
      <c r="K1370" s="22" t="s">
        <v>56</v>
      </c>
      <c r="L1370" s="22" t="s">
        <v>33</v>
      </c>
      <c r="M1370" s="22" t="s">
        <v>66</v>
      </c>
      <c r="N1370" s="22">
        <v>27</v>
      </c>
      <c r="O1370" s="26">
        <v>7299</v>
      </c>
      <c r="P1370" s="22">
        <v>0.12</v>
      </c>
      <c r="Q1370" s="30">
        <v>5010</v>
      </c>
      <c r="R1370" s="33">
        <f>Table1_1[[#This Row],[Units Sold]]*Table1_1[[#This Row],[Unit Price]]*1-Table1_1[[#This Row],[Discount]]</f>
        <v>197072.88</v>
      </c>
      <c r="S1370" s="33">
        <f>Table1_1[[#This Row],[Units Sold]]*Table1_1[[#This Row],[Unit Cost]]</f>
        <v>135270</v>
      </c>
      <c r="T1370" s="33">
        <f>Table1_1[[#This Row],[Sales Amount]]-S1370</f>
        <v>61802.880000000005</v>
      </c>
      <c r="U1370" s="32">
        <f>IFERROR(Table1_1[[#This Row],[Profit/loss]]/Table1_1[[#This Row],[Sales Amount]],0)</f>
        <v>0.31360418541607554</v>
      </c>
    </row>
    <row r="1371" spans="1:21" ht="18" x14ac:dyDescent="0.35">
      <c r="A1371" s="21" t="s">
        <v>1478</v>
      </c>
      <c r="B1371" s="36">
        <v>45961</v>
      </c>
      <c r="C1371" s="22">
        <f>YEAR(Table1_1[[#This Row],[Order Date]])</f>
        <v>2025</v>
      </c>
      <c r="D1371" s="22" t="str">
        <f>TEXT(Table1_1[[#This Row],[Order Date]],"MMMM")</f>
        <v>October</v>
      </c>
      <c r="E1371" s="22" t="s">
        <v>36</v>
      </c>
      <c r="F1371" s="22" t="s">
        <v>44</v>
      </c>
      <c r="G1371" s="22" t="s">
        <v>18</v>
      </c>
      <c r="H1371" s="22" t="s">
        <v>29</v>
      </c>
      <c r="I1371" s="22" t="s">
        <v>30</v>
      </c>
      <c r="J1371" s="22" t="s">
        <v>61</v>
      </c>
      <c r="K1371" s="22" t="s">
        <v>186</v>
      </c>
      <c r="L1371" s="22" t="s">
        <v>33</v>
      </c>
      <c r="M1371" s="22" t="s">
        <v>24</v>
      </c>
      <c r="N1371" s="22">
        <v>6</v>
      </c>
      <c r="O1371" s="26">
        <v>6999</v>
      </c>
      <c r="P1371" s="22">
        <v>0.1</v>
      </c>
      <c r="Q1371" s="30">
        <v>4320</v>
      </c>
      <c r="R1371" s="33">
        <f>Table1_1[[#This Row],[Units Sold]]*Table1_1[[#This Row],[Unit Price]]*1-Table1_1[[#This Row],[Discount]]</f>
        <v>41993.9</v>
      </c>
      <c r="S1371" s="33">
        <f>Table1_1[[#This Row],[Units Sold]]*Table1_1[[#This Row],[Unit Cost]]</f>
        <v>25920</v>
      </c>
      <c r="T1371" s="33">
        <f>Table1_1[[#This Row],[Sales Amount]]-S1371</f>
        <v>16073.900000000001</v>
      </c>
      <c r="U1371" s="32">
        <f>IFERROR(Table1_1[[#This Row],[Profit/loss]]/Table1_1[[#This Row],[Sales Amount]],0)</f>
        <v>0.38276749718411485</v>
      </c>
    </row>
    <row r="1372" spans="1:21" ht="18" x14ac:dyDescent="0.35">
      <c r="A1372" s="21" t="s">
        <v>1479</v>
      </c>
      <c r="B1372" s="36">
        <v>45961</v>
      </c>
      <c r="C1372" s="22">
        <f>YEAR(Table1_1[[#This Row],[Order Date]])</f>
        <v>2025</v>
      </c>
      <c r="D1372" s="22" t="str">
        <f>TEXT(Table1_1[[#This Row],[Order Date]],"MMMM")</f>
        <v>October</v>
      </c>
      <c r="E1372" s="22" t="s">
        <v>36</v>
      </c>
      <c r="F1372" s="22" t="s">
        <v>121</v>
      </c>
      <c r="G1372" s="22" t="s">
        <v>75</v>
      </c>
      <c r="H1372" s="22" t="s">
        <v>39</v>
      </c>
      <c r="I1372" s="22" t="s">
        <v>70</v>
      </c>
      <c r="J1372" s="22" t="s">
        <v>71</v>
      </c>
      <c r="K1372" s="22" t="s">
        <v>72</v>
      </c>
      <c r="L1372" s="22" t="s">
        <v>23</v>
      </c>
      <c r="M1372" s="22" t="s">
        <v>66</v>
      </c>
      <c r="N1372" s="22">
        <v>7</v>
      </c>
      <c r="O1372" s="26">
        <v>3499</v>
      </c>
      <c r="P1372" s="22">
        <v>0.2</v>
      </c>
      <c r="Q1372" s="30">
        <v>2190</v>
      </c>
      <c r="R1372" s="33">
        <f>Table1_1[[#This Row],[Units Sold]]*Table1_1[[#This Row],[Unit Price]]*1-Table1_1[[#This Row],[Discount]]</f>
        <v>24492.799999999999</v>
      </c>
      <c r="S1372" s="33">
        <f>Table1_1[[#This Row],[Units Sold]]*Table1_1[[#This Row],[Unit Cost]]</f>
        <v>15330</v>
      </c>
      <c r="T1372" s="33">
        <f>Table1_1[[#This Row],[Sales Amount]]-S1372</f>
        <v>9162.7999999999993</v>
      </c>
      <c r="U1372" s="32">
        <f>IFERROR(Table1_1[[#This Row],[Profit/loss]]/Table1_1[[#This Row],[Sales Amount]],0)</f>
        <v>0.37410177684870655</v>
      </c>
    </row>
    <row r="1373" spans="1:21" ht="18" x14ac:dyDescent="0.35">
      <c r="A1373" s="21" t="s">
        <v>1480</v>
      </c>
      <c r="B1373" s="36">
        <v>45961</v>
      </c>
      <c r="C1373" s="22">
        <f>YEAR(Table1_1[[#This Row],[Order Date]])</f>
        <v>2025</v>
      </c>
      <c r="D1373" s="22" t="str">
        <f>TEXT(Table1_1[[#This Row],[Order Date]],"MMMM")</f>
        <v>October</v>
      </c>
      <c r="E1373" s="22" t="s">
        <v>26</v>
      </c>
      <c r="F1373" s="22" t="s">
        <v>163</v>
      </c>
      <c r="G1373" s="22" t="s">
        <v>75</v>
      </c>
      <c r="H1373" s="22" t="s">
        <v>29</v>
      </c>
      <c r="I1373" s="22" t="s">
        <v>70</v>
      </c>
      <c r="J1373" s="22" t="s">
        <v>71</v>
      </c>
      <c r="K1373" s="22" t="s">
        <v>72</v>
      </c>
      <c r="L1373" s="22" t="s">
        <v>57</v>
      </c>
      <c r="M1373" s="22" t="s">
        <v>24</v>
      </c>
      <c r="N1373" s="22">
        <v>37</v>
      </c>
      <c r="O1373" s="26">
        <v>3499</v>
      </c>
      <c r="P1373" s="22">
        <v>0.12</v>
      </c>
      <c r="Q1373" s="30">
        <v>2190</v>
      </c>
      <c r="R1373" s="33">
        <f>Table1_1[[#This Row],[Units Sold]]*Table1_1[[#This Row],[Unit Price]]*1-Table1_1[[#This Row],[Discount]]</f>
        <v>129462.88</v>
      </c>
      <c r="S1373" s="33">
        <f>Table1_1[[#This Row],[Units Sold]]*Table1_1[[#This Row],[Unit Cost]]</f>
        <v>81030</v>
      </c>
      <c r="T1373" s="33">
        <f>Table1_1[[#This Row],[Sales Amount]]-S1373</f>
        <v>48432.880000000005</v>
      </c>
      <c r="U1373" s="32">
        <f>IFERROR(Table1_1[[#This Row],[Profit/loss]]/Table1_1[[#This Row],[Sales Amount]],0)</f>
        <v>0.37410630753772822</v>
      </c>
    </row>
    <row r="1374" spans="1:21" ht="18" x14ac:dyDescent="0.35">
      <c r="A1374" s="21" t="s">
        <v>1481</v>
      </c>
      <c r="B1374" s="36">
        <v>45961</v>
      </c>
      <c r="C1374" s="22">
        <f>YEAR(Table1_1[[#This Row],[Order Date]])</f>
        <v>2025</v>
      </c>
      <c r="D1374" s="22" t="str">
        <f>TEXT(Table1_1[[#This Row],[Order Date]],"MMMM")</f>
        <v>October</v>
      </c>
      <c r="E1374" s="22" t="s">
        <v>16</v>
      </c>
      <c r="F1374" s="22" t="s">
        <v>111</v>
      </c>
      <c r="G1374" s="22" t="s">
        <v>50</v>
      </c>
      <c r="H1374" s="22" t="s">
        <v>19</v>
      </c>
      <c r="I1374" s="22" t="s">
        <v>54</v>
      </c>
      <c r="J1374" s="22" t="s">
        <v>55</v>
      </c>
      <c r="K1374" s="22" t="s">
        <v>56</v>
      </c>
      <c r="L1374" s="22" t="s">
        <v>23</v>
      </c>
      <c r="M1374" s="22" t="s">
        <v>78</v>
      </c>
      <c r="N1374" s="22">
        <v>15</v>
      </c>
      <c r="O1374" s="26">
        <v>7299</v>
      </c>
      <c r="P1374" s="22">
        <v>0.18</v>
      </c>
      <c r="Q1374" s="30">
        <v>5010</v>
      </c>
      <c r="R1374" s="33">
        <f>Table1_1[[#This Row],[Units Sold]]*Table1_1[[#This Row],[Unit Price]]*1-Table1_1[[#This Row],[Discount]]</f>
        <v>109484.82</v>
      </c>
      <c r="S1374" s="33">
        <f>Table1_1[[#This Row],[Units Sold]]*Table1_1[[#This Row],[Unit Cost]]</f>
        <v>75150</v>
      </c>
      <c r="T1374" s="33">
        <f>Table1_1[[#This Row],[Sales Amount]]-S1374</f>
        <v>34334.820000000007</v>
      </c>
      <c r="U1374" s="32">
        <f>IFERROR(Table1_1[[#This Row],[Profit/loss]]/Table1_1[[#This Row],[Sales Amount]],0)</f>
        <v>0.31360347489268381</v>
      </c>
    </row>
    <row r="1375" spans="1:21" ht="18" x14ac:dyDescent="0.35">
      <c r="A1375" s="21" t="s">
        <v>1482</v>
      </c>
      <c r="B1375" s="36">
        <v>45964</v>
      </c>
      <c r="C1375" s="22">
        <f>YEAR(Table1_1[[#This Row],[Order Date]])</f>
        <v>2025</v>
      </c>
      <c r="D1375" s="22" t="str">
        <f>TEXT(Table1_1[[#This Row],[Order Date]],"MMMM")</f>
        <v>November</v>
      </c>
      <c r="E1375" s="22" t="s">
        <v>26</v>
      </c>
      <c r="F1375" s="22" t="s">
        <v>27</v>
      </c>
      <c r="G1375" s="22" t="s">
        <v>84</v>
      </c>
      <c r="H1375" s="22" t="s">
        <v>29</v>
      </c>
      <c r="I1375" s="22" t="s">
        <v>54</v>
      </c>
      <c r="J1375" s="22" t="s">
        <v>55</v>
      </c>
      <c r="K1375" s="22" t="s">
        <v>148</v>
      </c>
      <c r="L1375" s="22" t="s">
        <v>23</v>
      </c>
      <c r="M1375" s="22" t="s">
        <v>34</v>
      </c>
      <c r="N1375" s="22">
        <v>24</v>
      </c>
      <c r="O1375" s="26">
        <v>4680</v>
      </c>
      <c r="P1375" s="22">
        <v>0.1</v>
      </c>
      <c r="Q1375" s="30">
        <v>3250</v>
      </c>
      <c r="R1375" s="33">
        <f>Table1_1[[#This Row],[Units Sold]]*Table1_1[[#This Row],[Unit Price]]*1-Table1_1[[#This Row],[Discount]]</f>
        <v>112319.9</v>
      </c>
      <c r="S1375" s="33">
        <f>Table1_1[[#This Row],[Units Sold]]*Table1_1[[#This Row],[Unit Cost]]</f>
        <v>78000</v>
      </c>
      <c r="T1375" s="33">
        <f>Table1_1[[#This Row],[Sales Amount]]-S1375</f>
        <v>34319.899999999994</v>
      </c>
      <c r="U1375" s="32">
        <f>IFERROR(Table1_1[[#This Row],[Profit/loss]]/Table1_1[[#This Row],[Sales Amount]],0)</f>
        <v>0.30555493728181732</v>
      </c>
    </row>
    <row r="1376" spans="1:21" ht="18" x14ac:dyDescent="0.35">
      <c r="A1376" s="21" t="s">
        <v>1483</v>
      </c>
      <c r="B1376" s="36">
        <v>45965</v>
      </c>
      <c r="C1376" s="22">
        <f>YEAR(Table1_1[[#This Row],[Order Date]])</f>
        <v>2025</v>
      </c>
      <c r="D1376" s="22" t="str">
        <f>TEXT(Table1_1[[#This Row],[Order Date]],"MMMM")</f>
        <v>November</v>
      </c>
      <c r="E1376" s="22" t="s">
        <v>26</v>
      </c>
      <c r="F1376" s="22" t="s">
        <v>27</v>
      </c>
      <c r="G1376" s="22" t="s">
        <v>38</v>
      </c>
      <c r="H1376" s="22" t="s">
        <v>29</v>
      </c>
      <c r="I1376" s="22" t="s">
        <v>20</v>
      </c>
      <c r="J1376" s="22" t="s">
        <v>21</v>
      </c>
      <c r="K1376" s="22" t="s">
        <v>22</v>
      </c>
      <c r="L1376" s="22" t="s">
        <v>33</v>
      </c>
      <c r="M1376" s="22" t="s">
        <v>24</v>
      </c>
      <c r="N1376" s="22">
        <v>37</v>
      </c>
      <c r="O1376" s="26">
        <v>4499</v>
      </c>
      <c r="P1376" s="22">
        <v>0.05</v>
      </c>
      <c r="Q1376" s="30">
        <v>2910</v>
      </c>
      <c r="R1376" s="33">
        <f>Table1_1[[#This Row],[Units Sold]]*Table1_1[[#This Row],[Unit Price]]*1-Table1_1[[#This Row],[Discount]]</f>
        <v>166462.95000000001</v>
      </c>
      <c r="S1376" s="33">
        <f>Table1_1[[#This Row],[Units Sold]]*Table1_1[[#This Row],[Unit Cost]]</f>
        <v>107670</v>
      </c>
      <c r="T1376" s="33">
        <f>Table1_1[[#This Row],[Sales Amount]]-S1376</f>
        <v>58792.950000000012</v>
      </c>
      <c r="U1376" s="32">
        <f>IFERROR(Table1_1[[#This Row],[Profit/loss]]/Table1_1[[#This Row],[Sales Amount]],0)</f>
        <v>0.35318940340778537</v>
      </c>
    </row>
    <row r="1377" spans="1:21" ht="18" x14ac:dyDescent="0.35">
      <c r="A1377" s="21" t="s">
        <v>1484</v>
      </c>
      <c r="B1377" s="36">
        <v>45965</v>
      </c>
      <c r="C1377" s="22">
        <f>YEAR(Table1_1[[#This Row],[Order Date]])</f>
        <v>2025</v>
      </c>
      <c r="D1377" s="22" t="str">
        <f>TEXT(Table1_1[[#This Row],[Order Date]],"MMMM")</f>
        <v>November</v>
      </c>
      <c r="E1377" s="22" t="s">
        <v>48</v>
      </c>
      <c r="F1377" s="22" t="s">
        <v>49</v>
      </c>
      <c r="G1377" s="22" t="s">
        <v>18</v>
      </c>
      <c r="H1377" s="22" t="s">
        <v>29</v>
      </c>
      <c r="I1377" s="22" t="s">
        <v>30</v>
      </c>
      <c r="J1377" s="22" t="s">
        <v>61</v>
      </c>
      <c r="K1377" s="22" t="s">
        <v>96</v>
      </c>
      <c r="L1377" s="22" t="s">
        <v>57</v>
      </c>
      <c r="M1377" s="22" t="s">
        <v>66</v>
      </c>
      <c r="N1377" s="22">
        <v>38</v>
      </c>
      <c r="O1377" s="26">
        <v>25110</v>
      </c>
      <c r="P1377" s="22">
        <v>0.1</v>
      </c>
      <c r="Q1377" s="30">
        <v>16730</v>
      </c>
      <c r="R1377" s="33">
        <f>Table1_1[[#This Row],[Units Sold]]*Table1_1[[#This Row],[Unit Price]]*1-Table1_1[[#This Row],[Discount]]</f>
        <v>954179.9</v>
      </c>
      <c r="S1377" s="33">
        <f>Table1_1[[#This Row],[Units Sold]]*Table1_1[[#This Row],[Unit Cost]]</f>
        <v>635740</v>
      </c>
      <c r="T1377" s="33">
        <f>Table1_1[[#This Row],[Sales Amount]]-S1377</f>
        <v>318439.90000000002</v>
      </c>
      <c r="U1377" s="32">
        <f>IFERROR(Table1_1[[#This Row],[Profit/loss]]/Table1_1[[#This Row],[Sales Amount]],0)</f>
        <v>0.33373151121711958</v>
      </c>
    </row>
    <row r="1378" spans="1:21" ht="18" x14ac:dyDescent="0.35">
      <c r="A1378" s="21" t="s">
        <v>1485</v>
      </c>
      <c r="B1378" s="36">
        <v>45966</v>
      </c>
      <c r="C1378" s="22">
        <f>YEAR(Table1_1[[#This Row],[Order Date]])</f>
        <v>2025</v>
      </c>
      <c r="D1378" s="22" t="str">
        <f>TEXT(Table1_1[[#This Row],[Order Date]],"MMMM")</f>
        <v>November</v>
      </c>
      <c r="E1378" s="22" t="s">
        <v>82</v>
      </c>
      <c r="F1378" s="22" t="s">
        <v>87</v>
      </c>
      <c r="G1378" s="22" t="s">
        <v>101</v>
      </c>
      <c r="H1378" s="22" t="s">
        <v>29</v>
      </c>
      <c r="I1378" s="22" t="s">
        <v>20</v>
      </c>
      <c r="J1378" s="22" t="s">
        <v>45</v>
      </c>
      <c r="K1378" s="22" t="s">
        <v>196</v>
      </c>
      <c r="L1378" s="22" t="s">
        <v>23</v>
      </c>
      <c r="M1378" s="22" t="s">
        <v>66</v>
      </c>
      <c r="N1378" s="22">
        <v>25</v>
      </c>
      <c r="O1378" s="26">
        <v>2499</v>
      </c>
      <c r="P1378" s="22">
        <v>0.05</v>
      </c>
      <c r="Q1378" s="30">
        <v>1510</v>
      </c>
      <c r="R1378" s="33">
        <f>Table1_1[[#This Row],[Units Sold]]*Table1_1[[#This Row],[Unit Price]]*1-Table1_1[[#This Row],[Discount]]</f>
        <v>62474.95</v>
      </c>
      <c r="S1378" s="33">
        <f>Table1_1[[#This Row],[Units Sold]]*Table1_1[[#This Row],[Unit Cost]]</f>
        <v>37750</v>
      </c>
      <c r="T1378" s="33">
        <f>Table1_1[[#This Row],[Sales Amount]]-S1378</f>
        <v>24724.949999999997</v>
      </c>
      <c r="U1378" s="32">
        <f>IFERROR(Table1_1[[#This Row],[Profit/loss]]/Table1_1[[#This Row],[Sales Amount]],0)</f>
        <v>0.39575781973414942</v>
      </c>
    </row>
    <row r="1379" spans="1:21" ht="18" x14ac:dyDescent="0.35">
      <c r="A1379" s="21" t="s">
        <v>1486</v>
      </c>
      <c r="B1379" s="36">
        <v>45967</v>
      </c>
      <c r="C1379" s="22">
        <f>YEAR(Table1_1[[#This Row],[Order Date]])</f>
        <v>2025</v>
      </c>
      <c r="D1379" s="22" t="str">
        <f>TEXT(Table1_1[[#This Row],[Order Date]],"MMMM")</f>
        <v>November</v>
      </c>
      <c r="E1379" s="22" t="s">
        <v>48</v>
      </c>
      <c r="F1379" s="22" t="s">
        <v>49</v>
      </c>
      <c r="G1379" s="22" t="s">
        <v>38</v>
      </c>
      <c r="H1379" s="22" t="s">
        <v>29</v>
      </c>
      <c r="I1379" s="22" t="s">
        <v>30</v>
      </c>
      <c r="J1379" s="22" t="s">
        <v>31</v>
      </c>
      <c r="K1379" s="22" t="s">
        <v>106</v>
      </c>
      <c r="L1379" s="22" t="s">
        <v>57</v>
      </c>
      <c r="M1379" s="22" t="s">
        <v>66</v>
      </c>
      <c r="N1379" s="22">
        <v>38</v>
      </c>
      <c r="O1379" s="26">
        <v>52990</v>
      </c>
      <c r="P1379" s="22">
        <v>0.15</v>
      </c>
      <c r="Q1379" s="30">
        <v>35100</v>
      </c>
      <c r="R1379" s="33">
        <f>Table1_1[[#This Row],[Units Sold]]*Table1_1[[#This Row],[Unit Price]]*1-Table1_1[[#This Row],[Discount]]</f>
        <v>2013619.85</v>
      </c>
      <c r="S1379" s="33">
        <f>Table1_1[[#This Row],[Units Sold]]*Table1_1[[#This Row],[Unit Cost]]</f>
        <v>1333800</v>
      </c>
      <c r="T1379" s="33">
        <f>Table1_1[[#This Row],[Sales Amount]]-S1379</f>
        <v>679819.85000000009</v>
      </c>
      <c r="U1379" s="32">
        <f>IFERROR(Table1_1[[#This Row],[Profit/loss]]/Table1_1[[#This Row],[Sales Amount]],0)</f>
        <v>0.33761082063230557</v>
      </c>
    </row>
    <row r="1380" spans="1:21" ht="18" x14ac:dyDescent="0.35">
      <c r="A1380" s="21" t="s">
        <v>1487</v>
      </c>
      <c r="B1380" s="36">
        <v>45967</v>
      </c>
      <c r="C1380" s="22">
        <f>YEAR(Table1_1[[#This Row],[Order Date]])</f>
        <v>2025</v>
      </c>
      <c r="D1380" s="22" t="str">
        <f>TEXT(Table1_1[[#This Row],[Order Date]],"MMMM")</f>
        <v>November</v>
      </c>
      <c r="E1380" s="22" t="s">
        <v>82</v>
      </c>
      <c r="F1380" s="22" t="s">
        <v>100</v>
      </c>
      <c r="G1380" s="22" t="s">
        <v>105</v>
      </c>
      <c r="H1380" s="22" t="s">
        <v>19</v>
      </c>
      <c r="I1380" s="22" t="s">
        <v>54</v>
      </c>
      <c r="J1380" s="22" t="s">
        <v>90</v>
      </c>
      <c r="K1380" s="22" t="s">
        <v>1631</v>
      </c>
      <c r="L1380" s="22" t="s">
        <v>57</v>
      </c>
      <c r="M1380" s="22" t="s">
        <v>24</v>
      </c>
      <c r="N1380" s="22">
        <v>17</v>
      </c>
      <c r="O1380" s="26">
        <v>29010</v>
      </c>
      <c r="P1380" s="22">
        <v>0.1</v>
      </c>
      <c r="Q1380" s="30">
        <v>19150</v>
      </c>
      <c r="R1380" s="33">
        <f>Table1_1[[#This Row],[Units Sold]]*Table1_1[[#This Row],[Unit Price]]*1-Table1_1[[#This Row],[Discount]]</f>
        <v>493169.9</v>
      </c>
      <c r="S1380" s="33">
        <f>Table1_1[[#This Row],[Units Sold]]*Table1_1[[#This Row],[Unit Cost]]</f>
        <v>325550</v>
      </c>
      <c r="T1380" s="33">
        <f>Table1_1[[#This Row],[Sales Amount]]-S1380</f>
        <v>167619.90000000002</v>
      </c>
      <c r="U1380" s="32">
        <f>IFERROR(Table1_1[[#This Row],[Profit/loss]]/Table1_1[[#This Row],[Sales Amount]],0)</f>
        <v>0.33988266518293192</v>
      </c>
    </row>
    <row r="1381" spans="1:21" ht="18" x14ac:dyDescent="0.35">
      <c r="A1381" s="21" t="s">
        <v>1488</v>
      </c>
      <c r="B1381" s="36">
        <v>45967</v>
      </c>
      <c r="C1381" s="22">
        <f>YEAR(Table1_1[[#This Row],[Order Date]])</f>
        <v>2025</v>
      </c>
      <c r="D1381" s="22" t="str">
        <f>TEXT(Table1_1[[#This Row],[Order Date]],"MMMM")</f>
        <v>November</v>
      </c>
      <c r="E1381" s="22" t="s">
        <v>36</v>
      </c>
      <c r="F1381" s="22" t="s">
        <v>37</v>
      </c>
      <c r="G1381" s="22" t="s">
        <v>84</v>
      </c>
      <c r="H1381" s="22" t="s">
        <v>29</v>
      </c>
      <c r="I1381" s="22" t="s">
        <v>70</v>
      </c>
      <c r="J1381" s="22" t="s">
        <v>71</v>
      </c>
      <c r="K1381" s="22" t="s">
        <v>80</v>
      </c>
      <c r="L1381" s="22" t="s">
        <v>33</v>
      </c>
      <c r="M1381" s="22" t="s">
        <v>24</v>
      </c>
      <c r="N1381" s="22">
        <v>32</v>
      </c>
      <c r="O1381" s="26">
        <v>1299</v>
      </c>
      <c r="P1381" s="22">
        <v>0.18</v>
      </c>
      <c r="Q1381" s="30">
        <v>720</v>
      </c>
      <c r="R1381" s="33">
        <f>Table1_1[[#This Row],[Units Sold]]*Table1_1[[#This Row],[Unit Price]]*1-Table1_1[[#This Row],[Discount]]</f>
        <v>41567.82</v>
      </c>
      <c r="S1381" s="33">
        <f>Table1_1[[#This Row],[Units Sold]]*Table1_1[[#This Row],[Unit Cost]]</f>
        <v>23040</v>
      </c>
      <c r="T1381" s="33">
        <f>Table1_1[[#This Row],[Sales Amount]]-S1381</f>
        <v>18527.82</v>
      </c>
      <c r="U1381" s="32">
        <f>IFERROR(Table1_1[[#This Row],[Profit/loss]]/Table1_1[[#This Row],[Sales Amount]],0)</f>
        <v>0.44572508252778231</v>
      </c>
    </row>
    <row r="1382" spans="1:21" ht="18" x14ac:dyDescent="0.35">
      <c r="A1382" s="21" t="s">
        <v>1489</v>
      </c>
      <c r="B1382" s="36">
        <v>45968</v>
      </c>
      <c r="C1382" s="22">
        <f>YEAR(Table1_1[[#This Row],[Order Date]])</f>
        <v>2025</v>
      </c>
      <c r="D1382" s="22" t="str">
        <f>TEXT(Table1_1[[#This Row],[Order Date]],"MMMM")</f>
        <v>November</v>
      </c>
      <c r="E1382" s="22" t="s">
        <v>16</v>
      </c>
      <c r="F1382" s="22" t="s">
        <v>126</v>
      </c>
      <c r="G1382" s="22" t="s">
        <v>60</v>
      </c>
      <c r="H1382" s="22" t="s">
        <v>19</v>
      </c>
      <c r="I1382" s="22" t="s">
        <v>30</v>
      </c>
      <c r="J1382" s="22" t="s">
        <v>31</v>
      </c>
      <c r="K1382" s="22" t="s">
        <v>85</v>
      </c>
      <c r="L1382" s="22" t="s">
        <v>23</v>
      </c>
      <c r="M1382" s="22" t="s">
        <v>34</v>
      </c>
      <c r="N1382" s="22">
        <v>25</v>
      </c>
      <c r="O1382" s="26">
        <v>43500</v>
      </c>
      <c r="P1382" s="22">
        <v>0.12</v>
      </c>
      <c r="Q1382" s="30">
        <v>29520</v>
      </c>
      <c r="R1382" s="33">
        <f>Table1_1[[#This Row],[Units Sold]]*Table1_1[[#This Row],[Unit Price]]*1-Table1_1[[#This Row],[Discount]]</f>
        <v>1087499.8799999999</v>
      </c>
      <c r="S1382" s="33">
        <f>Table1_1[[#This Row],[Units Sold]]*Table1_1[[#This Row],[Unit Cost]]</f>
        <v>738000</v>
      </c>
      <c r="T1382" s="33">
        <f>Table1_1[[#This Row],[Sales Amount]]-S1382</f>
        <v>349499.87999999989</v>
      </c>
      <c r="U1382" s="32">
        <f>IFERROR(Table1_1[[#This Row],[Profit/loss]]/Table1_1[[#This Row],[Sales Amount]],0)</f>
        <v>0.32137923546253627</v>
      </c>
    </row>
    <row r="1383" spans="1:21" ht="18" x14ac:dyDescent="0.35">
      <c r="A1383" s="21" t="s">
        <v>1490</v>
      </c>
      <c r="B1383" s="36">
        <v>45968</v>
      </c>
      <c r="C1383" s="22">
        <f>YEAR(Table1_1[[#This Row],[Order Date]])</f>
        <v>2025</v>
      </c>
      <c r="D1383" s="22" t="str">
        <f>TEXT(Table1_1[[#This Row],[Order Date]],"MMMM")</f>
        <v>November</v>
      </c>
      <c r="E1383" s="22" t="s">
        <v>26</v>
      </c>
      <c r="F1383" s="22" t="s">
        <v>53</v>
      </c>
      <c r="G1383" s="22" t="s">
        <v>101</v>
      </c>
      <c r="H1383" s="22" t="s">
        <v>29</v>
      </c>
      <c r="I1383" s="22" t="s">
        <v>30</v>
      </c>
      <c r="J1383" s="22" t="s">
        <v>31</v>
      </c>
      <c r="K1383" s="22" t="s">
        <v>106</v>
      </c>
      <c r="L1383" s="22" t="s">
        <v>23</v>
      </c>
      <c r="M1383" s="22" t="s">
        <v>24</v>
      </c>
      <c r="N1383" s="22">
        <v>19</v>
      </c>
      <c r="O1383" s="26">
        <v>52990</v>
      </c>
      <c r="P1383" s="22">
        <v>0.08</v>
      </c>
      <c r="Q1383" s="30">
        <v>35100</v>
      </c>
      <c r="R1383" s="33">
        <f>Table1_1[[#This Row],[Units Sold]]*Table1_1[[#This Row],[Unit Price]]*1-Table1_1[[#This Row],[Discount]]</f>
        <v>1006809.92</v>
      </c>
      <c r="S1383" s="33">
        <f>Table1_1[[#This Row],[Units Sold]]*Table1_1[[#This Row],[Unit Cost]]</f>
        <v>666900</v>
      </c>
      <c r="T1383" s="33">
        <f>Table1_1[[#This Row],[Sales Amount]]-S1383</f>
        <v>339909.92000000004</v>
      </c>
      <c r="U1383" s="32">
        <f>IFERROR(Table1_1[[#This Row],[Profit/loss]]/Table1_1[[#This Row],[Sales Amount]],0)</f>
        <v>0.33761081734276122</v>
      </c>
    </row>
    <row r="1384" spans="1:21" ht="18" x14ac:dyDescent="0.35">
      <c r="A1384" s="21" t="s">
        <v>1491</v>
      </c>
      <c r="B1384" s="36">
        <v>45968</v>
      </c>
      <c r="C1384" s="22">
        <f>YEAR(Table1_1[[#This Row],[Order Date]])</f>
        <v>2025</v>
      </c>
      <c r="D1384" s="22" t="str">
        <f>TEXT(Table1_1[[#This Row],[Order Date]],"MMMM")</f>
        <v>November</v>
      </c>
      <c r="E1384" s="22" t="s">
        <v>26</v>
      </c>
      <c r="F1384" s="22" t="s">
        <v>53</v>
      </c>
      <c r="G1384" s="22" t="s">
        <v>18</v>
      </c>
      <c r="H1384" s="22" t="s">
        <v>19</v>
      </c>
      <c r="I1384" s="22" t="s">
        <v>40</v>
      </c>
      <c r="J1384" s="22" t="s">
        <v>76</v>
      </c>
      <c r="K1384" s="22" t="s">
        <v>113</v>
      </c>
      <c r="L1384" s="22" t="s">
        <v>33</v>
      </c>
      <c r="M1384" s="22" t="s">
        <v>78</v>
      </c>
      <c r="N1384" s="22">
        <v>17</v>
      </c>
      <c r="O1384" s="26">
        <v>22999</v>
      </c>
      <c r="P1384" s="22">
        <v>0.05</v>
      </c>
      <c r="Q1384" s="30">
        <v>15100</v>
      </c>
      <c r="R1384" s="33">
        <f>Table1_1[[#This Row],[Units Sold]]*Table1_1[[#This Row],[Unit Price]]*1-Table1_1[[#This Row],[Discount]]</f>
        <v>390982.95</v>
      </c>
      <c r="S1384" s="33">
        <f>Table1_1[[#This Row],[Units Sold]]*Table1_1[[#This Row],[Unit Cost]]</f>
        <v>256700</v>
      </c>
      <c r="T1384" s="33">
        <f>Table1_1[[#This Row],[Sales Amount]]-S1384</f>
        <v>134282.95000000001</v>
      </c>
      <c r="U1384" s="32">
        <f>IFERROR(Table1_1[[#This Row],[Profit/loss]]/Table1_1[[#This Row],[Sales Amount]],0)</f>
        <v>0.34344963124351074</v>
      </c>
    </row>
    <row r="1385" spans="1:21" ht="18" x14ac:dyDescent="0.35">
      <c r="A1385" s="21" t="s">
        <v>1492</v>
      </c>
      <c r="B1385" s="36">
        <v>45969</v>
      </c>
      <c r="C1385" s="22">
        <f>YEAR(Table1_1[[#This Row],[Order Date]])</f>
        <v>2025</v>
      </c>
      <c r="D1385" s="22" t="str">
        <f>TEXT(Table1_1[[#This Row],[Order Date]],"MMMM")</f>
        <v>November</v>
      </c>
      <c r="E1385" s="22" t="s">
        <v>82</v>
      </c>
      <c r="F1385" s="22" t="s">
        <v>87</v>
      </c>
      <c r="G1385" s="22" t="s">
        <v>50</v>
      </c>
      <c r="H1385" s="22" t="s">
        <v>39</v>
      </c>
      <c r="I1385" s="22" t="s">
        <v>30</v>
      </c>
      <c r="J1385" s="22" t="s">
        <v>61</v>
      </c>
      <c r="K1385" s="22" t="s">
        <v>62</v>
      </c>
      <c r="L1385" s="22" t="s">
        <v>23</v>
      </c>
      <c r="M1385" s="22" t="s">
        <v>24</v>
      </c>
      <c r="N1385" s="22">
        <v>16</v>
      </c>
      <c r="O1385" s="26">
        <v>12490</v>
      </c>
      <c r="P1385" s="22">
        <v>0.18</v>
      </c>
      <c r="Q1385" s="30">
        <v>7900</v>
      </c>
      <c r="R1385" s="33">
        <f>Table1_1[[#This Row],[Units Sold]]*Table1_1[[#This Row],[Unit Price]]*1-Table1_1[[#This Row],[Discount]]</f>
        <v>199839.82</v>
      </c>
      <c r="S1385" s="33">
        <f>Table1_1[[#This Row],[Units Sold]]*Table1_1[[#This Row],[Unit Cost]]</f>
        <v>126400</v>
      </c>
      <c r="T1385" s="33">
        <f>Table1_1[[#This Row],[Sales Amount]]-S1385</f>
        <v>73439.820000000007</v>
      </c>
      <c r="U1385" s="32">
        <f>IFERROR(Table1_1[[#This Row],[Profit/loss]]/Table1_1[[#This Row],[Sales Amount]],0)</f>
        <v>0.36749342548447056</v>
      </c>
    </row>
    <row r="1386" spans="1:21" ht="18" x14ac:dyDescent="0.35">
      <c r="A1386" s="21" t="s">
        <v>1493</v>
      </c>
      <c r="B1386" s="36">
        <v>45969</v>
      </c>
      <c r="C1386" s="22">
        <f>YEAR(Table1_1[[#This Row],[Order Date]])</f>
        <v>2025</v>
      </c>
      <c r="D1386" s="22" t="str">
        <f>TEXT(Table1_1[[#This Row],[Order Date]],"MMMM")</f>
        <v>November</v>
      </c>
      <c r="E1386" s="22" t="s">
        <v>26</v>
      </c>
      <c r="F1386" s="22" t="s">
        <v>53</v>
      </c>
      <c r="G1386" s="22" t="s">
        <v>69</v>
      </c>
      <c r="H1386" s="22" t="s">
        <v>39</v>
      </c>
      <c r="I1386" s="22" t="s">
        <v>40</v>
      </c>
      <c r="J1386" s="22" t="s">
        <v>64</v>
      </c>
      <c r="K1386" s="22" t="s">
        <v>1629</v>
      </c>
      <c r="L1386" s="22" t="s">
        <v>33</v>
      </c>
      <c r="M1386" s="22" t="s">
        <v>78</v>
      </c>
      <c r="N1386" s="22">
        <v>23</v>
      </c>
      <c r="O1386" s="26">
        <v>3299</v>
      </c>
      <c r="P1386" s="22">
        <v>0.05</v>
      </c>
      <c r="Q1386" s="30">
        <v>2050</v>
      </c>
      <c r="R1386" s="33">
        <f>Table1_1[[#This Row],[Units Sold]]*Table1_1[[#This Row],[Unit Price]]*1-Table1_1[[#This Row],[Discount]]</f>
        <v>75876.95</v>
      </c>
      <c r="S1386" s="33">
        <f>Table1_1[[#This Row],[Units Sold]]*Table1_1[[#This Row],[Unit Cost]]</f>
        <v>47150</v>
      </c>
      <c r="T1386" s="33">
        <f>Table1_1[[#This Row],[Sales Amount]]-S1386</f>
        <v>28726.949999999997</v>
      </c>
      <c r="U1386" s="32">
        <f>IFERROR(Table1_1[[#This Row],[Profit/loss]]/Table1_1[[#This Row],[Sales Amount]],0)</f>
        <v>0.37859916614993089</v>
      </c>
    </row>
    <row r="1387" spans="1:21" ht="18" x14ac:dyDescent="0.35">
      <c r="A1387" s="21" t="s">
        <v>1494</v>
      </c>
      <c r="B1387" s="36">
        <v>45969</v>
      </c>
      <c r="C1387" s="22">
        <f>YEAR(Table1_1[[#This Row],[Order Date]])</f>
        <v>2025</v>
      </c>
      <c r="D1387" s="22" t="str">
        <f>TEXT(Table1_1[[#This Row],[Order Date]],"MMMM")</f>
        <v>November</v>
      </c>
      <c r="E1387" s="22" t="s">
        <v>36</v>
      </c>
      <c r="F1387" s="22" t="s">
        <v>121</v>
      </c>
      <c r="G1387" s="22" t="s">
        <v>38</v>
      </c>
      <c r="H1387" s="22" t="s">
        <v>39</v>
      </c>
      <c r="I1387" s="22" t="s">
        <v>20</v>
      </c>
      <c r="J1387" s="22" t="s">
        <v>21</v>
      </c>
      <c r="K1387" s="22" t="s">
        <v>115</v>
      </c>
      <c r="L1387" s="22" t="s">
        <v>57</v>
      </c>
      <c r="M1387" s="22" t="s">
        <v>24</v>
      </c>
      <c r="N1387" s="22">
        <v>3</v>
      </c>
      <c r="O1387" s="26">
        <v>6499</v>
      </c>
      <c r="P1387" s="22">
        <v>0.08</v>
      </c>
      <c r="Q1387" s="30">
        <v>4210</v>
      </c>
      <c r="R1387" s="33">
        <f>Table1_1[[#This Row],[Units Sold]]*Table1_1[[#This Row],[Unit Price]]*1-Table1_1[[#This Row],[Discount]]</f>
        <v>19496.919999999998</v>
      </c>
      <c r="S1387" s="33">
        <f>Table1_1[[#This Row],[Units Sold]]*Table1_1[[#This Row],[Unit Cost]]</f>
        <v>12630</v>
      </c>
      <c r="T1387" s="33">
        <f>Table1_1[[#This Row],[Sales Amount]]-S1387</f>
        <v>6866.9199999999983</v>
      </c>
      <c r="U1387" s="32">
        <f>IFERROR(Table1_1[[#This Row],[Profit/loss]]/Table1_1[[#This Row],[Sales Amount]],0)</f>
        <v>0.35220537397701784</v>
      </c>
    </row>
    <row r="1388" spans="1:21" ht="18" x14ac:dyDescent="0.35">
      <c r="A1388" s="21" t="s">
        <v>1495</v>
      </c>
      <c r="B1388" s="36">
        <v>45969</v>
      </c>
      <c r="C1388" s="22">
        <f>YEAR(Table1_1[[#This Row],[Order Date]])</f>
        <v>2025</v>
      </c>
      <c r="D1388" s="22" t="str">
        <f>TEXT(Table1_1[[#This Row],[Order Date]],"MMMM")</f>
        <v>November</v>
      </c>
      <c r="E1388" s="22" t="s">
        <v>36</v>
      </c>
      <c r="F1388" s="22" t="s">
        <v>37</v>
      </c>
      <c r="G1388" s="22" t="s">
        <v>50</v>
      </c>
      <c r="H1388" s="22" t="s">
        <v>19</v>
      </c>
      <c r="I1388" s="22" t="s">
        <v>30</v>
      </c>
      <c r="J1388" s="22" t="s">
        <v>31</v>
      </c>
      <c r="K1388" s="22" t="s">
        <v>106</v>
      </c>
      <c r="L1388" s="22" t="s">
        <v>57</v>
      </c>
      <c r="M1388" s="22" t="s">
        <v>24</v>
      </c>
      <c r="N1388" s="22">
        <v>13</v>
      </c>
      <c r="O1388" s="26">
        <v>52990</v>
      </c>
      <c r="P1388" s="22">
        <v>0.2</v>
      </c>
      <c r="Q1388" s="30">
        <v>35100</v>
      </c>
      <c r="R1388" s="33">
        <f>Table1_1[[#This Row],[Units Sold]]*Table1_1[[#This Row],[Unit Price]]*1-Table1_1[[#This Row],[Discount]]</f>
        <v>688869.8</v>
      </c>
      <c r="S1388" s="33">
        <f>Table1_1[[#This Row],[Units Sold]]*Table1_1[[#This Row],[Unit Cost]]</f>
        <v>456300</v>
      </c>
      <c r="T1388" s="33">
        <f>Table1_1[[#This Row],[Sales Amount]]-S1388</f>
        <v>232569.80000000005</v>
      </c>
      <c r="U1388" s="32">
        <f>IFERROR(Table1_1[[#This Row],[Profit/loss]]/Table1_1[[#This Row],[Sales Amount]],0)</f>
        <v>0.33761067766361658</v>
      </c>
    </row>
    <row r="1389" spans="1:21" ht="18" x14ac:dyDescent="0.35">
      <c r="A1389" s="21" t="s">
        <v>1496</v>
      </c>
      <c r="B1389" s="36">
        <v>45970</v>
      </c>
      <c r="C1389" s="22">
        <f>YEAR(Table1_1[[#This Row],[Order Date]])</f>
        <v>2025</v>
      </c>
      <c r="D1389" s="22" t="str">
        <f>TEXT(Table1_1[[#This Row],[Order Date]],"MMMM")</f>
        <v>November</v>
      </c>
      <c r="E1389" s="22" t="s">
        <v>48</v>
      </c>
      <c r="F1389" s="22" t="s">
        <v>93</v>
      </c>
      <c r="G1389" s="22" t="s">
        <v>75</v>
      </c>
      <c r="H1389" s="22" t="s">
        <v>19</v>
      </c>
      <c r="I1389" s="22" t="s">
        <v>20</v>
      </c>
      <c r="J1389" s="22" t="s">
        <v>21</v>
      </c>
      <c r="K1389" s="22" t="s">
        <v>51</v>
      </c>
      <c r="L1389" s="22" t="s">
        <v>33</v>
      </c>
      <c r="M1389" s="22" t="s">
        <v>78</v>
      </c>
      <c r="N1389" s="22">
        <v>6</v>
      </c>
      <c r="O1389" s="26">
        <v>5999</v>
      </c>
      <c r="P1389" s="22">
        <v>0.1</v>
      </c>
      <c r="Q1389" s="30">
        <v>3890</v>
      </c>
      <c r="R1389" s="33">
        <f>Table1_1[[#This Row],[Units Sold]]*Table1_1[[#This Row],[Unit Price]]*1-Table1_1[[#This Row],[Discount]]</f>
        <v>35993.9</v>
      </c>
      <c r="S1389" s="33">
        <f>Table1_1[[#This Row],[Units Sold]]*Table1_1[[#This Row],[Unit Cost]]</f>
        <v>23340</v>
      </c>
      <c r="T1389" s="33">
        <f>Table1_1[[#This Row],[Sales Amount]]-S1389</f>
        <v>12653.900000000001</v>
      </c>
      <c r="U1389" s="32">
        <f>IFERROR(Table1_1[[#This Row],[Profit/loss]]/Table1_1[[#This Row],[Sales Amount]],0)</f>
        <v>0.35155679156746006</v>
      </c>
    </row>
    <row r="1390" spans="1:21" ht="18" x14ac:dyDescent="0.35">
      <c r="A1390" s="21" t="s">
        <v>1497</v>
      </c>
      <c r="B1390" s="36">
        <v>45970</v>
      </c>
      <c r="C1390" s="22">
        <f>YEAR(Table1_1[[#This Row],[Order Date]])</f>
        <v>2025</v>
      </c>
      <c r="D1390" s="22" t="str">
        <f>TEXT(Table1_1[[#This Row],[Order Date]],"MMMM")</f>
        <v>November</v>
      </c>
      <c r="E1390" s="22" t="s">
        <v>82</v>
      </c>
      <c r="F1390" s="22" t="s">
        <v>83</v>
      </c>
      <c r="G1390" s="22" t="s">
        <v>60</v>
      </c>
      <c r="H1390" s="22" t="s">
        <v>29</v>
      </c>
      <c r="I1390" s="22" t="s">
        <v>54</v>
      </c>
      <c r="J1390" s="22" t="s">
        <v>129</v>
      </c>
      <c r="K1390" s="22" t="s">
        <v>130</v>
      </c>
      <c r="L1390" s="22" t="s">
        <v>23</v>
      </c>
      <c r="M1390" s="22" t="s">
        <v>24</v>
      </c>
      <c r="N1390" s="22">
        <v>10</v>
      </c>
      <c r="O1390" s="26">
        <v>27890</v>
      </c>
      <c r="P1390" s="22">
        <v>0.15</v>
      </c>
      <c r="Q1390" s="30">
        <v>18800</v>
      </c>
      <c r="R1390" s="33">
        <f>Table1_1[[#This Row],[Units Sold]]*Table1_1[[#This Row],[Unit Price]]*1-Table1_1[[#This Row],[Discount]]</f>
        <v>278899.84999999998</v>
      </c>
      <c r="S1390" s="33">
        <f>Table1_1[[#This Row],[Units Sold]]*Table1_1[[#This Row],[Unit Cost]]</f>
        <v>188000</v>
      </c>
      <c r="T1390" s="33">
        <f>Table1_1[[#This Row],[Sales Amount]]-S1390</f>
        <v>90899.849999999977</v>
      </c>
      <c r="U1390" s="32">
        <f>IFERROR(Table1_1[[#This Row],[Profit/loss]]/Table1_1[[#This Row],[Sales Amount]],0)</f>
        <v>0.32592290745226282</v>
      </c>
    </row>
    <row r="1391" spans="1:21" ht="18" x14ac:dyDescent="0.35">
      <c r="A1391" s="21" t="s">
        <v>1498</v>
      </c>
      <c r="B1391" s="36">
        <v>45971</v>
      </c>
      <c r="C1391" s="22">
        <f>YEAR(Table1_1[[#This Row],[Order Date]])</f>
        <v>2025</v>
      </c>
      <c r="D1391" s="22" t="str">
        <f>TEXT(Table1_1[[#This Row],[Order Date]],"MMMM")</f>
        <v>November</v>
      </c>
      <c r="E1391" s="22" t="s">
        <v>48</v>
      </c>
      <c r="F1391" s="22" t="s">
        <v>49</v>
      </c>
      <c r="G1391" s="22" t="s">
        <v>101</v>
      </c>
      <c r="H1391" s="22" t="s">
        <v>29</v>
      </c>
      <c r="I1391" s="22" t="s">
        <v>40</v>
      </c>
      <c r="J1391" s="22" t="s">
        <v>41</v>
      </c>
      <c r="K1391" s="22" t="s">
        <v>42</v>
      </c>
      <c r="L1391" s="22" t="s">
        <v>33</v>
      </c>
      <c r="M1391" s="22" t="s">
        <v>24</v>
      </c>
      <c r="N1391" s="22">
        <v>22</v>
      </c>
      <c r="O1391" s="26">
        <v>55230</v>
      </c>
      <c r="P1391" s="22">
        <v>0.18</v>
      </c>
      <c r="Q1391" s="30">
        <v>33800</v>
      </c>
      <c r="R1391" s="33">
        <f>Table1_1[[#This Row],[Units Sold]]*Table1_1[[#This Row],[Unit Price]]*1-Table1_1[[#This Row],[Discount]]</f>
        <v>1215059.82</v>
      </c>
      <c r="S1391" s="33">
        <f>Table1_1[[#This Row],[Units Sold]]*Table1_1[[#This Row],[Unit Cost]]</f>
        <v>743600</v>
      </c>
      <c r="T1391" s="33">
        <f>Table1_1[[#This Row],[Sales Amount]]-S1391</f>
        <v>471459.82000000007</v>
      </c>
      <c r="U1391" s="32">
        <f>IFERROR(Table1_1[[#This Row],[Profit/loss]]/Table1_1[[#This Row],[Sales Amount]],0)</f>
        <v>0.38801366997717035</v>
      </c>
    </row>
    <row r="1392" spans="1:21" ht="18" x14ac:dyDescent="0.35">
      <c r="A1392" s="21" t="s">
        <v>1499</v>
      </c>
      <c r="B1392" s="36">
        <v>45971</v>
      </c>
      <c r="C1392" s="22">
        <f>YEAR(Table1_1[[#This Row],[Order Date]])</f>
        <v>2025</v>
      </c>
      <c r="D1392" s="22" t="str">
        <f>TEXT(Table1_1[[#This Row],[Order Date]],"MMMM")</f>
        <v>November</v>
      </c>
      <c r="E1392" s="22" t="s">
        <v>26</v>
      </c>
      <c r="F1392" s="22" t="s">
        <v>74</v>
      </c>
      <c r="G1392" s="22" t="s">
        <v>75</v>
      </c>
      <c r="H1392" s="22" t="s">
        <v>19</v>
      </c>
      <c r="I1392" s="22" t="s">
        <v>54</v>
      </c>
      <c r="J1392" s="22" t="s">
        <v>90</v>
      </c>
      <c r="K1392" s="22" t="s">
        <v>1621</v>
      </c>
      <c r="L1392" s="22" t="s">
        <v>57</v>
      </c>
      <c r="M1392" s="22" t="s">
        <v>66</v>
      </c>
      <c r="N1392" s="22">
        <v>40</v>
      </c>
      <c r="O1392" s="26">
        <v>31990</v>
      </c>
      <c r="P1392" s="22">
        <v>0.12</v>
      </c>
      <c r="Q1392" s="30">
        <v>21800</v>
      </c>
      <c r="R1392" s="33">
        <f>Table1_1[[#This Row],[Units Sold]]*Table1_1[[#This Row],[Unit Price]]*1-Table1_1[[#This Row],[Discount]]</f>
        <v>1279599.8799999999</v>
      </c>
      <c r="S1392" s="33">
        <f>Table1_1[[#This Row],[Units Sold]]*Table1_1[[#This Row],[Unit Cost]]</f>
        <v>872000</v>
      </c>
      <c r="T1392" s="33">
        <f>Table1_1[[#This Row],[Sales Amount]]-S1392</f>
        <v>407599.87999999989</v>
      </c>
      <c r="U1392" s="32">
        <f>IFERROR(Table1_1[[#This Row],[Profit/loss]]/Table1_1[[#This Row],[Sales Amount]],0)</f>
        <v>0.31853697891875382</v>
      </c>
    </row>
    <row r="1393" spans="1:21" ht="18" x14ac:dyDescent="0.35">
      <c r="A1393" s="21" t="s">
        <v>1500</v>
      </c>
      <c r="B1393" s="36">
        <v>45972</v>
      </c>
      <c r="C1393" s="22">
        <f>YEAR(Table1_1[[#This Row],[Order Date]])</f>
        <v>2025</v>
      </c>
      <c r="D1393" s="22" t="str">
        <f>TEXT(Table1_1[[#This Row],[Order Date]],"MMMM")</f>
        <v>November</v>
      </c>
      <c r="E1393" s="22" t="s">
        <v>16</v>
      </c>
      <c r="F1393" s="22" t="s">
        <v>111</v>
      </c>
      <c r="G1393" s="22" t="s">
        <v>50</v>
      </c>
      <c r="H1393" s="22" t="s">
        <v>19</v>
      </c>
      <c r="I1393" s="22" t="s">
        <v>70</v>
      </c>
      <c r="J1393" s="22" t="s">
        <v>71</v>
      </c>
      <c r="K1393" s="22" t="s">
        <v>80</v>
      </c>
      <c r="L1393" s="22" t="s">
        <v>57</v>
      </c>
      <c r="M1393" s="22" t="s">
        <v>78</v>
      </c>
      <c r="N1393" s="22">
        <v>14</v>
      </c>
      <c r="O1393" s="26">
        <v>1299</v>
      </c>
      <c r="P1393" s="22">
        <v>0.2</v>
      </c>
      <c r="Q1393" s="30">
        <v>720</v>
      </c>
      <c r="R1393" s="33">
        <f>Table1_1[[#This Row],[Units Sold]]*Table1_1[[#This Row],[Unit Price]]*1-Table1_1[[#This Row],[Discount]]</f>
        <v>18185.8</v>
      </c>
      <c r="S1393" s="33">
        <f>Table1_1[[#This Row],[Units Sold]]*Table1_1[[#This Row],[Unit Cost]]</f>
        <v>10080</v>
      </c>
      <c r="T1393" s="33">
        <f>Table1_1[[#This Row],[Sales Amount]]-S1393</f>
        <v>8105.7999999999993</v>
      </c>
      <c r="U1393" s="32">
        <f>IFERROR(Table1_1[[#This Row],[Profit/loss]]/Table1_1[[#This Row],[Sales Amount]],0)</f>
        <v>0.44572138701624342</v>
      </c>
    </row>
    <row r="1394" spans="1:21" ht="18" x14ac:dyDescent="0.35">
      <c r="A1394" s="21" t="s">
        <v>1501</v>
      </c>
      <c r="B1394" s="36">
        <v>45972</v>
      </c>
      <c r="C1394" s="22">
        <f>YEAR(Table1_1[[#This Row],[Order Date]])</f>
        <v>2025</v>
      </c>
      <c r="D1394" s="22" t="str">
        <f>TEXT(Table1_1[[#This Row],[Order Date]],"MMMM")</f>
        <v>November</v>
      </c>
      <c r="E1394" s="22" t="s">
        <v>36</v>
      </c>
      <c r="F1394" s="22" t="s">
        <v>59</v>
      </c>
      <c r="G1394" s="22" t="s">
        <v>50</v>
      </c>
      <c r="H1394" s="22" t="s">
        <v>39</v>
      </c>
      <c r="I1394" s="22" t="s">
        <v>20</v>
      </c>
      <c r="J1394" s="22" t="s">
        <v>21</v>
      </c>
      <c r="K1394" s="22" t="s">
        <v>115</v>
      </c>
      <c r="L1394" s="22" t="s">
        <v>33</v>
      </c>
      <c r="M1394" s="22" t="s">
        <v>24</v>
      </c>
      <c r="N1394" s="22">
        <v>14</v>
      </c>
      <c r="O1394" s="26">
        <v>6499</v>
      </c>
      <c r="P1394" s="22">
        <v>0.05</v>
      </c>
      <c r="Q1394" s="30">
        <v>4210</v>
      </c>
      <c r="R1394" s="33">
        <f>Table1_1[[#This Row],[Units Sold]]*Table1_1[[#This Row],[Unit Price]]*1-Table1_1[[#This Row],[Discount]]</f>
        <v>90985.95</v>
      </c>
      <c r="S1394" s="33">
        <f>Table1_1[[#This Row],[Units Sold]]*Table1_1[[#This Row],[Unit Cost]]</f>
        <v>58940</v>
      </c>
      <c r="T1394" s="33">
        <f>Table1_1[[#This Row],[Sales Amount]]-S1394</f>
        <v>32045.949999999997</v>
      </c>
      <c r="U1394" s="32">
        <f>IFERROR(Table1_1[[#This Row],[Profit/loss]]/Table1_1[[#This Row],[Sales Amount]],0)</f>
        <v>0.35220767602030861</v>
      </c>
    </row>
    <row r="1395" spans="1:21" ht="18" x14ac:dyDescent="0.35">
      <c r="A1395" s="21" t="s">
        <v>1502</v>
      </c>
      <c r="B1395" s="36">
        <v>45972</v>
      </c>
      <c r="C1395" s="22">
        <f>YEAR(Table1_1[[#This Row],[Order Date]])</f>
        <v>2025</v>
      </c>
      <c r="D1395" s="22" t="str">
        <f>TEXT(Table1_1[[#This Row],[Order Date]],"MMMM")</f>
        <v>November</v>
      </c>
      <c r="E1395" s="22" t="s">
        <v>16</v>
      </c>
      <c r="F1395" s="22" t="s">
        <v>17</v>
      </c>
      <c r="G1395" s="22" t="s">
        <v>50</v>
      </c>
      <c r="H1395" s="22" t="s">
        <v>19</v>
      </c>
      <c r="I1395" s="22" t="s">
        <v>40</v>
      </c>
      <c r="J1395" s="22" t="s">
        <v>76</v>
      </c>
      <c r="K1395" s="22" t="s">
        <v>113</v>
      </c>
      <c r="L1395" s="22" t="s">
        <v>23</v>
      </c>
      <c r="M1395" s="22" t="s">
        <v>66</v>
      </c>
      <c r="N1395" s="22">
        <v>29</v>
      </c>
      <c r="O1395" s="26">
        <v>22999</v>
      </c>
      <c r="P1395" s="22">
        <v>0.08</v>
      </c>
      <c r="Q1395" s="30">
        <v>15100</v>
      </c>
      <c r="R1395" s="33">
        <f>Table1_1[[#This Row],[Units Sold]]*Table1_1[[#This Row],[Unit Price]]*1-Table1_1[[#This Row],[Discount]]</f>
        <v>666970.92000000004</v>
      </c>
      <c r="S1395" s="33">
        <f>Table1_1[[#This Row],[Units Sold]]*Table1_1[[#This Row],[Unit Cost]]</f>
        <v>437900</v>
      </c>
      <c r="T1395" s="33">
        <f>Table1_1[[#This Row],[Sales Amount]]-S1395</f>
        <v>229070.92000000004</v>
      </c>
      <c r="U1395" s="32">
        <f>IFERROR(Table1_1[[#This Row],[Profit/loss]]/Table1_1[[#This Row],[Sales Amount]],0)</f>
        <v>0.34344963645491472</v>
      </c>
    </row>
    <row r="1396" spans="1:21" ht="18" x14ac:dyDescent="0.35">
      <c r="A1396" s="21" t="s">
        <v>1503</v>
      </c>
      <c r="B1396" s="36">
        <v>45973</v>
      </c>
      <c r="C1396" s="22">
        <f>YEAR(Table1_1[[#This Row],[Order Date]])</f>
        <v>2025</v>
      </c>
      <c r="D1396" s="22" t="str">
        <f>TEXT(Table1_1[[#This Row],[Order Date]],"MMMM")</f>
        <v>November</v>
      </c>
      <c r="E1396" s="22" t="s">
        <v>82</v>
      </c>
      <c r="F1396" s="22" t="s">
        <v>100</v>
      </c>
      <c r="G1396" s="22" t="s">
        <v>84</v>
      </c>
      <c r="H1396" s="22" t="s">
        <v>29</v>
      </c>
      <c r="I1396" s="22" t="s">
        <v>20</v>
      </c>
      <c r="J1396" s="22" t="s">
        <v>21</v>
      </c>
      <c r="K1396" s="22" t="s">
        <v>51</v>
      </c>
      <c r="L1396" s="22" t="s">
        <v>33</v>
      </c>
      <c r="M1396" s="22" t="s">
        <v>24</v>
      </c>
      <c r="N1396" s="22">
        <v>28</v>
      </c>
      <c r="O1396" s="26">
        <v>5999</v>
      </c>
      <c r="P1396" s="22">
        <v>0.05</v>
      </c>
      <c r="Q1396" s="30">
        <v>3890</v>
      </c>
      <c r="R1396" s="33">
        <f>Table1_1[[#This Row],[Units Sold]]*Table1_1[[#This Row],[Unit Price]]*1-Table1_1[[#This Row],[Discount]]</f>
        <v>167971.95</v>
      </c>
      <c r="S1396" s="33">
        <f>Table1_1[[#This Row],[Units Sold]]*Table1_1[[#This Row],[Unit Cost]]</f>
        <v>108920</v>
      </c>
      <c r="T1396" s="33">
        <f>Table1_1[[#This Row],[Sales Amount]]-S1396</f>
        <v>59051.950000000012</v>
      </c>
      <c r="U1396" s="32">
        <f>IFERROR(Table1_1[[#This Row],[Profit/loss]]/Table1_1[[#This Row],[Sales Amount]],0)</f>
        <v>0.35155840007810835</v>
      </c>
    </row>
    <row r="1397" spans="1:21" ht="18" x14ac:dyDescent="0.35">
      <c r="A1397" s="21" t="s">
        <v>1504</v>
      </c>
      <c r="B1397" s="36">
        <v>45973</v>
      </c>
      <c r="C1397" s="22">
        <f>YEAR(Table1_1[[#This Row],[Order Date]])</f>
        <v>2025</v>
      </c>
      <c r="D1397" s="22" t="str">
        <f>TEXT(Table1_1[[#This Row],[Order Date]],"MMMM")</f>
        <v>November</v>
      </c>
      <c r="E1397" s="22" t="s">
        <v>48</v>
      </c>
      <c r="F1397" s="22" t="s">
        <v>49</v>
      </c>
      <c r="G1397" s="22" t="s">
        <v>38</v>
      </c>
      <c r="H1397" s="22" t="s">
        <v>29</v>
      </c>
      <c r="I1397" s="22" t="s">
        <v>54</v>
      </c>
      <c r="J1397" s="22" t="s">
        <v>90</v>
      </c>
      <c r="K1397" s="22" t="s">
        <v>1621</v>
      </c>
      <c r="L1397" s="22" t="s">
        <v>33</v>
      </c>
      <c r="M1397" s="22" t="s">
        <v>24</v>
      </c>
      <c r="N1397" s="22">
        <v>10</v>
      </c>
      <c r="O1397" s="26">
        <v>31990</v>
      </c>
      <c r="P1397" s="22">
        <v>0.12</v>
      </c>
      <c r="Q1397" s="30">
        <v>21800</v>
      </c>
      <c r="R1397" s="33">
        <f>Table1_1[[#This Row],[Units Sold]]*Table1_1[[#This Row],[Unit Price]]*1-Table1_1[[#This Row],[Discount]]</f>
        <v>319899.88</v>
      </c>
      <c r="S1397" s="33">
        <f>Table1_1[[#This Row],[Units Sold]]*Table1_1[[#This Row],[Unit Cost]]</f>
        <v>218000</v>
      </c>
      <c r="T1397" s="33">
        <f>Table1_1[[#This Row],[Sales Amount]]-S1397</f>
        <v>101899.88</v>
      </c>
      <c r="U1397" s="32">
        <f>IFERROR(Table1_1[[#This Row],[Profit/loss]]/Table1_1[[#This Row],[Sales Amount]],0)</f>
        <v>0.31853678719729439</v>
      </c>
    </row>
    <row r="1398" spans="1:21" ht="18" x14ac:dyDescent="0.35">
      <c r="A1398" s="21" t="s">
        <v>1505</v>
      </c>
      <c r="B1398" s="36">
        <v>45973</v>
      </c>
      <c r="C1398" s="22">
        <f>YEAR(Table1_1[[#This Row],[Order Date]])</f>
        <v>2025</v>
      </c>
      <c r="D1398" s="22" t="str">
        <f>TEXT(Table1_1[[#This Row],[Order Date]],"MMMM")</f>
        <v>November</v>
      </c>
      <c r="E1398" s="22" t="s">
        <v>16</v>
      </c>
      <c r="F1398" s="22" t="s">
        <v>98</v>
      </c>
      <c r="G1398" s="22" t="s">
        <v>60</v>
      </c>
      <c r="H1398" s="22" t="s">
        <v>19</v>
      </c>
      <c r="I1398" s="22" t="s">
        <v>30</v>
      </c>
      <c r="J1398" s="22" t="s">
        <v>61</v>
      </c>
      <c r="K1398" s="22" t="s">
        <v>186</v>
      </c>
      <c r="L1398" s="22" t="s">
        <v>23</v>
      </c>
      <c r="M1398" s="22" t="s">
        <v>24</v>
      </c>
      <c r="N1398" s="22">
        <v>2</v>
      </c>
      <c r="O1398" s="26">
        <v>6999</v>
      </c>
      <c r="P1398" s="22">
        <v>0.12</v>
      </c>
      <c r="Q1398" s="30">
        <v>4320</v>
      </c>
      <c r="R1398" s="33">
        <f>Table1_1[[#This Row],[Units Sold]]*Table1_1[[#This Row],[Unit Price]]*1-Table1_1[[#This Row],[Discount]]</f>
        <v>13997.88</v>
      </c>
      <c r="S1398" s="33">
        <f>Table1_1[[#This Row],[Units Sold]]*Table1_1[[#This Row],[Unit Cost]]</f>
        <v>8640</v>
      </c>
      <c r="T1398" s="33">
        <f>Table1_1[[#This Row],[Sales Amount]]-S1398</f>
        <v>5357.8799999999992</v>
      </c>
      <c r="U1398" s="32">
        <f>IFERROR(Table1_1[[#This Row],[Profit/loss]]/Table1_1[[#This Row],[Sales Amount]],0)</f>
        <v>0.38276367564231151</v>
      </c>
    </row>
    <row r="1399" spans="1:21" ht="18" x14ac:dyDescent="0.35">
      <c r="A1399" s="21" t="s">
        <v>1506</v>
      </c>
      <c r="B1399" s="36">
        <v>45973</v>
      </c>
      <c r="C1399" s="22">
        <f>YEAR(Table1_1[[#This Row],[Order Date]])</f>
        <v>2025</v>
      </c>
      <c r="D1399" s="22" t="str">
        <f>TEXT(Table1_1[[#This Row],[Order Date]],"MMMM")</f>
        <v>November</v>
      </c>
      <c r="E1399" s="22" t="s">
        <v>26</v>
      </c>
      <c r="F1399" s="22" t="s">
        <v>74</v>
      </c>
      <c r="G1399" s="22" t="s">
        <v>50</v>
      </c>
      <c r="H1399" s="22" t="s">
        <v>29</v>
      </c>
      <c r="I1399" s="22" t="s">
        <v>20</v>
      </c>
      <c r="J1399" s="22" t="s">
        <v>45</v>
      </c>
      <c r="K1399" s="22" t="s">
        <v>196</v>
      </c>
      <c r="L1399" s="22" t="s">
        <v>23</v>
      </c>
      <c r="M1399" s="22" t="s">
        <v>24</v>
      </c>
      <c r="N1399" s="22">
        <v>16</v>
      </c>
      <c r="O1399" s="26">
        <v>2499</v>
      </c>
      <c r="P1399" s="22">
        <v>0.05</v>
      </c>
      <c r="Q1399" s="30">
        <v>1510</v>
      </c>
      <c r="R1399" s="33">
        <f>Table1_1[[#This Row],[Units Sold]]*Table1_1[[#This Row],[Unit Price]]*1-Table1_1[[#This Row],[Discount]]</f>
        <v>39983.949999999997</v>
      </c>
      <c r="S1399" s="33">
        <f>Table1_1[[#This Row],[Units Sold]]*Table1_1[[#This Row],[Unit Cost]]</f>
        <v>24160</v>
      </c>
      <c r="T1399" s="33">
        <f>Table1_1[[#This Row],[Sales Amount]]-S1399</f>
        <v>15823.949999999997</v>
      </c>
      <c r="U1399" s="32">
        <f>IFERROR(Table1_1[[#This Row],[Profit/loss]]/Table1_1[[#This Row],[Sales Amount]],0)</f>
        <v>0.39575754771602101</v>
      </c>
    </row>
    <row r="1400" spans="1:21" ht="18" x14ac:dyDescent="0.35">
      <c r="A1400" s="21" t="s">
        <v>1507</v>
      </c>
      <c r="B1400" s="36">
        <v>45974</v>
      </c>
      <c r="C1400" s="22">
        <f>YEAR(Table1_1[[#This Row],[Order Date]])</f>
        <v>2025</v>
      </c>
      <c r="D1400" s="22" t="str">
        <f>TEXT(Table1_1[[#This Row],[Order Date]],"MMMM")</f>
        <v>November</v>
      </c>
      <c r="E1400" s="22" t="s">
        <v>82</v>
      </c>
      <c r="F1400" s="22" t="s">
        <v>87</v>
      </c>
      <c r="G1400" s="22" t="s">
        <v>60</v>
      </c>
      <c r="H1400" s="22" t="s">
        <v>19</v>
      </c>
      <c r="I1400" s="22" t="s">
        <v>40</v>
      </c>
      <c r="J1400" s="22" t="s">
        <v>64</v>
      </c>
      <c r="K1400" s="22" t="s">
        <v>1629</v>
      </c>
      <c r="L1400" s="22" t="s">
        <v>33</v>
      </c>
      <c r="M1400" s="22" t="s">
        <v>66</v>
      </c>
      <c r="N1400" s="22">
        <v>14</v>
      </c>
      <c r="O1400" s="26">
        <v>3299</v>
      </c>
      <c r="P1400" s="22">
        <v>0.12</v>
      </c>
      <c r="Q1400" s="30">
        <v>2050</v>
      </c>
      <c r="R1400" s="33">
        <f>Table1_1[[#This Row],[Units Sold]]*Table1_1[[#This Row],[Unit Price]]*1-Table1_1[[#This Row],[Discount]]</f>
        <v>46185.88</v>
      </c>
      <c r="S1400" s="33">
        <f>Table1_1[[#This Row],[Units Sold]]*Table1_1[[#This Row],[Unit Cost]]</f>
        <v>28700</v>
      </c>
      <c r="T1400" s="33">
        <f>Table1_1[[#This Row],[Sales Amount]]-S1400</f>
        <v>17485.879999999997</v>
      </c>
      <c r="U1400" s="32">
        <f>IFERROR(Table1_1[[#This Row],[Profit/loss]]/Table1_1[[#This Row],[Sales Amount]],0)</f>
        <v>0.37859796110845995</v>
      </c>
    </row>
    <row r="1401" spans="1:21" ht="18" x14ac:dyDescent="0.35">
      <c r="A1401" s="21" t="s">
        <v>1508</v>
      </c>
      <c r="B1401" s="36">
        <v>45975</v>
      </c>
      <c r="C1401" s="22">
        <f>YEAR(Table1_1[[#This Row],[Order Date]])</f>
        <v>2025</v>
      </c>
      <c r="D1401" s="22" t="str">
        <f>TEXT(Table1_1[[#This Row],[Order Date]],"MMMM")</f>
        <v>November</v>
      </c>
      <c r="E1401" s="22" t="s">
        <v>26</v>
      </c>
      <c r="F1401" s="22" t="s">
        <v>74</v>
      </c>
      <c r="G1401" s="22" t="s">
        <v>69</v>
      </c>
      <c r="H1401" s="22" t="s">
        <v>19</v>
      </c>
      <c r="I1401" s="22" t="s">
        <v>54</v>
      </c>
      <c r="J1401" s="22" t="s">
        <v>129</v>
      </c>
      <c r="K1401" s="22" t="s">
        <v>1630</v>
      </c>
      <c r="L1401" s="22" t="s">
        <v>23</v>
      </c>
      <c r="M1401" s="22" t="s">
        <v>24</v>
      </c>
      <c r="N1401" s="22">
        <v>9</v>
      </c>
      <c r="O1401" s="26">
        <v>29010</v>
      </c>
      <c r="P1401" s="22">
        <v>0.15</v>
      </c>
      <c r="Q1401" s="30">
        <v>19100</v>
      </c>
      <c r="R1401" s="33">
        <f>Table1_1[[#This Row],[Units Sold]]*Table1_1[[#This Row],[Unit Price]]*1-Table1_1[[#This Row],[Discount]]</f>
        <v>261089.85</v>
      </c>
      <c r="S1401" s="33">
        <f>Table1_1[[#This Row],[Units Sold]]*Table1_1[[#This Row],[Unit Cost]]</f>
        <v>171900</v>
      </c>
      <c r="T1401" s="33">
        <f>Table1_1[[#This Row],[Sales Amount]]-S1401</f>
        <v>89189.85</v>
      </c>
      <c r="U1401" s="32">
        <f>IFERROR(Table1_1[[#This Row],[Profit/loss]]/Table1_1[[#This Row],[Sales Amount]],0)</f>
        <v>0.34160596438352547</v>
      </c>
    </row>
    <row r="1402" spans="1:21" ht="18" x14ac:dyDescent="0.35">
      <c r="A1402" s="21" t="s">
        <v>1509</v>
      </c>
      <c r="B1402" s="36">
        <v>45976</v>
      </c>
      <c r="C1402" s="22">
        <f>YEAR(Table1_1[[#This Row],[Order Date]])</f>
        <v>2025</v>
      </c>
      <c r="D1402" s="22" t="str">
        <f>TEXT(Table1_1[[#This Row],[Order Date]],"MMMM")</f>
        <v>November</v>
      </c>
      <c r="E1402" s="22" t="s">
        <v>36</v>
      </c>
      <c r="F1402" s="22" t="s">
        <v>44</v>
      </c>
      <c r="G1402" s="22" t="s">
        <v>28</v>
      </c>
      <c r="H1402" s="22" t="s">
        <v>19</v>
      </c>
      <c r="I1402" s="22" t="s">
        <v>54</v>
      </c>
      <c r="J1402" s="22" t="s">
        <v>129</v>
      </c>
      <c r="K1402" s="22" t="s">
        <v>130</v>
      </c>
      <c r="L1402" s="22" t="s">
        <v>57</v>
      </c>
      <c r="M1402" s="22" t="s">
        <v>34</v>
      </c>
      <c r="N1402" s="22">
        <v>14</v>
      </c>
      <c r="O1402" s="26">
        <v>27890</v>
      </c>
      <c r="P1402" s="22">
        <v>0.12</v>
      </c>
      <c r="Q1402" s="30">
        <v>18800</v>
      </c>
      <c r="R1402" s="33">
        <f>Table1_1[[#This Row],[Units Sold]]*Table1_1[[#This Row],[Unit Price]]*1-Table1_1[[#This Row],[Discount]]</f>
        <v>390459.88</v>
      </c>
      <c r="S1402" s="33">
        <f>Table1_1[[#This Row],[Units Sold]]*Table1_1[[#This Row],[Unit Cost]]</f>
        <v>263200</v>
      </c>
      <c r="T1402" s="33">
        <f>Table1_1[[#This Row],[Sales Amount]]-S1402</f>
        <v>127259.88</v>
      </c>
      <c r="U1402" s="32">
        <f>IFERROR(Table1_1[[#This Row],[Profit/loss]]/Table1_1[[#This Row],[Sales Amount]],0)</f>
        <v>0.32592306282530231</v>
      </c>
    </row>
    <row r="1403" spans="1:21" ht="18" x14ac:dyDescent="0.35">
      <c r="A1403" s="21" t="s">
        <v>1510</v>
      </c>
      <c r="B1403" s="36">
        <v>45977</v>
      </c>
      <c r="C1403" s="22">
        <f>YEAR(Table1_1[[#This Row],[Order Date]])</f>
        <v>2025</v>
      </c>
      <c r="D1403" s="22" t="str">
        <f>TEXT(Table1_1[[#This Row],[Order Date]],"MMMM")</f>
        <v>November</v>
      </c>
      <c r="E1403" s="22" t="s">
        <v>48</v>
      </c>
      <c r="F1403" s="22" t="s">
        <v>68</v>
      </c>
      <c r="G1403" s="22" t="s">
        <v>18</v>
      </c>
      <c r="H1403" s="22" t="s">
        <v>19</v>
      </c>
      <c r="I1403" s="22" t="s">
        <v>20</v>
      </c>
      <c r="J1403" s="22" t="s">
        <v>21</v>
      </c>
      <c r="K1403" s="22" t="s">
        <v>51</v>
      </c>
      <c r="L1403" s="22" t="s">
        <v>57</v>
      </c>
      <c r="M1403" s="22" t="s">
        <v>66</v>
      </c>
      <c r="N1403" s="22">
        <v>11</v>
      </c>
      <c r="O1403" s="26">
        <v>5999</v>
      </c>
      <c r="P1403" s="22">
        <v>0.15</v>
      </c>
      <c r="Q1403" s="30">
        <v>3890</v>
      </c>
      <c r="R1403" s="33">
        <f>Table1_1[[#This Row],[Units Sold]]*Table1_1[[#This Row],[Unit Price]]*1-Table1_1[[#This Row],[Discount]]</f>
        <v>65988.850000000006</v>
      </c>
      <c r="S1403" s="33">
        <f>Table1_1[[#This Row],[Units Sold]]*Table1_1[[#This Row],[Unit Cost]]</f>
        <v>42790</v>
      </c>
      <c r="T1403" s="33">
        <f>Table1_1[[#This Row],[Sales Amount]]-S1403</f>
        <v>23198.850000000006</v>
      </c>
      <c r="U1403" s="32">
        <f>IFERROR(Table1_1[[#This Row],[Profit/loss]]/Table1_1[[#This Row],[Sales Amount]],0)</f>
        <v>0.35155711911936643</v>
      </c>
    </row>
    <row r="1404" spans="1:21" ht="18" x14ac:dyDescent="0.35">
      <c r="A1404" s="21" t="s">
        <v>1511</v>
      </c>
      <c r="B1404" s="36">
        <v>45977</v>
      </c>
      <c r="C1404" s="22">
        <f>YEAR(Table1_1[[#This Row],[Order Date]])</f>
        <v>2025</v>
      </c>
      <c r="D1404" s="22" t="str">
        <f>TEXT(Table1_1[[#This Row],[Order Date]],"MMMM")</f>
        <v>November</v>
      </c>
      <c r="E1404" s="22" t="s">
        <v>48</v>
      </c>
      <c r="F1404" s="22" t="s">
        <v>136</v>
      </c>
      <c r="G1404" s="22" t="s">
        <v>50</v>
      </c>
      <c r="H1404" s="22" t="s">
        <v>19</v>
      </c>
      <c r="I1404" s="22" t="s">
        <v>20</v>
      </c>
      <c r="J1404" s="22" t="s">
        <v>45</v>
      </c>
      <c r="K1404" s="22" t="s">
        <v>1618</v>
      </c>
      <c r="L1404" s="22" t="s">
        <v>57</v>
      </c>
      <c r="M1404" s="22" t="s">
        <v>78</v>
      </c>
      <c r="N1404" s="22">
        <v>19</v>
      </c>
      <c r="O1404" s="26">
        <v>1899</v>
      </c>
      <c r="P1404" s="22">
        <v>0.05</v>
      </c>
      <c r="Q1404" s="30">
        <v>1080</v>
      </c>
      <c r="R1404" s="33">
        <f>Table1_1[[#This Row],[Units Sold]]*Table1_1[[#This Row],[Unit Price]]*1-Table1_1[[#This Row],[Discount]]</f>
        <v>36080.949999999997</v>
      </c>
      <c r="S1404" s="33">
        <f>Table1_1[[#This Row],[Units Sold]]*Table1_1[[#This Row],[Unit Cost]]</f>
        <v>20520</v>
      </c>
      <c r="T1404" s="33">
        <f>Table1_1[[#This Row],[Sales Amount]]-S1404</f>
        <v>15560.949999999997</v>
      </c>
      <c r="U1404" s="32">
        <f>IFERROR(Table1_1[[#This Row],[Profit/loss]]/Table1_1[[#This Row],[Sales Amount]],0)</f>
        <v>0.43127883273583423</v>
      </c>
    </row>
    <row r="1405" spans="1:21" ht="18" x14ac:dyDescent="0.35">
      <c r="A1405" s="21" t="s">
        <v>1512</v>
      </c>
      <c r="B1405" s="36">
        <v>45978</v>
      </c>
      <c r="C1405" s="22">
        <f>YEAR(Table1_1[[#This Row],[Order Date]])</f>
        <v>2025</v>
      </c>
      <c r="D1405" s="22" t="str">
        <f>TEXT(Table1_1[[#This Row],[Order Date]],"MMMM")</f>
        <v>November</v>
      </c>
      <c r="E1405" s="22" t="s">
        <v>48</v>
      </c>
      <c r="F1405" s="22" t="s">
        <v>136</v>
      </c>
      <c r="G1405" s="22" t="s">
        <v>69</v>
      </c>
      <c r="H1405" s="22" t="s">
        <v>29</v>
      </c>
      <c r="I1405" s="22" t="s">
        <v>54</v>
      </c>
      <c r="J1405" s="22" t="s">
        <v>55</v>
      </c>
      <c r="K1405" s="22" t="s">
        <v>148</v>
      </c>
      <c r="L1405" s="22" t="s">
        <v>57</v>
      </c>
      <c r="M1405" s="22" t="s">
        <v>24</v>
      </c>
      <c r="N1405" s="22">
        <v>5</v>
      </c>
      <c r="O1405" s="26">
        <v>4680</v>
      </c>
      <c r="P1405" s="22">
        <v>0.18</v>
      </c>
      <c r="Q1405" s="30">
        <v>3250</v>
      </c>
      <c r="R1405" s="33">
        <f>Table1_1[[#This Row],[Units Sold]]*Table1_1[[#This Row],[Unit Price]]*1-Table1_1[[#This Row],[Discount]]</f>
        <v>23399.82</v>
      </c>
      <c r="S1405" s="33">
        <f>Table1_1[[#This Row],[Units Sold]]*Table1_1[[#This Row],[Unit Cost]]</f>
        <v>16250</v>
      </c>
      <c r="T1405" s="33">
        <f>Table1_1[[#This Row],[Sales Amount]]-S1405</f>
        <v>7149.82</v>
      </c>
      <c r="U1405" s="32">
        <f>IFERROR(Table1_1[[#This Row],[Profit/loss]]/Table1_1[[#This Row],[Sales Amount]],0)</f>
        <v>0.30555021363412194</v>
      </c>
    </row>
    <row r="1406" spans="1:21" ht="18" x14ac:dyDescent="0.35">
      <c r="A1406" s="21" t="s">
        <v>1513</v>
      </c>
      <c r="B1406" s="36">
        <v>45978</v>
      </c>
      <c r="C1406" s="22">
        <f>YEAR(Table1_1[[#This Row],[Order Date]])</f>
        <v>2025</v>
      </c>
      <c r="D1406" s="22" t="str">
        <f>TEXT(Table1_1[[#This Row],[Order Date]],"MMMM")</f>
        <v>November</v>
      </c>
      <c r="E1406" s="22" t="s">
        <v>48</v>
      </c>
      <c r="F1406" s="22" t="s">
        <v>93</v>
      </c>
      <c r="G1406" s="22" t="s">
        <v>28</v>
      </c>
      <c r="H1406" s="22" t="s">
        <v>39</v>
      </c>
      <c r="I1406" s="22" t="s">
        <v>40</v>
      </c>
      <c r="J1406" s="22" t="s">
        <v>76</v>
      </c>
      <c r="K1406" s="22" t="s">
        <v>1626</v>
      </c>
      <c r="L1406" s="22" t="s">
        <v>33</v>
      </c>
      <c r="M1406" s="22" t="s">
        <v>66</v>
      </c>
      <c r="N1406" s="22">
        <v>30</v>
      </c>
      <c r="O1406" s="26">
        <v>25999</v>
      </c>
      <c r="P1406" s="22">
        <v>0.05</v>
      </c>
      <c r="Q1406" s="30">
        <v>17800</v>
      </c>
      <c r="R1406" s="33">
        <f>Table1_1[[#This Row],[Units Sold]]*Table1_1[[#This Row],[Unit Price]]*1-Table1_1[[#This Row],[Discount]]</f>
        <v>779969.95</v>
      </c>
      <c r="S1406" s="33">
        <f>Table1_1[[#This Row],[Units Sold]]*Table1_1[[#This Row],[Unit Cost]]</f>
        <v>534000</v>
      </c>
      <c r="T1406" s="33">
        <f>Table1_1[[#This Row],[Sales Amount]]-S1406</f>
        <v>245969.94999999995</v>
      </c>
      <c r="U1406" s="32">
        <f>IFERROR(Table1_1[[#This Row],[Profit/loss]]/Table1_1[[#This Row],[Sales Amount]],0)</f>
        <v>0.31535823912190458</v>
      </c>
    </row>
    <row r="1407" spans="1:21" ht="18" x14ac:dyDescent="0.35">
      <c r="A1407" s="21" t="s">
        <v>1514</v>
      </c>
      <c r="B1407" s="36">
        <v>45978</v>
      </c>
      <c r="C1407" s="22">
        <f>YEAR(Table1_1[[#This Row],[Order Date]])</f>
        <v>2025</v>
      </c>
      <c r="D1407" s="22" t="str">
        <f>TEXT(Table1_1[[#This Row],[Order Date]],"MMMM")</f>
        <v>November</v>
      </c>
      <c r="E1407" s="22" t="s">
        <v>36</v>
      </c>
      <c r="F1407" s="22" t="s">
        <v>37</v>
      </c>
      <c r="G1407" s="22" t="s">
        <v>50</v>
      </c>
      <c r="H1407" s="22" t="s">
        <v>39</v>
      </c>
      <c r="I1407" s="22" t="s">
        <v>20</v>
      </c>
      <c r="J1407" s="22" t="s">
        <v>21</v>
      </c>
      <c r="K1407" s="22" t="s">
        <v>51</v>
      </c>
      <c r="L1407" s="22" t="s">
        <v>23</v>
      </c>
      <c r="M1407" s="22" t="s">
        <v>24</v>
      </c>
      <c r="N1407" s="22">
        <v>11</v>
      </c>
      <c r="O1407" s="26">
        <v>5999</v>
      </c>
      <c r="P1407" s="22">
        <v>0.15</v>
      </c>
      <c r="Q1407" s="30">
        <v>3890</v>
      </c>
      <c r="R1407" s="33">
        <f>Table1_1[[#This Row],[Units Sold]]*Table1_1[[#This Row],[Unit Price]]*1-Table1_1[[#This Row],[Discount]]</f>
        <v>65988.850000000006</v>
      </c>
      <c r="S1407" s="33">
        <f>Table1_1[[#This Row],[Units Sold]]*Table1_1[[#This Row],[Unit Cost]]</f>
        <v>42790</v>
      </c>
      <c r="T1407" s="33">
        <f>Table1_1[[#This Row],[Sales Amount]]-S1407</f>
        <v>23198.850000000006</v>
      </c>
      <c r="U1407" s="32">
        <f>IFERROR(Table1_1[[#This Row],[Profit/loss]]/Table1_1[[#This Row],[Sales Amount]],0)</f>
        <v>0.35155711911936643</v>
      </c>
    </row>
    <row r="1408" spans="1:21" ht="18" x14ac:dyDescent="0.35">
      <c r="A1408" s="21" t="s">
        <v>1515</v>
      </c>
      <c r="B1408" s="36">
        <v>45978</v>
      </c>
      <c r="C1408" s="22">
        <f>YEAR(Table1_1[[#This Row],[Order Date]])</f>
        <v>2025</v>
      </c>
      <c r="D1408" s="22" t="str">
        <f>TEXT(Table1_1[[#This Row],[Order Date]],"MMMM")</f>
        <v>November</v>
      </c>
      <c r="E1408" s="22" t="s">
        <v>36</v>
      </c>
      <c r="F1408" s="22" t="s">
        <v>44</v>
      </c>
      <c r="G1408" s="22" t="s">
        <v>38</v>
      </c>
      <c r="H1408" s="22" t="s">
        <v>39</v>
      </c>
      <c r="I1408" s="22" t="s">
        <v>54</v>
      </c>
      <c r="J1408" s="22" t="s">
        <v>90</v>
      </c>
      <c r="K1408" s="22" t="s">
        <v>1631</v>
      </c>
      <c r="L1408" s="22" t="s">
        <v>33</v>
      </c>
      <c r="M1408" s="22" t="s">
        <v>34</v>
      </c>
      <c r="N1408" s="22">
        <v>13</v>
      </c>
      <c r="O1408" s="26">
        <v>29010</v>
      </c>
      <c r="P1408" s="22">
        <v>0.1</v>
      </c>
      <c r="Q1408" s="30">
        <v>19150</v>
      </c>
      <c r="R1408" s="33">
        <f>Table1_1[[#This Row],[Units Sold]]*Table1_1[[#This Row],[Unit Price]]*1-Table1_1[[#This Row],[Discount]]</f>
        <v>377129.9</v>
      </c>
      <c r="S1408" s="33">
        <f>Table1_1[[#This Row],[Units Sold]]*Table1_1[[#This Row],[Unit Cost]]</f>
        <v>248950</v>
      </c>
      <c r="T1408" s="33">
        <f>Table1_1[[#This Row],[Sales Amount]]-S1408</f>
        <v>128179.90000000002</v>
      </c>
      <c r="U1408" s="32">
        <f>IFERROR(Table1_1[[#This Row],[Profit/loss]]/Table1_1[[#This Row],[Sales Amount]],0)</f>
        <v>0.33988262399772601</v>
      </c>
    </row>
    <row r="1409" spans="1:21" ht="18" x14ac:dyDescent="0.35">
      <c r="A1409" s="21" t="s">
        <v>1516</v>
      </c>
      <c r="B1409" s="36">
        <v>45979</v>
      </c>
      <c r="C1409" s="22">
        <f>YEAR(Table1_1[[#This Row],[Order Date]])</f>
        <v>2025</v>
      </c>
      <c r="D1409" s="22" t="str">
        <f>TEXT(Table1_1[[#This Row],[Order Date]],"MMMM")</f>
        <v>November</v>
      </c>
      <c r="E1409" s="22" t="s">
        <v>82</v>
      </c>
      <c r="F1409" s="22" t="s">
        <v>100</v>
      </c>
      <c r="G1409" s="22" t="s">
        <v>101</v>
      </c>
      <c r="H1409" s="22" t="s">
        <v>29</v>
      </c>
      <c r="I1409" s="22" t="s">
        <v>20</v>
      </c>
      <c r="J1409" s="22" t="s">
        <v>21</v>
      </c>
      <c r="K1409" s="22" t="s">
        <v>51</v>
      </c>
      <c r="L1409" s="22" t="s">
        <v>57</v>
      </c>
      <c r="M1409" s="22" t="s">
        <v>24</v>
      </c>
      <c r="N1409" s="22">
        <v>20</v>
      </c>
      <c r="O1409" s="26">
        <v>5999</v>
      </c>
      <c r="P1409" s="22">
        <v>0.15</v>
      </c>
      <c r="Q1409" s="30">
        <v>3890</v>
      </c>
      <c r="R1409" s="33">
        <f>Table1_1[[#This Row],[Units Sold]]*Table1_1[[#This Row],[Unit Price]]*1-Table1_1[[#This Row],[Discount]]</f>
        <v>119979.85</v>
      </c>
      <c r="S1409" s="33">
        <f>Table1_1[[#This Row],[Units Sold]]*Table1_1[[#This Row],[Unit Cost]]</f>
        <v>77800</v>
      </c>
      <c r="T1409" s="33">
        <f>Table1_1[[#This Row],[Sales Amount]]-S1409</f>
        <v>42179.850000000006</v>
      </c>
      <c r="U1409" s="32">
        <f>IFERROR(Table1_1[[#This Row],[Profit/loss]]/Table1_1[[#This Row],[Sales Amount]],0)</f>
        <v>0.35155778241096319</v>
      </c>
    </row>
    <row r="1410" spans="1:21" ht="18" x14ac:dyDescent="0.35">
      <c r="A1410" s="21" t="s">
        <v>1517</v>
      </c>
      <c r="B1410" s="36">
        <v>45979</v>
      </c>
      <c r="C1410" s="22">
        <f>YEAR(Table1_1[[#This Row],[Order Date]])</f>
        <v>2025</v>
      </c>
      <c r="D1410" s="22" t="str">
        <f>TEXT(Table1_1[[#This Row],[Order Date]],"MMMM")</f>
        <v>November</v>
      </c>
      <c r="E1410" s="22" t="s">
        <v>82</v>
      </c>
      <c r="F1410" s="22" t="s">
        <v>100</v>
      </c>
      <c r="G1410" s="22" t="s">
        <v>60</v>
      </c>
      <c r="H1410" s="22" t="s">
        <v>19</v>
      </c>
      <c r="I1410" s="22" t="s">
        <v>40</v>
      </c>
      <c r="J1410" s="22" t="s">
        <v>64</v>
      </c>
      <c r="K1410" s="22" t="s">
        <v>1627</v>
      </c>
      <c r="L1410" s="22" t="s">
        <v>57</v>
      </c>
      <c r="M1410" s="22" t="s">
        <v>24</v>
      </c>
      <c r="N1410" s="22">
        <v>36</v>
      </c>
      <c r="O1410" s="26">
        <v>4490</v>
      </c>
      <c r="P1410" s="22">
        <v>0.15</v>
      </c>
      <c r="Q1410" s="30">
        <v>2950</v>
      </c>
      <c r="R1410" s="33">
        <f>Table1_1[[#This Row],[Units Sold]]*Table1_1[[#This Row],[Unit Price]]*1-Table1_1[[#This Row],[Discount]]</f>
        <v>161639.85</v>
      </c>
      <c r="S1410" s="33">
        <f>Table1_1[[#This Row],[Units Sold]]*Table1_1[[#This Row],[Unit Cost]]</f>
        <v>106200</v>
      </c>
      <c r="T1410" s="33">
        <f>Table1_1[[#This Row],[Sales Amount]]-S1410</f>
        <v>55439.850000000006</v>
      </c>
      <c r="U1410" s="32">
        <f>IFERROR(Table1_1[[#This Row],[Profit/loss]]/Table1_1[[#This Row],[Sales Amount]],0)</f>
        <v>0.34298380009632529</v>
      </c>
    </row>
    <row r="1411" spans="1:21" ht="18" x14ac:dyDescent="0.35">
      <c r="A1411" s="21" t="s">
        <v>1518</v>
      </c>
      <c r="B1411" s="36">
        <v>45980</v>
      </c>
      <c r="C1411" s="22">
        <f>YEAR(Table1_1[[#This Row],[Order Date]])</f>
        <v>2025</v>
      </c>
      <c r="D1411" s="22" t="str">
        <f>TEXT(Table1_1[[#This Row],[Order Date]],"MMMM")</f>
        <v>November</v>
      </c>
      <c r="E1411" s="22" t="s">
        <v>26</v>
      </c>
      <c r="F1411" s="22" t="s">
        <v>163</v>
      </c>
      <c r="G1411" s="22" t="s">
        <v>105</v>
      </c>
      <c r="H1411" s="22" t="s">
        <v>39</v>
      </c>
      <c r="I1411" s="22" t="s">
        <v>40</v>
      </c>
      <c r="J1411" s="22" t="s">
        <v>64</v>
      </c>
      <c r="K1411" s="22" t="s">
        <v>1619</v>
      </c>
      <c r="L1411" s="22" t="s">
        <v>33</v>
      </c>
      <c r="M1411" s="22" t="s">
        <v>24</v>
      </c>
      <c r="N1411" s="22">
        <v>22</v>
      </c>
      <c r="O1411" s="26">
        <v>1930</v>
      </c>
      <c r="P1411" s="22">
        <v>0.15</v>
      </c>
      <c r="Q1411" s="30">
        <v>1120</v>
      </c>
      <c r="R1411" s="33">
        <f>Table1_1[[#This Row],[Units Sold]]*Table1_1[[#This Row],[Unit Price]]*1-Table1_1[[#This Row],[Discount]]</f>
        <v>42459.85</v>
      </c>
      <c r="S1411" s="33">
        <f>Table1_1[[#This Row],[Units Sold]]*Table1_1[[#This Row],[Unit Cost]]</f>
        <v>24640</v>
      </c>
      <c r="T1411" s="33">
        <f>Table1_1[[#This Row],[Sales Amount]]-S1411</f>
        <v>17819.849999999999</v>
      </c>
      <c r="U1411" s="32">
        <f>IFERROR(Table1_1[[#This Row],[Profit/loss]]/Table1_1[[#This Row],[Sales Amount]],0)</f>
        <v>0.41968706907819975</v>
      </c>
    </row>
    <row r="1412" spans="1:21" ht="18" x14ac:dyDescent="0.35">
      <c r="A1412" s="21" t="s">
        <v>1519</v>
      </c>
      <c r="B1412" s="36">
        <v>45980</v>
      </c>
      <c r="C1412" s="22">
        <f>YEAR(Table1_1[[#This Row],[Order Date]])</f>
        <v>2025</v>
      </c>
      <c r="D1412" s="22" t="str">
        <f>TEXT(Table1_1[[#This Row],[Order Date]],"MMMM")</f>
        <v>November</v>
      </c>
      <c r="E1412" s="22" t="s">
        <v>82</v>
      </c>
      <c r="F1412" s="22" t="s">
        <v>87</v>
      </c>
      <c r="G1412" s="22" t="s">
        <v>28</v>
      </c>
      <c r="H1412" s="22" t="s">
        <v>29</v>
      </c>
      <c r="I1412" s="22" t="s">
        <v>30</v>
      </c>
      <c r="J1412" s="22" t="s">
        <v>31</v>
      </c>
      <c r="K1412" s="22" t="s">
        <v>106</v>
      </c>
      <c r="L1412" s="22" t="s">
        <v>33</v>
      </c>
      <c r="M1412" s="22" t="s">
        <v>78</v>
      </c>
      <c r="N1412" s="22">
        <v>14</v>
      </c>
      <c r="O1412" s="26">
        <v>52990</v>
      </c>
      <c r="P1412" s="22">
        <v>0.05</v>
      </c>
      <c r="Q1412" s="30">
        <v>35100</v>
      </c>
      <c r="R1412" s="33">
        <f>Table1_1[[#This Row],[Units Sold]]*Table1_1[[#This Row],[Unit Price]]*1-Table1_1[[#This Row],[Discount]]</f>
        <v>741859.95</v>
      </c>
      <c r="S1412" s="33">
        <f>Table1_1[[#This Row],[Units Sold]]*Table1_1[[#This Row],[Unit Cost]]</f>
        <v>491400</v>
      </c>
      <c r="T1412" s="33">
        <f>Table1_1[[#This Row],[Sales Amount]]-S1412</f>
        <v>250459.94999999995</v>
      </c>
      <c r="U1412" s="32">
        <f>IFERROR(Table1_1[[#This Row],[Profit/loss]]/Table1_1[[#This Row],[Sales Amount]],0)</f>
        <v>0.33761082533165454</v>
      </c>
    </row>
    <row r="1413" spans="1:21" ht="18" x14ac:dyDescent="0.35">
      <c r="A1413" s="21" t="s">
        <v>1520</v>
      </c>
      <c r="B1413" s="36">
        <v>45980</v>
      </c>
      <c r="C1413" s="22">
        <f>YEAR(Table1_1[[#This Row],[Order Date]])</f>
        <v>2025</v>
      </c>
      <c r="D1413" s="22" t="str">
        <f>TEXT(Table1_1[[#This Row],[Order Date]],"MMMM")</f>
        <v>November</v>
      </c>
      <c r="E1413" s="22" t="s">
        <v>36</v>
      </c>
      <c r="F1413" s="22" t="s">
        <v>59</v>
      </c>
      <c r="G1413" s="22" t="s">
        <v>84</v>
      </c>
      <c r="H1413" s="22" t="s">
        <v>19</v>
      </c>
      <c r="I1413" s="22" t="s">
        <v>54</v>
      </c>
      <c r="J1413" s="22" t="s">
        <v>90</v>
      </c>
      <c r="K1413" s="22" t="s">
        <v>1631</v>
      </c>
      <c r="L1413" s="22" t="s">
        <v>57</v>
      </c>
      <c r="M1413" s="22" t="s">
        <v>34</v>
      </c>
      <c r="N1413" s="22">
        <v>9</v>
      </c>
      <c r="O1413" s="26">
        <v>29010</v>
      </c>
      <c r="P1413" s="22">
        <v>0.08</v>
      </c>
      <c r="Q1413" s="30">
        <v>19150</v>
      </c>
      <c r="R1413" s="33">
        <f>Table1_1[[#This Row],[Units Sold]]*Table1_1[[#This Row],[Unit Price]]*1-Table1_1[[#This Row],[Discount]]</f>
        <v>261089.92000000001</v>
      </c>
      <c r="S1413" s="33">
        <f>Table1_1[[#This Row],[Units Sold]]*Table1_1[[#This Row],[Unit Cost]]</f>
        <v>172350</v>
      </c>
      <c r="T1413" s="33">
        <f>Table1_1[[#This Row],[Sales Amount]]-S1413</f>
        <v>88739.920000000013</v>
      </c>
      <c r="U1413" s="32">
        <f>IFERROR(Table1_1[[#This Row],[Profit/loss]]/Table1_1[[#This Row],[Sales Amount]],0)</f>
        <v>0.33988259676972593</v>
      </c>
    </row>
    <row r="1414" spans="1:21" ht="18" x14ac:dyDescent="0.35">
      <c r="A1414" s="21" t="s">
        <v>1521</v>
      </c>
      <c r="B1414" s="36">
        <v>45981</v>
      </c>
      <c r="C1414" s="22">
        <f>YEAR(Table1_1[[#This Row],[Order Date]])</f>
        <v>2025</v>
      </c>
      <c r="D1414" s="22" t="str">
        <f>TEXT(Table1_1[[#This Row],[Order Date]],"MMMM")</f>
        <v>November</v>
      </c>
      <c r="E1414" s="22" t="s">
        <v>26</v>
      </c>
      <c r="F1414" s="22" t="s">
        <v>53</v>
      </c>
      <c r="G1414" s="22" t="s">
        <v>69</v>
      </c>
      <c r="H1414" s="22" t="s">
        <v>29</v>
      </c>
      <c r="I1414" s="22" t="s">
        <v>20</v>
      </c>
      <c r="J1414" s="22" t="s">
        <v>21</v>
      </c>
      <c r="K1414" s="22" t="s">
        <v>22</v>
      </c>
      <c r="L1414" s="22" t="s">
        <v>23</v>
      </c>
      <c r="M1414" s="22" t="s">
        <v>24</v>
      </c>
      <c r="N1414" s="22">
        <v>37</v>
      </c>
      <c r="O1414" s="26">
        <v>4499</v>
      </c>
      <c r="P1414" s="22">
        <v>0.05</v>
      </c>
      <c r="Q1414" s="30">
        <v>2910</v>
      </c>
      <c r="R1414" s="33">
        <f>Table1_1[[#This Row],[Units Sold]]*Table1_1[[#This Row],[Unit Price]]*1-Table1_1[[#This Row],[Discount]]</f>
        <v>166462.95000000001</v>
      </c>
      <c r="S1414" s="33">
        <f>Table1_1[[#This Row],[Units Sold]]*Table1_1[[#This Row],[Unit Cost]]</f>
        <v>107670</v>
      </c>
      <c r="T1414" s="33">
        <f>Table1_1[[#This Row],[Sales Amount]]-S1414</f>
        <v>58792.950000000012</v>
      </c>
      <c r="U1414" s="32">
        <f>IFERROR(Table1_1[[#This Row],[Profit/loss]]/Table1_1[[#This Row],[Sales Amount]],0)</f>
        <v>0.35318940340778537</v>
      </c>
    </row>
    <row r="1415" spans="1:21" ht="18" x14ac:dyDescent="0.35">
      <c r="A1415" s="21" t="s">
        <v>1522</v>
      </c>
      <c r="B1415" s="36">
        <v>45981</v>
      </c>
      <c r="C1415" s="22">
        <f>YEAR(Table1_1[[#This Row],[Order Date]])</f>
        <v>2025</v>
      </c>
      <c r="D1415" s="22" t="str">
        <f>TEXT(Table1_1[[#This Row],[Order Date]],"MMMM")</f>
        <v>November</v>
      </c>
      <c r="E1415" s="22" t="s">
        <v>16</v>
      </c>
      <c r="F1415" s="22" t="s">
        <v>17</v>
      </c>
      <c r="G1415" s="22" t="s">
        <v>38</v>
      </c>
      <c r="H1415" s="22" t="s">
        <v>29</v>
      </c>
      <c r="I1415" s="22" t="s">
        <v>30</v>
      </c>
      <c r="J1415" s="22" t="s">
        <v>31</v>
      </c>
      <c r="K1415" s="22" t="s">
        <v>32</v>
      </c>
      <c r="L1415" s="22" t="s">
        <v>57</v>
      </c>
      <c r="M1415" s="22" t="s">
        <v>24</v>
      </c>
      <c r="N1415" s="22">
        <v>14</v>
      </c>
      <c r="O1415" s="26">
        <v>38990</v>
      </c>
      <c r="P1415" s="22">
        <v>0.05</v>
      </c>
      <c r="Q1415" s="30">
        <v>25400</v>
      </c>
      <c r="R1415" s="33">
        <f>Table1_1[[#This Row],[Units Sold]]*Table1_1[[#This Row],[Unit Price]]*1-Table1_1[[#This Row],[Discount]]</f>
        <v>545859.94999999995</v>
      </c>
      <c r="S1415" s="33">
        <f>Table1_1[[#This Row],[Units Sold]]*Table1_1[[#This Row],[Unit Cost]]</f>
        <v>355600</v>
      </c>
      <c r="T1415" s="33">
        <f>Table1_1[[#This Row],[Sales Amount]]-S1415</f>
        <v>190259.94999999995</v>
      </c>
      <c r="U1415" s="32">
        <f>IFERROR(Table1_1[[#This Row],[Profit/loss]]/Table1_1[[#This Row],[Sales Amount]],0)</f>
        <v>0.3485508508180532</v>
      </c>
    </row>
    <row r="1416" spans="1:21" ht="18" x14ac:dyDescent="0.35">
      <c r="A1416" s="21" t="s">
        <v>1523</v>
      </c>
      <c r="B1416" s="36">
        <v>45981</v>
      </c>
      <c r="C1416" s="22">
        <f>YEAR(Table1_1[[#This Row],[Order Date]])</f>
        <v>2025</v>
      </c>
      <c r="D1416" s="22" t="str">
        <f>TEXT(Table1_1[[#This Row],[Order Date]],"MMMM")</f>
        <v>November</v>
      </c>
      <c r="E1416" s="22" t="s">
        <v>16</v>
      </c>
      <c r="F1416" s="22" t="s">
        <v>98</v>
      </c>
      <c r="G1416" s="22" t="s">
        <v>28</v>
      </c>
      <c r="H1416" s="22" t="s">
        <v>19</v>
      </c>
      <c r="I1416" s="22" t="s">
        <v>70</v>
      </c>
      <c r="J1416" s="22" t="s">
        <v>71</v>
      </c>
      <c r="K1416" s="22" t="s">
        <v>72</v>
      </c>
      <c r="L1416" s="22" t="s">
        <v>23</v>
      </c>
      <c r="M1416" s="22" t="s">
        <v>78</v>
      </c>
      <c r="N1416" s="22">
        <v>29</v>
      </c>
      <c r="O1416" s="26">
        <v>3499</v>
      </c>
      <c r="P1416" s="22">
        <v>0.2</v>
      </c>
      <c r="Q1416" s="30">
        <v>2190</v>
      </c>
      <c r="R1416" s="33">
        <f>Table1_1[[#This Row],[Units Sold]]*Table1_1[[#This Row],[Unit Price]]*1-Table1_1[[#This Row],[Discount]]</f>
        <v>101470.8</v>
      </c>
      <c r="S1416" s="33">
        <f>Table1_1[[#This Row],[Units Sold]]*Table1_1[[#This Row],[Unit Cost]]</f>
        <v>63510</v>
      </c>
      <c r="T1416" s="33">
        <f>Table1_1[[#This Row],[Sales Amount]]-S1416</f>
        <v>37960.800000000003</v>
      </c>
      <c r="U1416" s="32">
        <f>IFERROR(Table1_1[[#This Row],[Profit/loss]]/Table1_1[[#This Row],[Sales Amount]],0)</f>
        <v>0.37410565404037421</v>
      </c>
    </row>
    <row r="1417" spans="1:21" ht="18" x14ac:dyDescent="0.35">
      <c r="A1417" s="21" t="s">
        <v>1524</v>
      </c>
      <c r="B1417" s="36">
        <v>45982</v>
      </c>
      <c r="C1417" s="22">
        <f>YEAR(Table1_1[[#This Row],[Order Date]])</f>
        <v>2025</v>
      </c>
      <c r="D1417" s="22" t="str">
        <f>TEXT(Table1_1[[#This Row],[Order Date]],"MMMM")</f>
        <v>November</v>
      </c>
      <c r="E1417" s="22" t="s">
        <v>82</v>
      </c>
      <c r="F1417" s="22" t="s">
        <v>83</v>
      </c>
      <c r="G1417" s="22" t="s">
        <v>28</v>
      </c>
      <c r="H1417" s="22" t="s">
        <v>39</v>
      </c>
      <c r="I1417" s="22" t="s">
        <v>20</v>
      </c>
      <c r="J1417" s="22" t="s">
        <v>45</v>
      </c>
      <c r="K1417" s="22" t="s">
        <v>196</v>
      </c>
      <c r="L1417" s="22" t="s">
        <v>33</v>
      </c>
      <c r="M1417" s="22" t="s">
        <v>24</v>
      </c>
      <c r="N1417" s="22">
        <v>21</v>
      </c>
      <c r="O1417" s="26">
        <v>2499</v>
      </c>
      <c r="P1417" s="22">
        <v>0.05</v>
      </c>
      <c r="Q1417" s="30">
        <v>1510</v>
      </c>
      <c r="R1417" s="33">
        <f>Table1_1[[#This Row],[Units Sold]]*Table1_1[[#This Row],[Unit Price]]*1-Table1_1[[#This Row],[Discount]]</f>
        <v>52478.95</v>
      </c>
      <c r="S1417" s="33">
        <f>Table1_1[[#This Row],[Units Sold]]*Table1_1[[#This Row],[Unit Cost]]</f>
        <v>31710</v>
      </c>
      <c r="T1417" s="33">
        <f>Table1_1[[#This Row],[Sales Amount]]-S1417</f>
        <v>20768.949999999997</v>
      </c>
      <c r="U1417" s="32">
        <f>IFERROR(Table1_1[[#This Row],[Profit/loss]]/Table1_1[[#This Row],[Sales Amount]],0)</f>
        <v>0.395757727622218</v>
      </c>
    </row>
    <row r="1418" spans="1:21" ht="18" x14ac:dyDescent="0.35">
      <c r="A1418" s="21" t="s">
        <v>1525</v>
      </c>
      <c r="B1418" s="36">
        <v>45982</v>
      </c>
      <c r="C1418" s="22">
        <f>YEAR(Table1_1[[#This Row],[Order Date]])</f>
        <v>2025</v>
      </c>
      <c r="D1418" s="22" t="str">
        <f>TEXT(Table1_1[[#This Row],[Order Date]],"MMMM")</f>
        <v>November</v>
      </c>
      <c r="E1418" s="22" t="s">
        <v>48</v>
      </c>
      <c r="F1418" s="22" t="s">
        <v>136</v>
      </c>
      <c r="G1418" s="22" t="s">
        <v>75</v>
      </c>
      <c r="H1418" s="22" t="s">
        <v>39</v>
      </c>
      <c r="I1418" s="22" t="s">
        <v>70</v>
      </c>
      <c r="J1418" s="22" t="s">
        <v>71</v>
      </c>
      <c r="K1418" s="22" t="s">
        <v>88</v>
      </c>
      <c r="L1418" s="22" t="s">
        <v>57</v>
      </c>
      <c r="M1418" s="22" t="s">
        <v>24</v>
      </c>
      <c r="N1418" s="22">
        <v>9</v>
      </c>
      <c r="O1418" s="26">
        <v>999</v>
      </c>
      <c r="P1418" s="22">
        <v>0.12</v>
      </c>
      <c r="Q1418" s="30">
        <v>540</v>
      </c>
      <c r="R1418" s="33">
        <f>Table1_1[[#This Row],[Units Sold]]*Table1_1[[#This Row],[Unit Price]]*1-Table1_1[[#This Row],[Discount]]</f>
        <v>8990.8799999999992</v>
      </c>
      <c r="S1418" s="33">
        <f>Table1_1[[#This Row],[Units Sold]]*Table1_1[[#This Row],[Unit Cost]]</f>
        <v>4860</v>
      </c>
      <c r="T1418" s="33">
        <f>Table1_1[[#This Row],[Sales Amount]]-S1418</f>
        <v>4130.8799999999992</v>
      </c>
      <c r="U1418" s="32">
        <f>IFERROR(Table1_1[[#This Row],[Profit/loss]]/Table1_1[[#This Row],[Sales Amount]],0)</f>
        <v>0.45945224494154069</v>
      </c>
    </row>
    <row r="1419" spans="1:21" ht="18" x14ac:dyDescent="0.35">
      <c r="A1419" s="21" t="s">
        <v>1526</v>
      </c>
      <c r="B1419" s="36">
        <v>45982</v>
      </c>
      <c r="C1419" s="22">
        <f>YEAR(Table1_1[[#This Row],[Order Date]])</f>
        <v>2025</v>
      </c>
      <c r="D1419" s="22" t="str">
        <f>TEXT(Table1_1[[#This Row],[Order Date]],"MMMM")</f>
        <v>November</v>
      </c>
      <c r="E1419" s="22" t="s">
        <v>26</v>
      </c>
      <c r="F1419" s="22" t="s">
        <v>27</v>
      </c>
      <c r="G1419" s="22" t="s">
        <v>69</v>
      </c>
      <c r="H1419" s="22" t="s">
        <v>29</v>
      </c>
      <c r="I1419" s="22" t="s">
        <v>20</v>
      </c>
      <c r="J1419" s="22" t="s">
        <v>21</v>
      </c>
      <c r="K1419" s="22" t="s">
        <v>115</v>
      </c>
      <c r="L1419" s="22" t="s">
        <v>23</v>
      </c>
      <c r="M1419" s="22" t="s">
        <v>34</v>
      </c>
      <c r="N1419" s="22">
        <v>25</v>
      </c>
      <c r="O1419" s="26">
        <v>6499</v>
      </c>
      <c r="P1419" s="22">
        <v>0.1</v>
      </c>
      <c r="Q1419" s="30">
        <v>4210</v>
      </c>
      <c r="R1419" s="33">
        <f>Table1_1[[#This Row],[Units Sold]]*Table1_1[[#This Row],[Unit Price]]*1-Table1_1[[#This Row],[Discount]]</f>
        <v>162474.9</v>
      </c>
      <c r="S1419" s="33">
        <f>Table1_1[[#This Row],[Units Sold]]*Table1_1[[#This Row],[Unit Cost]]</f>
        <v>105250</v>
      </c>
      <c r="T1419" s="33">
        <f>Table1_1[[#This Row],[Sales Amount]]-S1419</f>
        <v>57224.899999999994</v>
      </c>
      <c r="U1419" s="32">
        <f>IFERROR(Table1_1[[#This Row],[Profit/loss]]/Table1_1[[#This Row],[Sales Amount]],0)</f>
        <v>0.35220763330212851</v>
      </c>
    </row>
    <row r="1420" spans="1:21" ht="18" x14ac:dyDescent="0.35">
      <c r="A1420" s="21" t="s">
        <v>1527</v>
      </c>
      <c r="B1420" s="36">
        <v>45983</v>
      </c>
      <c r="C1420" s="22">
        <f>YEAR(Table1_1[[#This Row],[Order Date]])</f>
        <v>2025</v>
      </c>
      <c r="D1420" s="22" t="str">
        <f>TEXT(Table1_1[[#This Row],[Order Date]],"MMMM")</f>
        <v>November</v>
      </c>
      <c r="E1420" s="22" t="s">
        <v>82</v>
      </c>
      <c r="F1420" s="22" t="s">
        <v>100</v>
      </c>
      <c r="G1420" s="22" t="s">
        <v>75</v>
      </c>
      <c r="H1420" s="22" t="s">
        <v>39</v>
      </c>
      <c r="I1420" s="22" t="s">
        <v>54</v>
      </c>
      <c r="J1420" s="22" t="s">
        <v>55</v>
      </c>
      <c r="K1420" s="22" t="s">
        <v>56</v>
      </c>
      <c r="L1420" s="22" t="s">
        <v>57</v>
      </c>
      <c r="M1420" s="22" t="s">
        <v>34</v>
      </c>
      <c r="N1420" s="22">
        <v>40</v>
      </c>
      <c r="O1420" s="26">
        <v>7299</v>
      </c>
      <c r="P1420" s="22">
        <v>0.05</v>
      </c>
      <c r="Q1420" s="30">
        <v>5010</v>
      </c>
      <c r="R1420" s="33">
        <f>Table1_1[[#This Row],[Units Sold]]*Table1_1[[#This Row],[Unit Price]]*1-Table1_1[[#This Row],[Discount]]</f>
        <v>291959.95</v>
      </c>
      <c r="S1420" s="33">
        <f>Table1_1[[#This Row],[Units Sold]]*Table1_1[[#This Row],[Unit Cost]]</f>
        <v>200400</v>
      </c>
      <c r="T1420" s="33">
        <f>Table1_1[[#This Row],[Sales Amount]]-S1420</f>
        <v>91559.950000000012</v>
      </c>
      <c r="U1420" s="32">
        <f>IFERROR(Table1_1[[#This Row],[Profit/loss]]/Table1_1[[#This Row],[Sales Amount]],0)</f>
        <v>0.31360448582074357</v>
      </c>
    </row>
    <row r="1421" spans="1:21" ht="18" x14ac:dyDescent="0.35">
      <c r="A1421" s="21" t="s">
        <v>1528</v>
      </c>
      <c r="B1421" s="36">
        <v>45983</v>
      </c>
      <c r="C1421" s="22">
        <f>YEAR(Table1_1[[#This Row],[Order Date]])</f>
        <v>2025</v>
      </c>
      <c r="D1421" s="22" t="str">
        <f>TEXT(Table1_1[[#This Row],[Order Date]],"MMMM")</f>
        <v>November</v>
      </c>
      <c r="E1421" s="22" t="s">
        <v>48</v>
      </c>
      <c r="F1421" s="22" t="s">
        <v>93</v>
      </c>
      <c r="G1421" s="22" t="s">
        <v>105</v>
      </c>
      <c r="H1421" s="22" t="s">
        <v>29</v>
      </c>
      <c r="I1421" s="22" t="s">
        <v>40</v>
      </c>
      <c r="J1421" s="22" t="s">
        <v>64</v>
      </c>
      <c r="K1421" s="22" t="s">
        <v>1629</v>
      </c>
      <c r="L1421" s="22" t="s">
        <v>23</v>
      </c>
      <c r="M1421" s="22" t="s">
        <v>24</v>
      </c>
      <c r="N1421" s="22">
        <v>5</v>
      </c>
      <c r="O1421" s="26">
        <v>3299</v>
      </c>
      <c r="P1421" s="22">
        <v>0.1</v>
      </c>
      <c r="Q1421" s="30">
        <v>2050</v>
      </c>
      <c r="R1421" s="33">
        <f>Table1_1[[#This Row],[Units Sold]]*Table1_1[[#This Row],[Unit Price]]*1-Table1_1[[#This Row],[Discount]]</f>
        <v>16494.900000000001</v>
      </c>
      <c r="S1421" s="33">
        <f>Table1_1[[#This Row],[Units Sold]]*Table1_1[[#This Row],[Unit Cost]]</f>
        <v>10250</v>
      </c>
      <c r="T1421" s="33">
        <f>Table1_1[[#This Row],[Sales Amount]]-S1421</f>
        <v>6244.9000000000015</v>
      </c>
      <c r="U1421" s="32">
        <f>IFERROR(Table1_1[[#This Row],[Profit/loss]]/Table1_1[[#This Row],[Sales Amount]],0)</f>
        <v>0.37859580840138474</v>
      </c>
    </row>
    <row r="1422" spans="1:21" ht="18" x14ac:dyDescent="0.35">
      <c r="A1422" s="21" t="s">
        <v>1529</v>
      </c>
      <c r="B1422" s="36">
        <v>45983</v>
      </c>
      <c r="C1422" s="22">
        <f>YEAR(Table1_1[[#This Row],[Order Date]])</f>
        <v>2025</v>
      </c>
      <c r="D1422" s="22" t="str">
        <f>TEXT(Table1_1[[#This Row],[Order Date]],"MMMM")</f>
        <v>November</v>
      </c>
      <c r="E1422" s="22" t="s">
        <v>26</v>
      </c>
      <c r="F1422" s="22" t="s">
        <v>27</v>
      </c>
      <c r="G1422" s="22" t="s">
        <v>101</v>
      </c>
      <c r="H1422" s="22" t="s">
        <v>29</v>
      </c>
      <c r="I1422" s="22" t="s">
        <v>40</v>
      </c>
      <c r="J1422" s="22" t="s">
        <v>76</v>
      </c>
      <c r="K1422" s="22" t="s">
        <v>1626</v>
      </c>
      <c r="L1422" s="22" t="s">
        <v>57</v>
      </c>
      <c r="M1422" s="22" t="s">
        <v>34</v>
      </c>
      <c r="N1422" s="22">
        <v>14</v>
      </c>
      <c r="O1422" s="26">
        <v>25999</v>
      </c>
      <c r="P1422" s="22">
        <v>0.05</v>
      </c>
      <c r="Q1422" s="30">
        <v>17800</v>
      </c>
      <c r="R1422" s="33">
        <f>Table1_1[[#This Row],[Units Sold]]*Table1_1[[#This Row],[Unit Price]]*1-Table1_1[[#This Row],[Discount]]</f>
        <v>363985.95</v>
      </c>
      <c r="S1422" s="33">
        <f>Table1_1[[#This Row],[Units Sold]]*Table1_1[[#This Row],[Unit Cost]]</f>
        <v>249200</v>
      </c>
      <c r="T1422" s="33">
        <f>Table1_1[[#This Row],[Sales Amount]]-S1422</f>
        <v>114785.95000000001</v>
      </c>
      <c r="U1422" s="32">
        <f>IFERROR(Table1_1[[#This Row],[Profit/loss]]/Table1_1[[#This Row],[Sales Amount]],0)</f>
        <v>0.315358188963063</v>
      </c>
    </row>
    <row r="1423" spans="1:21" ht="18" x14ac:dyDescent="0.35">
      <c r="A1423" s="21" t="s">
        <v>1530</v>
      </c>
      <c r="B1423" s="36">
        <v>45985</v>
      </c>
      <c r="C1423" s="22">
        <f>YEAR(Table1_1[[#This Row],[Order Date]])</f>
        <v>2025</v>
      </c>
      <c r="D1423" s="22" t="str">
        <f>TEXT(Table1_1[[#This Row],[Order Date]],"MMMM")</f>
        <v>November</v>
      </c>
      <c r="E1423" s="22" t="s">
        <v>48</v>
      </c>
      <c r="F1423" s="22" t="s">
        <v>136</v>
      </c>
      <c r="G1423" s="22" t="s">
        <v>50</v>
      </c>
      <c r="H1423" s="22" t="s">
        <v>39</v>
      </c>
      <c r="I1423" s="22" t="s">
        <v>20</v>
      </c>
      <c r="J1423" s="22" t="s">
        <v>45</v>
      </c>
      <c r="K1423" s="22" t="s">
        <v>1618</v>
      </c>
      <c r="L1423" s="22" t="s">
        <v>23</v>
      </c>
      <c r="M1423" s="22" t="s">
        <v>24</v>
      </c>
      <c r="N1423" s="22">
        <v>13</v>
      </c>
      <c r="O1423" s="26">
        <v>1899</v>
      </c>
      <c r="P1423" s="22">
        <v>0.12</v>
      </c>
      <c r="Q1423" s="30">
        <v>1080</v>
      </c>
      <c r="R1423" s="33">
        <f>Table1_1[[#This Row],[Units Sold]]*Table1_1[[#This Row],[Unit Price]]*1-Table1_1[[#This Row],[Discount]]</f>
        <v>24686.880000000001</v>
      </c>
      <c r="S1423" s="33">
        <f>Table1_1[[#This Row],[Units Sold]]*Table1_1[[#This Row],[Unit Cost]]</f>
        <v>14040</v>
      </c>
      <c r="T1423" s="33">
        <f>Table1_1[[#This Row],[Sales Amount]]-S1423</f>
        <v>10646.880000000001</v>
      </c>
      <c r="U1423" s="32">
        <f>IFERROR(Table1_1[[#This Row],[Profit/loss]]/Table1_1[[#This Row],[Sales Amount]],0)</f>
        <v>0.43127685637067142</v>
      </c>
    </row>
    <row r="1424" spans="1:21" ht="18" x14ac:dyDescent="0.35">
      <c r="A1424" s="21" t="s">
        <v>1531</v>
      </c>
      <c r="B1424" s="36">
        <v>45985</v>
      </c>
      <c r="C1424" s="22">
        <f>YEAR(Table1_1[[#This Row],[Order Date]])</f>
        <v>2025</v>
      </c>
      <c r="D1424" s="22" t="str">
        <f>TEXT(Table1_1[[#This Row],[Order Date]],"MMMM")</f>
        <v>November</v>
      </c>
      <c r="E1424" s="22" t="s">
        <v>48</v>
      </c>
      <c r="F1424" s="22" t="s">
        <v>49</v>
      </c>
      <c r="G1424" s="22" t="s">
        <v>18</v>
      </c>
      <c r="H1424" s="22" t="s">
        <v>39</v>
      </c>
      <c r="I1424" s="22" t="s">
        <v>54</v>
      </c>
      <c r="J1424" s="22" t="s">
        <v>129</v>
      </c>
      <c r="K1424" s="22" t="s">
        <v>130</v>
      </c>
      <c r="L1424" s="22" t="s">
        <v>57</v>
      </c>
      <c r="M1424" s="22" t="s">
        <v>24</v>
      </c>
      <c r="N1424" s="22">
        <v>15</v>
      </c>
      <c r="O1424" s="26">
        <v>27890</v>
      </c>
      <c r="P1424" s="22">
        <v>0.18</v>
      </c>
      <c r="Q1424" s="30">
        <v>18800</v>
      </c>
      <c r="R1424" s="33">
        <f>Table1_1[[#This Row],[Units Sold]]*Table1_1[[#This Row],[Unit Price]]*1-Table1_1[[#This Row],[Discount]]</f>
        <v>418349.82</v>
      </c>
      <c r="S1424" s="33">
        <f>Table1_1[[#This Row],[Units Sold]]*Table1_1[[#This Row],[Unit Cost]]</f>
        <v>282000</v>
      </c>
      <c r="T1424" s="33">
        <f>Table1_1[[#This Row],[Sales Amount]]-S1424</f>
        <v>136349.82</v>
      </c>
      <c r="U1424" s="32">
        <f>IFERROR(Table1_1[[#This Row],[Profit/loss]]/Table1_1[[#This Row],[Sales Amount]],0)</f>
        <v>0.32592297995969022</v>
      </c>
    </row>
    <row r="1425" spans="1:21" ht="18" x14ac:dyDescent="0.35">
      <c r="A1425" s="21" t="s">
        <v>1532</v>
      </c>
      <c r="B1425" s="36">
        <v>45985</v>
      </c>
      <c r="C1425" s="22">
        <f>YEAR(Table1_1[[#This Row],[Order Date]])</f>
        <v>2025</v>
      </c>
      <c r="D1425" s="22" t="str">
        <f>TEXT(Table1_1[[#This Row],[Order Date]],"MMMM")</f>
        <v>November</v>
      </c>
      <c r="E1425" s="22" t="s">
        <v>26</v>
      </c>
      <c r="F1425" s="22" t="s">
        <v>53</v>
      </c>
      <c r="G1425" s="22" t="s">
        <v>18</v>
      </c>
      <c r="H1425" s="22" t="s">
        <v>39</v>
      </c>
      <c r="I1425" s="22" t="s">
        <v>30</v>
      </c>
      <c r="J1425" s="22" t="s">
        <v>61</v>
      </c>
      <c r="K1425" s="22" t="s">
        <v>62</v>
      </c>
      <c r="L1425" s="22" t="s">
        <v>33</v>
      </c>
      <c r="M1425" s="22" t="s">
        <v>34</v>
      </c>
      <c r="N1425" s="22">
        <v>14</v>
      </c>
      <c r="O1425" s="26">
        <v>12490</v>
      </c>
      <c r="P1425" s="22">
        <v>0.15</v>
      </c>
      <c r="Q1425" s="30">
        <v>7900</v>
      </c>
      <c r="R1425" s="33">
        <f>Table1_1[[#This Row],[Units Sold]]*Table1_1[[#This Row],[Unit Price]]*1-Table1_1[[#This Row],[Discount]]</f>
        <v>174859.85</v>
      </c>
      <c r="S1425" s="33">
        <f>Table1_1[[#This Row],[Units Sold]]*Table1_1[[#This Row],[Unit Cost]]</f>
        <v>110600</v>
      </c>
      <c r="T1425" s="33">
        <f>Table1_1[[#This Row],[Sales Amount]]-S1425</f>
        <v>64259.850000000006</v>
      </c>
      <c r="U1425" s="32">
        <f>IFERROR(Table1_1[[#This Row],[Profit/loss]]/Table1_1[[#This Row],[Sales Amount]],0)</f>
        <v>0.36749345261362171</v>
      </c>
    </row>
    <row r="1426" spans="1:21" ht="18" x14ac:dyDescent="0.35">
      <c r="A1426" s="21" t="s">
        <v>1533</v>
      </c>
      <c r="B1426" s="36">
        <v>45986</v>
      </c>
      <c r="C1426" s="22">
        <f>YEAR(Table1_1[[#This Row],[Order Date]])</f>
        <v>2025</v>
      </c>
      <c r="D1426" s="22" t="str">
        <f>TEXT(Table1_1[[#This Row],[Order Date]],"MMMM")</f>
        <v>November</v>
      </c>
      <c r="E1426" s="22" t="s">
        <v>36</v>
      </c>
      <c r="F1426" s="22" t="s">
        <v>37</v>
      </c>
      <c r="G1426" s="22" t="s">
        <v>75</v>
      </c>
      <c r="H1426" s="22" t="s">
        <v>29</v>
      </c>
      <c r="I1426" s="22" t="s">
        <v>30</v>
      </c>
      <c r="J1426" s="22" t="s">
        <v>31</v>
      </c>
      <c r="K1426" s="22" t="s">
        <v>32</v>
      </c>
      <c r="L1426" s="22" t="s">
        <v>33</v>
      </c>
      <c r="M1426" s="22" t="s">
        <v>24</v>
      </c>
      <c r="N1426" s="22">
        <v>25</v>
      </c>
      <c r="O1426" s="26">
        <v>38990</v>
      </c>
      <c r="P1426" s="22">
        <v>0.08</v>
      </c>
      <c r="Q1426" s="30">
        <v>25400</v>
      </c>
      <c r="R1426" s="33">
        <f>Table1_1[[#This Row],[Units Sold]]*Table1_1[[#This Row],[Unit Price]]*1-Table1_1[[#This Row],[Discount]]</f>
        <v>974749.92</v>
      </c>
      <c r="S1426" s="33">
        <f>Table1_1[[#This Row],[Units Sold]]*Table1_1[[#This Row],[Unit Cost]]</f>
        <v>635000</v>
      </c>
      <c r="T1426" s="33">
        <f>Table1_1[[#This Row],[Sales Amount]]-S1426</f>
        <v>339749.92000000004</v>
      </c>
      <c r="U1426" s="32">
        <f>IFERROR(Table1_1[[#This Row],[Profit/loss]]/Table1_1[[#This Row],[Sales Amount]],0)</f>
        <v>0.34855085702392263</v>
      </c>
    </row>
    <row r="1427" spans="1:21" ht="18" x14ac:dyDescent="0.35">
      <c r="A1427" s="21" t="s">
        <v>1534</v>
      </c>
      <c r="B1427" s="36">
        <v>45986</v>
      </c>
      <c r="C1427" s="22">
        <f>YEAR(Table1_1[[#This Row],[Order Date]])</f>
        <v>2025</v>
      </c>
      <c r="D1427" s="22" t="str">
        <f>TEXT(Table1_1[[#This Row],[Order Date]],"MMMM")</f>
        <v>November</v>
      </c>
      <c r="E1427" s="22" t="s">
        <v>48</v>
      </c>
      <c r="F1427" s="22" t="s">
        <v>136</v>
      </c>
      <c r="G1427" s="22" t="s">
        <v>69</v>
      </c>
      <c r="H1427" s="22" t="s">
        <v>29</v>
      </c>
      <c r="I1427" s="22" t="s">
        <v>70</v>
      </c>
      <c r="J1427" s="22" t="s">
        <v>71</v>
      </c>
      <c r="K1427" s="22" t="s">
        <v>88</v>
      </c>
      <c r="L1427" s="22" t="s">
        <v>57</v>
      </c>
      <c r="M1427" s="22" t="s">
        <v>34</v>
      </c>
      <c r="N1427" s="22">
        <v>21</v>
      </c>
      <c r="O1427" s="26">
        <v>999</v>
      </c>
      <c r="P1427" s="22">
        <v>0.18</v>
      </c>
      <c r="Q1427" s="30">
        <v>540</v>
      </c>
      <c r="R1427" s="33">
        <f>Table1_1[[#This Row],[Units Sold]]*Table1_1[[#This Row],[Unit Price]]*1-Table1_1[[#This Row],[Discount]]</f>
        <v>20978.82</v>
      </c>
      <c r="S1427" s="33">
        <f>Table1_1[[#This Row],[Units Sold]]*Table1_1[[#This Row],[Unit Cost]]</f>
        <v>11340</v>
      </c>
      <c r="T1427" s="33">
        <f>Table1_1[[#This Row],[Sales Amount]]-S1427</f>
        <v>9638.82</v>
      </c>
      <c r="U1427" s="32">
        <f>IFERROR(Table1_1[[#This Row],[Profit/loss]]/Table1_1[[#This Row],[Sales Amount]],0)</f>
        <v>0.4594548215771907</v>
      </c>
    </row>
    <row r="1428" spans="1:21" ht="18" x14ac:dyDescent="0.35">
      <c r="A1428" s="21" t="s">
        <v>1535</v>
      </c>
      <c r="B1428" s="36">
        <v>45987</v>
      </c>
      <c r="C1428" s="22">
        <f>YEAR(Table1_1[[#This Row],[Order Date]])</f>
        <v>2025</v>
      </c>
      <c r="D1428" s="22" t="str">
        <f>TEXT(Table1_1[[#This Row],[Order Date]],"MMMM")</f>
        <v>November</v>
      </c>
      <c r="E1428" s="22" t="s">
        <v>82</v>
      </c>
      <c r="F1428" s="22" t="s">
        <v>87</v>
      </c>
      <c r="G1428" s="22" t="s">
        <v>101</v>
      </c>
      <c r="H1428" s="22" t="s">
        <v>39</v>
      </c>
      <c r="I1428" s="22" t="s">
        <v>40</v>
      </c>
      <c r="J1428" s="22" t="s">
        <v>64</v>
      </c>
      <c r="K1428" s="22" t="s">
        <v>1629</v>
      </c>
      <c r="L1428" s="22" t="s">
        <v>33</v>
      </c>
      <c r="M1428" s="22" t="s">
        <v>66</v>
      </c>
      <c r="N1428" s="22">
        <v>29</v>
      </c>
      <c r="O1428" s="26">
        <v>3299</v>
      </c>
      <c r="P1428" s="22">
        <v>0.2</v>
      </c>
      <c r="Q1428" s="30">
        <v>2050</v>
      </c>
      <c r="R1428" s="33">
        <f>Table1_1[[#This Row],[Units Sold]]*Table1_1[[#This Row],[Unit Price]]*1-Table1_1[[#This Row],[Discount]]</f>
        <v>95670.8</v>
      </c>
      <c r="S1428" s="33">
        <f>Table1_1[[#This Row],[Units Sold]]*Table1_1[[#This Row],[Unit Cost]]</f>
        <v>59450</v>
      </c>
      <c r="T1428" s="33">
        <f>Table1_1[[#This Row],[Sales Amount]]-S1428</f>
        <v>36220.800000000003</v>
      </c>
      <c r="U1428" s="32">
        <f>IFERROR(Table1_1[[#This Row],[Profit/loss]]/Table1_1[[#This Row],[Sales Amount]],0)</f>
        <v>0.37859827659014039</v>
      </c>
    </row>
    <row r="1429" spans="1:21" ht="18" x14ac:dyDescent="0.35">
      <c r="A1429" s="21" t="s">
        <v>1536</v>
      </c>
      <c r="B1429" s="36">
        <v>45988</v>
      </c>
      <c r="C1429" s="22">
        <f>YEAR(Table1_1[[#This Row],[Order Date]])</f>
        <v>2025</v>
      </c>
      <c r="D1429" s="22" t="str">
        <f>TEXT(Table1_1[[#This Row],[Order Date]],"MMMM")</f>
        <v>November</v>
      </c>
      <c r="E1429" s="22" t="s">
        <v>48</v>
      </c>
      <c r="F1429" s="22" t="s">
        <v>93</v>
      </c>
      <c r="G1429" s="22" t="s">
        <v>60</v>
      </c>
      <c r="H1429" s="22" t="s">
        <v>29</v>
      </c>
      <c r="I1429" s="22" t="s">
        <v>70</v>
      </c>
      <c r="J1429" s="22" t="s">
        <v>71</v>
      </c>
      <c r="K1429" s="22" t="s">
        <v>88</v>
      </c>
      <c r="L1429" s="22" t="s">
        <v>57</v>
      </c>
      <c r="M1429" s="22" t="s">
        <v>24</v>
      </c>
      <c r="N1429" s="22">
        <v>39</v>
      </c>
      <c r="O1429" s="26">
        <v>999</v>
      </c>
      <c r="P1429" s="22">
        <v>0.2</v>
      </c>
      <c r="Q1429" s="30">
        <v>540</v>
      </c>
      <c r="R1429" s="33">
        <f>Table1_1[[#This Row],[Units Sold]]*Table1_1[[#This Row],[Unit Price]]*1-Table1_1[[#This Row],[Discount]]</f>
        <v>38960.800000000003</v>
      </c>
      <c r="S1429" s="33">
        <f>Table1_1[[#This Row],[Units Sold]]*Table1_1[[#This Row],[Unit Cost]]</f>
        <v>21060</v>
      </c>
      <c r="T1429" s="33">
        <f>Table1_1[[#This Row],[Sales Amount]]-S1429</f>
        <v>17900.800000000003</v>
      </c>
      <c r="U1429" s="32">
        <f>IFERROR(Table1_1[[#This Row],[Profit/loss]]/Table1_1[[#This Row],[Sales Amount]],0)</f>
        <v>0.45945668466766598</v>
      </c>
    </row>
    <row r="1430" spans="1:21" ht="18" x14ac:dyDescent="0.35">
      <c r="A1430" s="21" t="s">
        <v>1537</v>
      </c>
      <c r="B1430" s="36">
        <v>45988</v>
      </c>
      <c r="C1430" s="22">
        <f>YEAR(Table1_1[[#This Row],[Order Date]])</f>
        <v>2025</v>
      </c>
      <c r="D1430" s="22" t="str">
        <f>TEXT(Table1_1[[#This Row],[Order Date]],"MMMM")</f>
        <v>November</v>
      </c>
      <c r="E1430" s="22" t="s">
        <v>82</v>
      </c>
      <c r="F1430" s="22" t="s">
        <v>183</v>
      </c>
      <c r="G1430" s="22" t="s">
        <v>50</v>
      </c>
      <c r="H1430" s="22" t="s">
        <v>19</v>
      </c>
      <c r="I1430" s="22" t="s">
        <v>54</v>
      </c>
      <c r="J1430" s="22" t="s">
        <v>129</v>
      </c>
      <c r="K1430" s="22" t="s">
        <v>130</v>
      </c>
      <c r="L1430" s="22" t="s">
        <v>33</v>
      </c>
      <c r="M1430" s="22" t="s">
        <v>66</v>
      </c>
      <c r="N1430" s="22">
        <v>28</v>
      </c>
      <c r="O1430" s="26">
        <v>27890</v>
      </c>
      <c r="P1430" s="22">
        <v>0.1</v>
      </c>
      <c r="Q1430" s="30">
        <v>18800</v>
      </c>
      <c r="R1430" s="33">
        <f>Table1_1[[#This Row],[Units Sold]]*Table1_1[[#This Row],[Unit Price]]*1-Table1_1[[#This Row],[Discount]]</f>
        <v>780919.9</v>
      </c>
      <c r="S1430" s="33">
        <f>Table1_1[[#This Row],[Units Sold]]*Table1_1[[#This Row],[Unit Cost]]</f>
        <v>526400</v>
      </c>
      <c r="T1430" s="33">
        <f>Table1_1[[#This Row],[Sales Amount]]-S1430</f>
        <v>254519.90000000002</v>
      </c>
      <c r="U1430" s="32">
        <f>IFERROR(Table1_1[[#This Row],[Profit/loss]]/Table1_1[[#This Row],[Sales Amount]],0)</f>
        <v>0.32592318367095013</v>
      </c>
    </row>
    <row r="1431" spans="1:21" ht="18" x14ac:dyDescent="0.35">
      <c r="A1431" s="21" t="s">
        <v>1538</v>
      </c>
      <c r="B1431" s="36">
        <v>45988</v>
      </c>
      <c r="C1431" s="22">
        <f>YEAR(Table1_1[[#This Row],[Order Date]])</f>
        <v>2025</v>
      </c>
      <c r="D1431" s="22" t="str">
        <f>TEXT(Table1_1[[#This Row],[Order Date]],"MMMM")</f>
        <v>November</v>
      </c>
      <c r="E1431" s="22" t="s">
        <v>36</v>
      </c>
      <c r="F1431" s="22" t="s">
        <v>44</v>
      </c>
      <c r="G1431" s="22" t="s">
        <v>38</v>
      </c>
      <c r="H1431" s="22" t="s">
        <v>29</v>
      </c>
      <c r="I1431" s="22" t="s">
        <v>30</v>
      </c>
      <c r="J1431" s="22" t="s">
        <v>31</v>
      </c>
      <c r="K1431" s="22" t="s">
        <v>32</v>
      </c>
      <c r="L1431" s="22" t="s">
        <v>57</v>
      </c>
      <c r="M1431" s="22" t="s">
        <v>78</v>
      </c>
      <c r="N1431" s="22">
        <v>35</v>
      </c>
      <c r="O1431" s="26">
        <v>38990</v>
      </c>
      <c r="P1431" s="22">
        <v>0.08</v>
      </c>
      <c r="Q1431" s="30">
        <v>25400</v>
      </c>
      <c r="R1431" s="33">
        <f>Table1_1[[#This Row],[Units Sold]]*Table1_1[[#This Row],[Unit Price]]*1-Table1_1[[#This Row],[Discount]]</f>
        <v>1364649.92</v>
      </c>
      <c r="S1431" s="33">
        <f>Table1_1[[#This Row],[Units Sold]]*Table1_1[[#This Row],[Unit Cost]]</f>
        <v>889000</v>
      </c>
      <c r="T1431" s="33">
        <f>Table1_1[[#This Row],[Sales Amount]]-S1431</f>
        <v>475649.91999999993</v>
      </c>
      <c r="U1431" s="32">
        <f>IFERROR(Table1_1[[#This Row],[Profit/loss]]/Table1_1[[#This Row],[Sales Amount]],0)</f>
        <v>0.34855087229990822</v>
      </c>
    </row>
    <row r="1432" spans="1:21" ht="18" x14ac:dyDescent="0.35">
      <c r="A1432" s="21" t="s">
        <v>1539</v>
      </c>
      <c r="B1432" s="36">
        <v>45989</v>
      </c>
      <c r="C1432" s="22">
        <f>YEAR(Table1_1[[#This Row],[Order Date]])</f>
        <v>2025</v>
      </c>
      <c r="D1432" s="22" t="str">
        <f>TEXT(Table1_1[[#This Row],[Order Date]],"MMMM")</f>
        <v>November</v>
      </c>
      <c r="E1432" s="22" t="s">
        <v>26</v>
      </c>
      <c r="F1432" s="22" t="s">
        <v>163</v>
      </c>
      <c r="G1432" s="22" t="s">
        <v>18</v>
      </c>
      <c r="H1432" s="22" t="s">
        <v>39</v>
      </c>
      <c r="I1432" s="22" t="s">
        <v>40</v>
      </c>
      <c r="J1432" s="22" t="s">
        <v>64</v>
      </c>
      <c r="K1432" s="22" t="s">
        <v>1627</v>
      </c>
      <c r="L1432" s="22" t="s">
        <v>57</v>
      </c>
      <c r="M1432" s="22" t="s">
        <v>34</v>
      </c>
      <c r="N1432" s="22">
        <v>2</v>
      </c>
      <c r="O1432" s="26">
        <v>4490</v>
      </c>
      <c r="P1432" s="22">
        <v>0.1</v>
      </c>
      <c r="Q1432" s="30">
        <v>2950</v>
      </c>
      <c r="R1432" s="33">
        <f>Table1_1[[#This Row],[Units Sold]]*Table1_1[[#This Row],[Unit Price]]*1-Table1_1[[#This Row],[Discount]]</f>
        <v>8979.9</v>
      </c>
      <c r="S1432" s="33">
        <f>Table1_1[[#This Row],[Units Sold]]*Table1_1[[#This Row],[Unit Cost]]</f>
        <v>5900</v>
      </c>
      <c r="T1432" s="33">
        <f>Table1_1[[#This Row],[Sales Amount]]-S1432</f>
        <v>3079.8999999999996</v>
      </c>
      <c r="U1432" s="32">
        <f>IFERROR(Table1_1[[#This Row],[Profit/loss]]/Table1_1[[#This Row],[Sales Amount]],0)</f>
        <v>0.34297709328611675</v>
      </c>
    </row>
    <row r="1433" spans="1:21" ht="18" x14ac:dyDescent="0.35">
      <c r="A1433" s="21" t="s">
        <v>1540</v>
      </c>
      <c r="B1433" s="36">
        <v>45990</v>
      </c>
      <c r="C1433" s="22">
        <f>YEAR(Table1_1[[#This Row],[Order Date]])</f>
        <v>2025</v>
      </c>
      <c r="D1433" s="22" t="str">
        <f>TEXT(Table1_1[[#This Row],[Order Date]],"MMMM")</f>
        <v>November</v>
      </c>
      <c r="E1433" s="22" t="s">
        <v>16</v>
      </c>
      <c r="F1433" s="22" t="s">
        <v>111</v>
      </c>
      <c r="G1433" s="22" t="s">
        <v>60</v>
      </c>
      <c r="H1433" s="22" t="s">
        <v>39</v>
      </c>
      <c r="I1433" s="22" t="s">
        <v>70</v>
      </c>
      <c r="J1433" s="22" t="s">
        <v>71</v>
      </c>
      <c r="K1433" s="22" t="s">
        <v>80</v>
      </c>
      <c r="L1433" s="22" t="s">
        <v>23</v>
      </c>
      <c r="M1433" s="22" t="s">
        <v>24</v>
      </c>
      <c r="N1433" s="22">
        <v>17</v>
      </c>
      <c r="O1433" s="26">
        <v>1299</v>
      </c>
      <c r="P1433" s="22">
        <v>0.12</v>
      </c>
      <c r="Q1433" s="30">
        <v>720</v>
      </c>
      <c r="R1433" s="33">
        <f>Table1_1[[#This Row],[Units Sold]]*Table1_1[[#This Row],[Unit Price]]*1-Table1_1[[#This Row],[Discount]]</f>
        <v>22082.880000000001</v>
      </c>
      <c r="S1433" s="33">
        <f>Table1_1[[#This Row],[Units Sold]]*Table1_1[[#This Row],[Unit Cost]]</f>
        <v>12240</v>
      </c>
      <c r="T1433" s="33">
        <f>Table1_1[[#This Row],[Sales Amount]]-S1433</f>
        <v>9842.880000000001</v>
      </c>
      <c r="U1433" s="32">
        <f>IFERROR(Table1_1[[#This Row],[Profit/loss]]/Table1_1[[#This Row],[Sales Amount]],0)</f>
        <v>0.4457244707212103</v>
      </c>
    </row>
    <row r="1434" spans="1:21" ht="18" x14ac:dyDescent="0.35">
      <c r="A1434" s="21" t="s">
        <v>1541</v>
      </c>
      <c r="B1434" s="36">
        <v>45990</v>
      </c>
      <c r="C1434" s="22">
        <f>YEAR(Table1_1[[#This Row],[Order Date]])</f>
        <v>2025</v>
      </c>
      <c r="D1434" s="22" t="str">
        <f>TEXT(Table1_1[[#This Row],[Order Date]],"MMMM")</f>
        <v>November</v>
      </c>
      <c r="E1434" s="22" t="s">
        <v>82</v>
      </c>
      <c r="F1434" s="22" t="s">
        <v>100</v>
      </c>
      <c r="G1434" s="22" t="s">
        <v>50</v>
      </c>
      <c r="H1434" s="22" t="s">
        <v>39</v>
      </c>
      <c r="I1434" s="22" t="s">
        <v>40</v>
      </c>
      <c r="J1434" s="22" t="s">
        <v>41</v>
      </c>
      <c r="K1434" s="22" t="s">
        <v>1628</v>
      </c>
      <c r="L1434" s="22" t="s">
        <v>23</v>
      </c>
      <c r="M1434" s="22" t="s">
        <v>78</v>
      </c>
      <c r="N1434" s="22">
        <v>24</v>
      </c>
      <c r="O1434" s="26">
        <v>48500</v>
      </c>
      <c r="P1434" s="22">
        <v>0.18</v>
      </c>
      <c r="Q1434" s="30">
        <v>30200</v>
      </c>
      <c r="R1434" s="33">
        <f>Table1_1[[#This Row],[Units Sold]]*Table1_1[[#This Row],[Unit Price]]*1-Table1_1[[#This Row],[Discount]]</f>
        <v>1163999.82</v>
      </c>
      <c r="S1434" s="33">
        <f>Table1_1[[#This Row],[Units Sold]]*Table1_1[[#This Row],[Unit Cost]]</f>
        <v>724800</v>
      </c>
      <c r="T1434" s="33">
        <f>Table1_1[[#This Row],[Sales Amount]]-S1434</f>
        <v>439199.82000000007</v>
      </c>
      <c r="U1434" s="32">
        <f>IFERROR(Table1_1[[#This Row],[Profit/loss]]/Table1_1[[#This Row],[Sales Amount]],0)</f>
        <v>0.37731949133806569</v>
      </c>
    </row>
    <row r="1435" spans="1:21" ht="18" x14ac:dyDescent="0.35">
      <c r="A1435" s="21" t="s">
        <v>1542</v>
      </c>
      <c r="B1435" s="36">
        <v>45990</v>
      </c>
      <c r="C1435" s="22">
        <f>YEAR(Table1_1[[#This Row],[Order Date]])</f>
        <v>2025</v>
      </c>
      <c r="D1435" s="22" t="str">
        <f>TEXT(Table1_1[[#This Row],[Order Date]],"MMMM")</f>
        <v>November</v>
      </c>
      <c r="E1435" s="22" t="s">
        <v>26</v>
      </c>
      <c r="F1435" s="22" t="s">
        <v>74</v>
      </c>
      <c r="G1435" s="22" t="s">
        <v>75</v>
      </c>
      <c r="H1435" s="22" t="s">
        <v>19</v>
      </c>
      <c r="I1435" s="22" t="s">
        <v>20</v>
      </c>
      <c r="J1435" s="22" t="s">
        <v>21</v>
      </c>
      <c r="K1435" s="22" t="s">
        <v>51</v>
      </c>
      <c r="L1435" s="22" t="s">
        <v>57</v>
      </c>
      <c r="M1435" s="22" t="s">
        <v>66</v>
      </c>
      <c r="N1435" s="22">
        <v>33</v>
      </c>
      <c r="O1435" s="26">
        <v>5999</v>
      </c>
      <c r="P1435" s="22">
        <v>0.18</v>
      </c>
      <c r="Q1435" s="30">
        <v>3890</v>
      </c>
      <c r="R1435" s="33">
        <f>Table1_1[[#This Row],[Units Sold]]*Table1_1[[#This Row],[Unit Price]]*1-Table1_1[[#This Row],[Discount]]</f>
        <v>197966.82</v>
      </c>
      <c r="S1435" s="33">
        <f>Table1_1[[#This Row],[Units Sold]]*Table1_1[[#This Row],[Unit Cost]]</f>
        <v>128370</v>
      </c>
      <c r="T1435" s="33">
        <f>Table1_1[[#This Row],[Sales Amount]]-S1435</f>
        <v>69596.820000000007</v>
      </c>
      <c r="U1435" s="32">
        <f>IFERROR(Table1_1[[#This Row],[Profit/loss]]/Table1_1[[#This Row],[Sales Amount]],0)</f>
        <v>0.35155800350786059</v>
      </c>
    </row>
    <row r="1436" spans="1:21" ht="18" x14ac:dyDescent="0.35">
      <c r="A1436" s="21" t="s">
        <v>1543</v>
      </c>
      <c r="B1436" s="36">
        <v>45991</v>
      </c>
      <c r="C1436" s="22">
        <f>YEAR(Table1_1[[#This Row],[Order Date]])</f>
        <v>2025</v>
      </c>
      <c r="D1436" s="22" t="str">
        <f>TEXT(Table1_1[[#This Row],[Order Date]],"MMMM")</f>
        <v>November</v>
      </c>
      <c r="E1436" s="22" t="s">
        <v>82</v>
      </c>
      <c r="F1436" s="22" t="s">
        <v>87</v>
      </c>
      <c r="G1436" s="22" t="s">
        <v>75</v>
      </c>
      <c r="H1436" s="22" t="s">
        <v>19</v>
      </c>
      <c r="I1436" s="22" t="s">
        <v>70</v>
      </c>
      <c r="J1436" s="22" t="s">
        <v>71</v>
      </c>
      <c r="K1436" s="22" t="s">
        <v>80</v>
      </c>
      <c r="L1436" s="22" t="s">
        <v>23</v>
      </c>
      <c r="M1436" s="22" t="s">
        <v>78</v>
      </c>
      <c r="N1436" s="22">
        <v>35</v>
      </c>
      <c r="O1436" s="26">
        <v>1299</v>
      </c>
      <c r="P1436" s="22">
        <v>0.18</v>
      </c>
      <c r="Q1436" s="30">
        <v>720</v>
      </c>
      <c r="R1436" s="33">
        <f>Table1_1[[#This Row],[Units Sold]]*Table1_1[[#This Row],[Unit Price]]*1-Table1_1[[#This Row],[Discount]]</f>
        <v>45464.82</v>
      </c>
      <c r="S1436" s="33">
        <f>Table1_1[[#This Row],[Units Sold]]*Table1_1[[#This Row],[Unit Cost]]</f>
        <v>25200</v>
      </c>
      <c r="T1436" s="33">
        <f>Table1_1[[#This Row],[Sales Amount]]-S1436</f>
        <v>20264.82</v>
      </c>
      <c r="U1436" s="32">
        <f>IFERROR(Table1_1[[#This Row],[Profit/loss]]/Table1_1[[#This Row],[Sales Amount]],0)</f>
        <v>0.44572528825584262</v>
      </c>
    </row>
    <row r="1437" spans="1:21" ht="18" x14ac:dyDescent="0.35">
      <c r="A1437" s="21" t="s">
        <v>1544</v>
      </c>
      <c r="B1437" s="36">
        <v>45991</v>
      </c>
      <c r="C1437" s="22">
        <f>YEAR(Table1_1[[#This Row],[Order Date]])</f>
        <v>2025</v>
      </c>
      <c r="D1437" s="22" t="str">
        <f>TEXT(Table1_1[[#This Row],[Order Date]],"MMMM")</f>
        <v>November</v>
      </c>
      <c r="E1437" s="22" t="s">
        <v>36</v>
      </c>
      <c r="F1437" s="22" t="s">
        <v>44</v>
      </c>
      <c r="G1437" s="22" t="s">
        <v>105</v>
      </c>
      <c r="H1437" s="22" t="s">
        <v>39</v>
      </c>
      <c r="I1437" s="22" t="s">
        <v>30</v>
      </c>
      <c r="J1437" s="22" t="s">
        <v>61</v>
      </c>
      <c r="K1437" s="22" t="s">
        <v>186</v>
      </c>
      <c r="L1437" s="22" t="s">
        <v>33</v>
      </c>
      <c r="M1437" s="22" t="s">
        <v>34</v>
      </c>
      <c r="N1437" s="22">
        <v>7</v>
      </c>
      <c r="O1437" s="26">
        <v>6999</v>
      </c>
      <c r="P1437" s="22">
        <v>0.15</v>
      </c>
      <c r="Q1437" s="30">
        <v>4320</v>
      </c>
      <c r="R1437" s="33">
        <f>Table1_1[[#This Row],[Units Sold]]*Table1_1[[#This Row],[Unit Price]]*1-Table1_1[[#This Row],[Discount]]</f>
        <v>48992.85</v>
      </c>
      <c r="S1437" s="33">
        <f>Table1_1[[#This Row],[Units Sold]]*Table1_1[[#This Row],[Unit Cost]]</f>
        <v>30240</v>
      </c>
      <c r="T1437" s="33">
        <f>Table1_1[[#This Row],[Sales Amount]]-S1437</f>
        <v>18752.849999999999</v>
      </c>
      <c r="U1437" s="32">
        <f>IFERROR(Table1_1[[#This Row],[Profit/loss]]/Table1_1[[#This Row],[Sales Amount]],0)</f>
        <v>0.38276707723678044</v>
      </c>
    </row>
    <row r="1438" spans="1:21" ht="18" x14ac:dyDescent="0.35">
      <c r="A1438" s="21" t="s">
        <v>1545</v>
      </c>
      <c r="B1438" s="36">
        <v>45992</v>
      </c>
      <c r="C1438" s="22">
        <f>YEAR(Table1_1[[#This Row],[Order Date]])</f>
        <v>2025</v>
      </c>
      <c r="D1438" s="22" t="str">
        <f>TEXT(Table1_1[[#This Row],[Order Date]],"MMMM")</f>
        <v>December</v>
      </c>
      <c r="E1438" s="22" t="s">
        <v>16</v>
      </c>
      <c r="F1438" s="22" t="s">
        <v>17</v>
      </c>
      <c r="G1438" s="22" t="s">
        <v>18</v>
      </c>
      <c r="H1438" s="22" t="s">
        <v>39</v>
      </c>
      <c r="I1438" s="22" t="s">
        <v>20</v>
      </c>
      <c r="J1438" s="22" t="s">
        <v>45</v>
      </c>
      <c r="K1438" s="22" t="s">
        <v>1618</v>
      </c>
      <c r="L1438" s="22" t="s">
        <v>33</v>
      </c>
      <c r="M1438" s="22" t="s">
        <v>34</v>
      </c>
      <c r="N1438" s="22">
        <v>40</v>
      </c>
      <c r="O1438" s="26">
        <v>1899</v>
      </c>
      <c r="P1438" s="22">
        <v>0.1</v>
      </c>
      <c r="Q1438" s="30">
        <v>1080</v>
      </c>
      <c r="R1438" s="33">
        <f>Table1_1[[#This Row],[Units Sold]]*Table1_1[[#This Row],[Unit Price]]*1-Table1_1[[#This Row],[Discount]]</f>
        <v>75959.899999999994</v>
      </c>
      <c r="S1438" s="33">
        <f>Table1_1[[#This Row],[Units Sold]]*Table1_1[[#This Row],[Unit Cost]]</f>
        <v>43200</v>
      </c>
      <c r="T1438" s="33">
        <f>Table1_1[[#This Row],[Sales Amount]]-S1438</f>
        <v>32759.899999999994</v>
      </c>
      <c r="U1438" s="32">
        <f>IFERROR(Table1_1[[#This Row],[Profit/loss]]/Table1_1[[#This Row],[Sales Amount]],0)</f>
        <v>0.43127887214174843</v>
      </c>
    </row>
    <row r="1439" spans="1:21" ht="18" x14ac:dyDescent="0.35">
      <c r="A1439" s="21" t="s">
        <v>1546</v>
      </c>
      <c r="B1439" s="36">
        <v>45992</v>
      </c>
      <c r="C1439" s="22">
        <f>YEAR(Table1_1[[#This Row],[Order Date]])</f>
        <v>2025</v>
      </c>
      <c r="D1439" s="22" t="str">
        <f>TEXT(Table1_1[[#This Row],[Order Date]],"MMMM")</f>
        <v>December</v>
      </c>
      <c r="E1439" s="22" t="s">
        <v>16</v>
      </c>
      <c r="F1439" s="22" t="s">
        <v>111</v>
      </c>
      <c r="G1439" s="22" t="s">
        <v>50</v>
      </c>
      <c r="H1439" s="22" t="s">
        <v>19</v>
      </c>
      <c r="I1439" s="22" t="s">
        <v>40</v>
      </c>
      <c r="J1439" s="22" t="s">
        <v>64</v>
      </c>
      <c r="K1439" s="22" t="s">
        <v>1629</v>
      </c>
      <c r="L1439" s="22" t="s">
        <v>57</v>
      </c>
      <c r="M1439" s="22" t="s">
        <v>24</v>
      </c>
      <c r="N1439" s="22">
        <v>17</v>
      </c>
      <c r="O1439" s="26">
        <v>3299</v>
      </c>
      <c r="P1439" s="22">
        <v>0.2</v>
      </c>
      <c r="Q1439" s="30">
        <v>2050</v>
      </c>
      <c r="R1439" s="33">
        <f>Table1_1[[#This Row],[Units Sold]]*Table1_1[[#This Row],[Unit Price]]*1-Table1_1[[#This Row],[Discount]]</f>
        <v>56082.8</v>
      </c>
      <c r="S1439" s="33">
        <f>Table1_1[[#This Row],[Units Sold]]*Table1_1[[#This Row],[Unit Cost]]</f>
        <v>34850</v>
      </c>
      <c r="T1439" s="33">
        <f>Table1_1[[#This Row],[Sales Amount]]-S1439</f>
        <v>21232.800000000003</v>
      </c>
      <c r="U1439" s="32">
        <f>IFERROR(Table1_1[[#This Row],[Profit/loss]]/Table1_1[[#This Row],[Sales Amount]],0)</f>
        <v>0.37859735961827873</v>
      </c>
    </row>
    <row r="1440" spans="1:21" ht="18" x14ac:dyDescent="0.35">
      <c r="A1440" s="21" t="s">
        <v>1547</v>
      </c>
      <c r="B1440" s="36">
        <v>45993</v>
      </c>
      <c r="C1440" s="22">
        <f>YEAR(Table1_1[[#This Row],[Order Date]])</f>
        <v>2025</v>
      </c>
      <c r="D1440" s="22" t="str">
        <f>TEXT(Table1_1[[#This Row],[Order Date]],"MMMM")</f>
        <v>December</v>
      </c>
      <c r="E1440" s="22" t="s">
        <v>82</v>
      </c>
      <c r="F1440" s="22" t="s">
        <v>100</v>
      </c>
      <c r="G1440" s="22" t="s">
        <v>18</v>
      </c>
      <c r="H1440" s="22" t="s">
        <v>29</v>
      </c>
      <c r="I1440" s="22" t="s">
        <v>54</v>
      </c>
      <c r="J1440" s="22" t="s">
        <v>90</v>
      </c>
      <c r="K1440" s="22" t="s">
        <v>1625</v>
      </c>
      <c r="L1440" s="22" t="s">
        <v>33</v>
      </c>
      <c r="M1440" s="22" t="s">
        <v>66</v>
      </c>
      <c r="N1440" s="22">
        <v>9</v>
      </c>
      <c r="O1440" s="26">
        <v>32800</v>
      </c>
      <c r="P1440" s="22">
        <v>0.12</v>
      </c>
      <c r="Q1440" s="30">
        <v>23100</v>
      </c>
      <c r="R1440" s="33">
        <f>Table1_1[[#This Row],[Units Sold]]*Table1_1[[#This Row],[Unit Price]]*1-Table1_1[[#This Row],[Discount]]</f>
        <v>295199.88</v>
      </c>
      <c r="S1440" s="33">
        <f>Table1_1[[#This Row],[Units Sold]]*Table1_1[[#This Row],[Unit Cost]]</f>
        <v>207900</v>
      </c>
      <c r="T1440" s="33">
        <f>Table1_1[[#This Row],[Sales Amount]]-S1440</f>
        <v>87299.88</v>
      </c>
      <c r="U1440" s="32">
        <f>IFERROR(Table1_1[[#This Row],[Profit/loss]]/Table1_1[[#This Row],[Sales Amount]],0)</f>
        <v>0.29573142102903294</v>
      </c>
    </row>
    <row r="1441" spans="1:21" ht="18" x14ac:dyDescent="0.35">
      <c r="A1441" s="21" t="s">
        <v>1548</v>
      </c>
      <c r="B1441" s="36">
        <v>45994</v>
      </c>
      <c r="C1441" s="22">
        <f>YEAR(Table1_1[[#This Row],[Order Date]])</f>
        <v>2025</v>
      </c>
      <c r="D1441" s="22" t="str">
        <f>TEXT(Table1_1[[#This Row],[Order Date]],"MMMM")</f>
        <v>December</v>
      </c>
      <c r="E1441" s="22" t="s">
        <v>48</v>
      </c>
      <c r="F1441" s="22" t="s">
        <v>49</v>
      </c>
      <c r="G1441" s="22" t="s">
        <v>69</v>
      </c>
      <c r="H1441" s="22" t="s">
        <v>29</v>
      </c>
      <c r="I1441" s="22" t="s">
        <v>40</v>
      </c>
      <c r="J1441" s="22" t="s">
        <v>41</v>
      </c>
      <c r="K1441" s="22" t="s">
        <v>1624</v>
      </c>
      <c r="L1441" s="22" t="s">
        <v>57</v>
      </c>
      <c r="M1441" s="22" t="s">
        <v>34</v>
      </c>
      <c r="N1441" s="22">
        <v>26</v>
      </c>
      <c r="O1441" s="26">
        <v>48990</v>
      </c>
      <c r="P1441" s="22">
        <v>0.2</v>
      </c>
      <c r="Q1441" s="30">
        <v>30100</v>
      </c>
      <c r="R1441" s="33">
        <f>Table1_1[[#This Row],[Units Sold]]*Table1_1[[#This Row],[Unit Price]]*1-Table1_1[[#This Row],[Discount]]</f>
        <v>1273739.8</v>
      </c>
      <c r="S1441" s="33">
        <f>Table1_1[[#This Row],[Units Sold]]*Table1_1[[#This Row],[Unit Cost]]</f>
        <v>782600</v>
      </c>
      <c r="T1441" s="33">
        <f>Table1_1[[#This Row],[Sales Amount]]-S1441</f>
        <v>491139.80000000005</v>
      </c>
      <c r="U1441" s="32">
        <f>IFERROR(Table1_1[[#This Row],[Profit/loss]]/Table1_1[[#This Row],[Sales Amount]],0)</f>
        <v>0.38558879921943245</v>
      </c>
    </row>
    <row r="1442" spans="1:21" ht="18" x14ac:dyDescent="0.35">
      <c r="A1442" s="21" t="s">
        <v>1549</v>
      </c>
      <c r="B1442" s="36">
        <v>45994</v>
      </c>
      <c r="C1442" s="22">
        <f>YEAR(Table1_1[[#This Row],[Order Date]])</f>
        <v>2025</v>
      </c>
      <c r="D1442" s="22" t="str">
        <f>TEXT(Table1_1[[#This Row],[Order Date]],"MMMM")</f>
        <v>December</v>
      </c>
      <c r="E1442" s="22" t="s">
        <v>16</v>
      </c>
      <c r="F1442" s="22" t="s">
        <v>17</v>
      </c>
      <c r="G1442" s="22" t="s">
        <v>75</v>
      </c>
      <c r="H1442" s="22" t="s">
        <v>19</v>
      </c>
      <c r="I1442" s="22" t="s">
        <v>30</v>
      </c>
      <c r="J1442" s="22" t="s">
        <v>61</v>
      </c>
      <c r="K1442" s="22" t="s">
        <v>186</v>
      </c>
      <c r="L1442" s="22" t="s">
        <v>33</v>
      </c>
      <c r="M1442" s="22" t="s">
        <v>34</v>
      </c>
      <c r="N1442" s="22">
        <v>15</v>
      </c>
      <c r="O1442" s="26">
        <v>6999</v>
      </c>
      <c r="P1442" s="22">
        <v>0.05</v>
      </c>
      <c r="Q1442" s="30">
        <v>4320</v>
      </c>
      <c r="R1442" s="33">
        <f>Table1_1[[#This Row],[Units Sold]]*Table1_1[[#This Row],[Unit Price]]*1-Table1_1[[#This Row],[Discount]]</f>
        <v>104984.95</v>
      </c>
      <c r="S1442" s="33">
        <f>Table1_1[[#This Row],[Units Sold]]*Table1_1[[#This Row],[Unit Cost]]</f>
        <v>64800</v>
      </c>
      <c r="T1442" s="33">
        <f>Table1_1[[#This Row],[Sales Amount]]-S1442</f>
        <v>40184.949999999997</v>
      </c>
      <c r="U1442" s="32">
        <f>IFERROR(Table1_1[[#This Row],[Profit/loss]]/Table1_1[[#This Row],[Sales Amount]],0)</f>
        <v>0.38276867303361101</v>
      </c>
    </row>
    <row r="1443" spans="1:21" ht="18" x14ac:dyDescent="0.35">
      <c r="A1443" s="21" t="s">
        <v>1550</v>
      </c>
      <c r="B1443" s="36">
        <v>45994</v>
      </c>
      <c r="C1443" s="22">
        <f>YEAR(Table1_1[[#This Row],[Order Date]])</f>
        <v>2025</v>
      </c>
      <c r="D1443" s="22" t="str">
        <f>TEXT(Table1_1[[#This Row],[Order Date]],"MMMM")</f>
        <v>December</v>
      </c>
      <c r="E1443" s="22" t="s">
        <v>26</v>
      </c>
      <c r="F1443" s="22" t="s">
        <v>74</v>
      </c>
      <c r="G1443" s="22" t="s">
        <v>60</v>
      </c>
      <c r="H1443" s="22" t="s">
        <v>39</v>
      </c>
      <c r="I1443" s="22" t="s">
        <v>40</v>
      </c>
      <c r="J1443" s="22" t="s">
        <v>76</v>
      </c>
      <c r="K1443" s="22" t="s">
        <v>113</v>
      </c>
      <c r="L1443" s="22" t="s">
        <v>57</v>
      </c>
      <c r="M1443" s="22" t="s">
        <v>24</v>
      </c>
      <c r="N1443" s="22">
        <v>9</v>
      </c>
      <c r="O1443" s="26">
        <v>22999</v>
      </c>
      <c r="P1443" s="22">
        <v>0.1</v>
      </c>
      <c r="Q1443" s="30">
        <v>15100</v>
      </c>
      <c r="R1443" s="33">
        <f>Table1_1[[#This Row],[Units Sold]]*Table1_1[[#This Row],[Unit Price]]*1-Table1_1[[#This Row],[Discount]]</f>
        <v>206990.9</v>
      </c>
      <c r="S1443" s="33">
        <f>Table1_1[[#This Row],[Units Sold]]*Table1_1[[#This Row],[Unit Cost]]</f>
        <v>135900</v>
      </c>
      <c r="T1443" s="33">
        <f>Table1_1[[#This Row],[Sales Amount]]-S1443</f>
        <v>71090.899999999994</v>
      </c>
      <c r="U1443" s="32">
        <f>IFERROR(Table1_1[[#This Row],[Profit/loss]]/Table1_1[[#This Row],[Sales Amount]],0)</f>
        <v>0.34344939801701424</v>
      </c>
    </row>
    <row r="1444" spans="1:21" ht="18" x14ac:dyDescent="0.35">
      <c r="A1444" s="21" t="s">
        <v>1551</v>
      </c>
      <c r="B1444" s="36">
        <v>45994</v>
      </c>
      <c r="C1444" s="22">
        <f>YEAR(Table1_1[[#This Row],[Order Date]])</f>
        <v>2025</v>
      </c>
      <c r="D1444" s="22" t="str">
        <f>TEXT(Table1_1[[#This Row],[Order Date]],"MMMM")</f>
        <v>December</v>
      </c>
      <c r="E1444" s="22" t="s">
        <v>82</v>
      </c>
      <c r="F1444" s="22" t="s">
        <v>183</v>
      </c>
      <c r="G1444" s="22" t="s">
        <v>18</v>
      </c>
      <c r="H1444" s="22" t="s">
        <v>39</v>
      </c>
      <c r="I1444" s="22" t="s">
        <v>30</v>
      </c>
      <c r="J1444" s="22" t="s">
        <v>31</v>
      </c>
      <c r="K1444" s="22" t="s">
        <v>32</v>
      </c>
      <c r="L1444" s="22" t="s">
        <v>57</v>
      </c>
      <c r="M1444" s="22" t="s">
        <v>24</v>
      </c>
      <c r="N1444" s="22">
        <v>3</v>
      </c>
      <c r="O1444" s="26">
        <v>38990</v>
      </c>
      <c r="P1444" s="22">
        <v>0.1</v>
      </c>
      <c r="Q1444" s="30">
        <v>25400</v>
      </c>
      <c r="R1444" s="33">
        <f>Table1_1[[#This Row],[Units Sold]]*Table1_1[[#This Row],[Unit Price]]*1-Table1_1[[#This Row],[Discount]]</f>
        <v>116969.9</v>
      </c>
      <c r="S1444" s="33">
        <f>Table1_1[[#This Row],[Units Sold]]*Table1_1[[#This Row],[Unit Cost]]</f>
        <v>76200</v>
      </c>
      <c r="T1444" s="33">
        <f>Table1_1[[#This Row],[Sales Amount]]-S1444</f>
        <v>40769.899999999994</v>
      </c>
      <c r="U1444" s="32">
        <f>IFERROR(Table1_1[[#This Row],[Profit/loss]]/Table1_1[[#This Row],[Sales Amount]],0)</f>
        <v>0.34855035355249508</v>
      </c>
    </row>
    <row r="1445" spans="1:21" ht="18" x14ac:dyDescent="0.35">
      <c r="A1445" s="21" t="s">
        <v>1552</v>
      </c>
      <c r="B1445" s="36">
        <v>45995</v>
      </c>
      <c r="C1445" s="22">
        <f>YEAR(Table1_1[[#This Row],[Order Date]])</f>
        <v>2025</v>
      </c>
      <c r="D1445" s="22" t="str">
        <f>TEXT(Table1_1[[#This Row],[Order Date]],"MMMM")</f>
        <v>December</v>
      </c>
      <c r="E1445" s="22" t="s">
        <v>36</v>
      </c>
      <c r="F1445" s="22" t="s">
        <v>44</v>
      </c>
      <c r="G1445" s="22" t="s">
        <v>75</v>
      </c>
      <c r="H1445" s="22" t="s">
        <v>29</v>
      </c>
      <c r="I1445" s="22" t="s">
        <v>54</v>
      </c>
      <c r="J1445" s="22" t="s">
        <v>55</v>
      </c>
      <c r="K1445" s="22" t="s">
        <v>56</v>
      </c>
      <c r="L1445" s="22" t="s">
        <v>57</v>
      </c>
      <c r="M1445" s="22" t="s">
        <v>24</v>
      </c>
      <c r="N1445" s="22">
        <v>15</v>
      </c>
      <c r="O1445" s="26">
        <v>7299</v>
      </c>
      <c r="P1445" s="22">
        <v>0.1</v>
      </c>
      <c r="Q1445" s="30">
        <v>5010</v>
      </c>
      <c r="R1445" s="33">
        <f>Table1_1[[#This Row],[Units Sold]]*Table1_1[[#This Row],[Unit Price]]*1-Table1_1[[#This Row],[Discount]]</f>
        <v>109484.9</v>
      </c>
      <c r="S1445" s="33">
        <f>Table1_1[[#This Row],[Units Sold]]*Table1_1[[#This Row],[Unit Cost]]</f>
        <v>75150</v>
      </c>
      <c r="T1445" s="33">
        <f>Table1_1[[#This Row],[Sales Amount]]-S1445</f>
        <v>34334.899999999994</v>
      </c>
      <c r="U1445" s="32">
        <f>IFERROR(Table1_1[[#This Row],[Profit/loss]]/Table1_1[[#This Row],[Sales Amount]],0)</f>
        <v>0.31360397643876003</v>
      </c>
    </row>
    <row r="1446" spans="1:21" ht="18" x14ac:dyDescent="0.35">
      <c r="A1446" s="21" t="s">
        <v>1553</v>
      </c>
      <c r="B1446" s="36">
        <v>45995</v>
      </c>
      <c r="C1446" s="22">
        <f>YEAR(Table1_1[[#This Row],[Order Date]])</f>
        <v>2025</v>
      </c>
      <c r="D1446" s="22" t="str">
        <f>TEXT(Table1_1[[#This Row],[Order Date]],"MMMM")</f>
        <v>December</v>
      </c>
      <c r="E1446" s="22" t="s">
        <v>48</v>
      </c>
      <c r="F1446" s="22" t="s">
        <v>49</v>
      </c>
      <c r="G1446" s="22" t="s">
        <v>18</v>
      </c>
      <c r="H1446" s="22" t="s">
        <v>29</v>
      </c>
      <c r="I1446" s="22" t="s">
        <v>30</v>
      </c>
      <c r="J1446" s="22" t="s">
        <v>31</v>
      </c>
      <c r="K1446" s="22" t="s">
        <v>106</v>
      </c>
      <c r="L1446" s="22" t="s">
        <v>23</v>
      </c>
      <c r="M1446" s="22" t="s">
        <v>34</v>
      </c>
      <c r="N1446" s="22">
        <v>3</v>
      </c>
      <c r="O1446" s="26">
        <v>52990</v>
      </c>
      <c r="P1446" s="22">
        <v>0.2</v>
      </c>
      <c r="Q1446" s="30">
        <v>35100</v>
      </c>
      <c r="R1446" s="33">
        <f>Table1_1[[#This Row],[Units Sold]]*Table1_1[[#This Row],[Unit Price]]*1-Table1_1[[#This Row],[Discount]]</f>
        <v>158969.79999999999</v>
      </c>
      <c r="S1446" s="33">
        <f>Table1_1[[#This Row],[Units Sold]]*Table1_1[[#This Row],[Unit Cost]]</f>
        <v>105300</v>
      </c>
      <c r="T1446" s="33">
        <f>Table1_1[[#This Row],[Sales Amount]]-S1446</f>
        <v>53669.799999999988</v>
      </c>
      <c r="U1446" s="32">
        <f>IFERROR(Table1_1[[#This Row],[Profit/loss]]/Table1_1[[#This Row],[Sales Amount]],0)</f>
        <v>0.3376100366233083</v>
      </c>
    </row>
    <row r="1447" spans="1:21" ht="18" x14ac:dyDescent="0.35">
      <c r="A1447" s="21" t="s">
        <v>1554</v>
      </c>
      <c r="B1447" s="36">
        <v>45995</v>
      </c>
      <c r="C1447" s="22">
        <f>YEAR(Table1_1[[#This Row],[Order Date]])</f>
        <v>2025</v>
      </c>
      <c r="D1447" s="22" t="str">
        <f>TEXT(Table1_1[[#This Row],[Order Date]],"MMMM")</f>
        <v>December</v>
      </c>
      <c r="E1447" s="22" t="s">
        <v>48</v>
      </c>
      <c r="F1447" s="22" t="s">
        <v>68</v>
      </c>
      <c r="G1447" s="22" t="s">
        <v>105</v>
      </c>
      <c r="H1447" s="22" t="s">
        <v>29</v>
      </c>
      <c r="I1447" s="22" t="s">
        <v>70</v>
      </c>
      <c r="J1447" s="22" t="s">
        <v>71</v>
      </c>
      <c r="K1447" s="22" t="s">
        <v>72</v>
      </c>
      <c r="L1447" s="22" t="s">
        <v>57</v>
      </c>
      <c r="M1447" s="22" t="s">
        <v>78</v>
      </c>
      <c r="N1447" s="22">
        <v>11</v>
      </c>
      <c r="O1447" s="26">
        <v>3499</v>
      </c>
      <c r="P1447" s="22">
        <v>0.1</v>
      </c>
      <c r="Q1447" s="30">
        <v>2190</v>
      </c>
      <c r="R1447" s="33">
        <f>Table1_1[[#This Row],[Units Sold]]*Table1_1[[#This Row],[Unit Price]]*1-Table1_1[[#This Row],[Discount]]</f>
        <v>38488.9</v>
      </c>
      <c r="S1447" s="33">
        <f>Table1_1[[#This Row],[Units Sold]]*Table1_1[[#This Row],[Unit Cost]]</f>
        <v>24090</v>
      </c>
      <c r="T1447" s="33">
        <f>Table1_1[[#This Row],[Sales Amount]]-S1447</f>
        <v>14398.900000000001</v>
      </c>
      <c r="U1447" s="32">
        <f>IFERROR(Table1_1[[#This Row],[Profit/loss]]/Table1_1[[#This Row],[Sales Amount]],0)</f>
        <v>0.37410526151695683</v>
      </c>
    </row>
    <row r="1448" spans="1:21" ht="18" x14ac:dyDescent="0.35">
      <c r="A1448" s="21" t="s">
        <v>1555</v>
      </c>
      <c r="B1448" s="36">
        <v>45996</v>
      </c>
      <c r="C1448" s="22">
        <f>YEAR(Table1_1[[#This Row],[Order Date]])</f>
        <v>2025</v>
      </c>
      <c r="D1448" s="22" t="str">
        <f>TEXT(Table1_1[[#This Row],[Order Date]],"MMMM")</f>
        <v>December</v>
      </c>
      <c r="E1448" s="22" t="s">
        <v>16</v>
      </c>
      <c r="F1448" s="22" t="s">
        <v>126</v>
      </c>
      <c r="G1448" s="22" t="s">
        <v>28</v>
      </c>
      <c r="H1448" s="22" t="s">
        <v>19</v>
      </c>
      <c r="I1448" s="22" t="s">
        <v>54</v>
      </c>
      <c r="J1448" s="22" t="s">
        <v>129</v>
      </c>
      <c r="K1448" s="22" t="s">
        <v>145</v>
      </c>
      <c r="L1448" s="22" t="s">
        <v>33</v>
      </c>
      <c r="M1448" s="22" t="s">
        <v>24</v>
      </c>
      <c r="N1448" s="22">
        <v>30</v>
      </c>
      <c r="O1448" s="26">
        <v>31490</v>
      </c>
      <c r="P1448" s="22">
        <v>0.1</v>
      </c>
      <c r="Q1448" s="30">
        <v>21300</v>
      </c>
      <c r="R1448" s="33">
        <f>Table1_1[[#This Row],[Units Sold]]*Table1_1[[#This Row],[Unit Price]]*1-Table1_1[[#This Row],[Discount]]</f>
        <v>944699.9</v>
      </c>
      <c r="S1448" s="33">
        <f>Table1_1[[#This Row],[Units Sold]]*Table1_1[[#This Row],[Unit Cost]]</f>
        <v>639000</v>
      </c>
      <c r="T1448" s="33">
        <f>Table1_1[[#This Row],[Sales Amount]]-S1448</f>
        <v>305699.90000000002</v>
      </c>
      <c r="U1448" s="32">
        <f>IFERROR(Table1_1[[#This Row],[Profit/loss]]/Table1_1[[#This Row],[Sales Amount]],0)</f>
        <v>0.32359472039745107</v>
      </c>
    </row>
    <row r="1449" spans="1:21" ht="18" x14ac:dyDescent="0.35">
      <c r="A1449" s="21" t="s">
        <v>1556</v>
      </c>
      <c r="B1449" s="36">
        <v>45996</v>
      </c>
      <c r="C1449" s="22">
        <f>YEAR(Table1_1[[#This Row],[Order Date]])</f>
        <v>2025</v>
      </c>
      <c r="D1449" s="22" t="str">
        <f>TEXT(Table1_1[[#This Row],[Order Date]],"MMMM")</f>
        <v>December</v>
      </c>
      <c r="E1449" s="22" t="s">
        <v>82</v>
      </c>
      <c r="F1449" s="22" t="s">
        <v>83</v>
      </c>
      <c r="G1449" s="22" t="s">
        <v>50</v>
      </c>
      <c r="H1449" s="22" t="s">
        <v>29</v>
      </c>
      <c r="I1449" s="22" t="s">
        <v>70</v>
      </c>
      <c r="J1449" s="22" t="s">
        <v>71</v>
      </c>
      <c r="K1449" s="22" t="s">
        <v>72</v>
      </c>
      <c r="L1449" s="22" t="s">
        <v>33</v>
      </c>
      <c r="M1449" s="22" t="s">
        <v>24</v>
      </c>
      <c r="N1449" s="22">
        <v>37</v>
      </c>
      <c r="O1449" s="26">
        <v>3499</v>
      </c>
      <c r="P1449" s="22">
        <v>0.15</v>
      </c>
      <c r="Q1449" s="30">
        <v>2190</v>
      </c>
      <c r="R1449" s="33">
        <f>Table1_1[[#This Row],[Units Sold]]*Table1_1[[#This Row],[Unit Price]]*1-Table1_1[[#This Row],[Discount]]</f>
        <v>129462.85</v>
      </c>
      <c r="S1449" s="33">
        <f>Table1_1[[#This Row],[Units Sold]]*Table1_1[[#This Row],[Unit Cost]]</f>
        <v>81030</v>
      </c>
      <c r="T1449" s="33">
        <f>Table1_1[[#This Row],[Sales Amount]]-S1449</f>
        <v>48432.850000000006</v>
      </c>
      <c r="U1449" s="32">
        <f>IFERROR(Table1_1[[#This Row],[Profit/loss]]/Table1_1[[#This Row],[Sales Amount]],0)</f>
        <v>0.37410616250144352</v>
      </c>
    </row>
    <row r="1450" spans="1:21" ht="18" x14ac:dyDescent="0.35">
      <c r="A1450" s="21" t="s">
        <v>1557</v>
      </c>
      <c r="B1450" s="36">
        <v>45996</v>
      </c>
      <c r="C1450" s="22">
        <f>YEAR(Table1_1[[#This Row],[Order Date]])</f>
        <v>2025</v>
      </c>
      <c r="D1450" s="22" t="str">
        <f>TEXT(Table1_1[[#This Row],[Order Date]],"MMMM")</f>
        <v>December</v>
      </c>
      <c r="E1450" s="22" t="s">
        <v>16</v>
      </c>
      <c r="F1450" s="22" t="s">
        <v>98</v>
      </c>
      <c r="G1450" s="22" t="s">
        <v>18</v>
      </c>
      <c r="H1450" s="22" t="s">
        <v>29</v>
      </c>
      <c r="I1450" s="22" t="s">
        <v>40</v>
      </c>
      <c r="J1450" s="22" t="s">
        <v>41</v>
      </c>
      <c r="K1450" s="22" t="s">
        <v>42</v>
      </c>
      <c r="L1450" s="22" t="s">
        <v>57</v>
      </c>
      <c r="M1450" s="22" t="s">
        <v>24</v>
      </c>
      <c r="N1450" s="22">
        <v>28</v>
      </c>
      <c r="O1450" s="26">
        <v>55230</v>
      </c>
      <c r="P1450" s="22">
        <v>0.1</v>
      </c>
      <c r="Q1450" s="30">
        <v>33800</v>
      </c>
      <c r="R1450" s="33">
        <f>Table1_1[[#This Row],[Units Sold]]*Table1_1[[#This Row],[Unit Price]]*1-Table1_1[[#This Row],[Discount]]</f>
        <v>1546439.9</v>
      </c>
      <c r="S1450" s="33">
        <f>Table1_1[[#This Row],[Units Sold]]*Table1_1[[#This Row],[Unit Cost]]</f>
        <v>946400</v>
      </c>
      <c r="T1450" s="33">
        <f>Table1_1[[#This Row],[Sales Amount]]-S1450</f>
        <v>600039.89999999991</v>
      </c>
      <c r="U1450" s="32">
        <f>IFERROR(Table1_1[[#This Row],[Profit/loss]]/Table1_1[[#This Row],[Sales Amount]],0)</f>
        <v>0.38801372106345672</v>
      </c>
    </row>
    <row r="1451" spans="1:21" ht="18" x14ac:dyDescent="0.35">
      <c r="A1451" s="21" t="s">
        <v>1558</v>
      </c>
      <c r="B1451" s="36">
        <v>45997</v>
      </c>
      <c r="C1451" s="22">
        <f>YEAR(Table1_1[[#This Row],[Order Date]])</f>
        <v>2025</v>
      </c>
      <c r="D1451" s="22" t="str">
        <f>TEXT(Table1_1[[#This Row],[Order Date]],"MMMM")</f>
        <v>December</v>
      </c>
      <c r="E1451" s="22" t="s">
        <v>36</v>
      </c>
      <c r="F1451" s="22" t="s">
        <v>59</v>
      </c>
      <c r="G1451" s="22" t="s">
        <v>28</v>
      </c>
      <c r="H1451" s="22" t="s">
        <v>19</v>
      </c>
      <c r="I1451" s="22" t="s">
        <v>30</v>
      </c>
      <c r="J1451" s="22" t="s">
        <v>31</v>
      </c>
      <c r="K1451" s="22" t="s">
        <v>85</v>
      </c>
      <c r="L1451" s="22" t="s">
        <v>57</v>
      </c>
      <c r="M1451" s="22" t="s">
        <v>24</v>
      </c>
      <c r="N1451" s="22">
        <v>22</v>
      </c>
      <c r="O1451" s="26">
        <v>43500</v>
      </c>
      <c r="P1451" s="22">
        <v>0.15</v>
      </c>
      <c r="Q1451" s="30">
        <v>29520</v>
      </c>
      <c r="R1451" s="33">
        <f>Table1_1[[#This Row],[Units Sold]]*Table1_1[[#This Row],[Unit Price]]*1-Table1_1[[#This Row],[Discount]]</f>
        <v>956999.85</v>
      </c>
      <c r="S1451" s="33">
        <f>Table1_1[[#This Row],[Units Sold]]*Table1_1[[#This Row],[Unit Cost]]</f>
        <v>649440</v>
      </c>
      <c r="T1451" s="33">
        <f>Table1_1[[#This Row],[Sales Amount]]-S1451</f>
        <v>307559.84999999998</v>
      </c>
      <c r="U1451" s="32">
        <f>IFERROR(Table1_1[[#This Row],[Profit/loss]]/Table1_1[[#This Row],[Sales Amount]],0)</f>
        <v>0.32137920397793163</v>
      </c>
    </row>
    <row r="1452" spans="1:21" ht="18" x14ac:dyDescent="0.35">
      <c r="A1452" s="21" t="s">
        <v>1559</v>
      </c>
      <c r="B1452" s="36">
        <v>45998</v>
      </c>
      <c r="C1452" s="22">
        <f>YEAR(Table1_1[[#This Row],[Order Date]])</f>
        <v>2025</v>
      </c>
      <c r="D1452" s="22" t="str">
        <f>TEXT(Table1_1[[#This Row],[Order Date]],"MMMM")</f>
        <v>December</v>
      </c>
      <c r="E1452" s="22" t="s">
        <v>36</v>
      </c>
      <c r="F1452" s="22" t="s">
        <v>37</v>
      </c>
      <c r="G1452" s="22" t="s">
        <v>105</v>
      </c>
      <c r="H1452" s="22" t="s">
        <v>39</v>
      </c>
      <c r="I1452" s="22" t="s">
        <v>30</v>
      </c>
      <c r="J1452" s="22" t="s">
        <v>61</v>
      </c>
      <c r="K1452" s="22" t="s">
        <v>62</v>
      </c>
      <c r="L1452" s="22" t="s">
        <v>23</v>
      </c>
      <c r="M1452" s="22" t="s">
        <v>24</v>
      </c>
      <c r="N1452" s="22">
        <v>34</v>
      </c>
      <c r="O1452" s="26">
        <v>12490</v>
      </c>
      <c r="P1452" s="22">
        <v>0.05</v>
      </c>
      <c r="Q1452" s="30">
        <v>7900</v>
      </c>
      <c r="R1452" s="33">
        <f>Table1_1[[#This Row],[Units Sold]]*Table1_1[[#This Row],[Unit Price]]*1-Table1_1[[#This Row],[Discount]]</f>
        <v>424659.95</v>
      </c>
      <c r="S1452" s="33">
        <f>Table1_1[[#This Row],[Units Sold]]*Table1_1[[#This Row],[Unit Cost]]</f>
        <v>268600</v>
      </c>
      <c r="T1452" s="33">
        <f>Table1_1[[#This Row],[Sales Amount]]-S1452</f>
        <v>156059.95000000001</v>
      </c>
      <c r="U1452" s="32">
        <f>IFERROR(Table1_1[[#This Row],[Profit/loss]]/Table1_1[[#This Row],[Sales Amount]],0)</f>
        <v>0.36749392072409937</v>
      </c>
    </row>
    <row r="1453" spans="1:21" ht="18" x14ac:dyDescent="0.35">
      <c r="A1453" s="21" t="s">
        <v>1560</v>
      </c>
      <c r="B1453" s="36">
        <v>45998</v>
      </c>
      <c r="C1453" s="22">
        <f>YEAR(Table1_1[[#This Row],[Order Date]])</f>
        <v>2025</v>
      </c>
      <c r="D1453" s="22" t="str">
        <f>TEXT(Table1_1[[#This Row],[Order Date]],"MMMM")</f>
        <v>December</v>
      </c>
      <c r="E1453" s="22" t="s">
        <v>82</v>
      </c>
      <c r="F1453" s="22" t="s">
        <v>83</v>
      </c>
      <c r="G1453" s="22" t="s">
        <v>28</v>
      </c>
      <c r="H1453" s="22" t="s">
        <v>19</v>
      </c>
      <c r="I1453" s="22" t="s">
        <v>70</v>
      </c>
      <c r="J1453" s="22" t="s">
        <v>71</v>
      </c>
      <c r="K1453" s="22" t="s">
        <v>88</v>
      </c>
      <c r="L1453" s="22" t="s">
        <v>23</v>
      </c>
      <c r="M1453" s="22" t="s">
        <v>24</v>
      </c>
      <c r="N1453" s="22">
        <v>13</v>
      </c>
      <c r="O1453" s="26">
        <v>999</v>
      </c>
      <c r="P1453" s="22">
        <v>0.1</v>
      </c>
      <c r="Q1453" s="30">
        <v>540</v>
      </c>
      <c r="R1453" s="33">
        <f>Table1_1[[#This Row],[Units Sold]]*Table1_1[[#This Row],[Unit Price]]*1-Table1_1[[#This Row],[Discount]]</f>
        <v>12986.9</v>
      </c>
      <c r="S1453" s="33">
        <f>Table1_1[[#This Row],[Units Sold]]*Table1_1[[#This Row],[Unit Cost]]</f>
        <v>7020</v>
      </c>
      <c r="T1453" s="33">
        <f>Table1_1[[#This Row],[Sales Amount]]-S1453</f>
        <v>5966.9</v>
      </c>
      <c r="U1453" s="32">
        <f>IFERROR(Table1_1[[#This Row],[Profit/loss]]/Table1_1[[#This Row],[Sales Amount]],0)</f>
        <v>0.45945529726108614</v>
      </c>
    </row>
    <row r="1454" spans="1:21" ht="18" x14ac:dyDescent="0.35">
      <c r="A1454" s="21" t="s">
        <v>1561</v>
      </c>
      <c r="B1454" s="36">
        <v>45998</v>
      </c>
      <c r="C1454" s="22">
        <f>YEAR(Table1_1[[#This Row],[Order Date]])</f>
        <v>2025</v>
      </c>
      <c r="D1454" s="22" t="str">
        <f>TEXT(Table1_1[[#This Row],[Order Date]],"MMMM")</f>
        <v>December</v>
      </c>
      <c r="E1454" s="22" t="s">
        <v>26</v>
      </c>
      <c r="F1454" s="22" t="s">
        <v>163</v>
      </c>
      <c r="G1454" s="22" t="s">
        <v>18</v>
      </c>
      <c r="H1454" s="22" t="s">
        <v>39</v>
      </c>
      <c r="I1454" s="22" t="s">
        <v>40</v>
      </c>
      <c r="J1454" s="22" t="s">
        <v>41</v>
      </c>
      <c r="K1454" s="22" t="s">
        <v>1624</v>
      </c>
      <c r="L1454" s="22" t="s">
        <v>23</v>
      </c>
      <c r="M1454" s="22" t="s">
        <v>78</v>
      </c>
      <c r="N1454" s="22">
        <v>24</v>
      </c>
      <c r="O1454" s="26">
        <v>48990</v>
      </c>
      <c r="P1454" s="22">
        <v>0.08</v>
      </c>
      <c r="Q1454" s="30">
        <v>30100</v>
      </c>
      <c r="R1454" s="33">
        <f>Table1_1[[#This Row],[Units Sold]]*Table1_1[[#This Row],[Unit Price]]*1-Table1_1[[#This Row],[Discount]]</f>
        <v>1175759.92</v>
      </c>
      <c r="S1454" s="33">
        <f>Table1_1[[#This Row],[Units Sold]]*Table1_1[[#This Row],[Unit Cost]]</f>
        <v>722400</v>
      </c>
      <c r="T1454" s="33">
        <f>Table1_1[[#This Row],[Sales Amount]]-S1454</f>
        <v>453359.91999999993</v>
      </c>
      <c r="U1454" s="32">
        <f>IFERROR(Table1_1[[#This Row],[Profit/loss]]/Table1_1[[#This Row],[Sales Amount]],0)</f>
        <v>0.38558885388779024</v>
      </c>
    </row>
    <row r="1455" spans="1:21" ht="18" x14ac:dyDescent="0.35">
      <c r="A1455" s="21" t="s">
        <v>1562</v>
      </c>
      <c r="B1455" s="36">
        <v>45998</v>
      </c>
      <c r="C1455" s="22">
        <f>YEAR(Table1_1[[#This Row],[Order Date]])</f>
        <v>2025</v>
      </c>
      <c r="D1455" s="22" t="str">
        <f>TEXT(Table1_1[[#This Row],[Order Date]],"MMMM")</f>
        <v>December</v>
      </c>
      <c r="E1455" s="22" t="s">
        <v>48</v>
      </c>
      <c r="F1455" s="22" t="s">
        <v>49</v>
      </c>
      <c r="G1455" s="22" t="s">
        <v>105</v>
      </c>
      <c r="H1455" s="22" t="s">
        <v>39</v>
      </c>
      <c r="I1455" s="22" t="s">
        <v>40</v>
      </c>
      <c r="J1455" s="22" t="s">
        <v>41</v>
      </c>
      <c r="K1455" s="22" t="s">
        <v>1624</v>
      </c>
      <c r="L1455" s="22" t="s">
        <v>23</v>
      </c>
      <c r="M1455" s="22" t="s">
        <v>34</v>
      </c>
      <c r="N1455" s="22">
        <v>22</v>
      </c>
      <c r="O1455" s="26">
        <v>48990</v>
      </c>
      <c r="P1455" s="22">
        <v>0.2</v>
      </c>
      <c r="Q1455" s="30">
        <v>30100</v>
      </c>
      <c r="R1455" s="33">
        <f>Table1_1[[#This Row],[Units Sold]]*Table1_1[[#This Row],[Unit Price]]*1-Table1_1[[#This Row],[Discount]]</f>
        <v>1077779.8</v>
      </c>
      <c r="S1455" s="33">
        <f>Table1_1[[#This Row],[Units Sold]]*Table1_1[[#This Row],[Unit Cost]]</f>
        <v>662200</v>
      </c>
      <c r="T1455" s="33">
        <f>Table1_1[[#This Row],[Sales Amount]]-S1455</f>
        <v>415579.80000000005</v>
      </c>
      <c r="U1455" s="32">
        <f>IFERROR(Table1_1[[#This Row],[Profit/loss]]/Table1_1[[#This Row],[Sales Amount]],0)</f>
        <v>0.3855887816787808</v>
      </c>
    </row>
    <row r="1456" spans="1:21" ht="18" x14ac:dyDescent="0.35">
      <c r="A1456" s="21" t="s">
        <v>1563</v>
      </c>
      <c r="B1456" s="36">
        <v>45999</v>
      </c>
      <c r="C1456" s="22">
        <f>YEAR(Table1_1[[#This Row],[Order Date]])</f>
        <v>2025</v>
      </c>
      <c r="D1456" s="22" t="str">
        <f>TEXT(Table1_1[[#This Row],[Order Date]],"MMMM")</f>
        <v>December</v>
      </c>
      <c r="E1456" s="22" t="s">
        <v>36</v>
      </c>
      <c r="F1456" s="22" t="s">
        <v>37</v>
      </c>
      <c r="G1456" s="22" t="s">
        <v>69</v>
      </c>
      <c r="H1456" s="22" t="s">
        <v>19</v>
      </c>
      <c r="I1456" s="22" t="s">
        <v>54</v>
      </c>
      <c r="J1456" s="22" t="s">
        <v>55</v>
      </c>
      <c r="K1456" s="22" t="s">
        <v>1623</v>
      </c>
      <c r="L1456" s="22" t="s">
        <v>33</v>
      </c>
      <c r="M1456" s="22" t="s">
        <v>24</v>
      </c>
      <c r="N1456" s="22">
        <v>22</v>
      </c>
      <c r="O1456" s="26">
        <v>5890</v>
      </c>
      <c r="P1456" s="22">
        <v>0.08</v>
      </c>
      <c r="Q1456" s="30">
        <v>3980</v>
      </c>
      <c r="R1456" s="33">
        <f>Table1_1[[#This Row],[Units Sold]]*Table1_1[[#This Row],[Unit Price]]*1-Table1_1[[#This Row],[Discount]]</f>
        <v>129579.92</v>
      </c>
      <c r="S1456" s="33">
        <f>Table1_1[[#This Row],[Units Sold]]*Table1_1[[#This Row],[Unit Cost]]</f>
        <v>87560</v>
      </c>
      <c r="T1456" s="33">
        <f>Table1_1[[#This Row],[Sales Amount]]-S1456</f>
        <v>42019.92</v>
      </c>
      <c r="U1456" s="32">
        <f>IFERROR(Table1_1[[#This Row],[Profit/loss]]/Table1_1[[#This Row],[Sales Amount]],0)</f>
        <v>0.32427802085384833</v>
      </c>
    </row>
    <row r="1457" spans="1:21" ht="18" x14ac:dyDescent="0.35">
      <c r="A1457" s="21" t="s">
        <v>1564</v>
      </c>
      <c r="B1457" s="36">
        <v>45999</v>
      </c>
      <c r="C1457" s="22">
        <f>YEAR(Table1_1[[#This Row],[Order Date]])</f>
        <v>2025</v>
      </c>
      <c r="D1457" s="22" t="str">
        <f>TEXT(Table1_1[[#This Row],[Order Date]],"MMMM")</f>
        <v>December</v>
      </c>
      <c r="E1457" s="22" t="s">
        <v>82</v>
      </c>
      <c r="F1457" s="22" t="s">
        <v>100</v>
      </c>
      <c r="G1457" s="22" t="s">
        <v>105</v>
      </c>
      <c r="H1457" s="22" t="s">
        <v>39</v>
      </c>
      <c r="I1457" s="22" t="s">
        <v>40</v>
      </c>
      <c r="J1457" s="22" t="s">
        <v>41</v>
      </c>
      <c r="K1457" s="22" t="s">
        <v>1628</v>
      </c>
      <c r="L1457" s="22" t="s">
        <v>57</v>
      </c>
      <c r="M1457" s="22" t="s">
        <v>34</v>
      </c>
      <c r="N1457" s="22">
        <v>10</v>
      </c>
      <c r="O1457" s="26">
        <v>48500</v>
      </c>
      <c r="P1457" s="22">
        <v>0.05</v>
      </c>
      <c r="Q1457" s="30">
        <v>30200</v>
      </c>
      <c r="R1457" s="33">
        <f>Table1_1[[#This Row],[Units Sold]]*Table1_1[[#This Row],[Unit Price]]*1-Table1_1[[#This Row],[Discount]]</f>
        <v>484999.95</v>
      </c>
      <c r="S1457" s="33">
        <f>Table1_1[[#This Row],[Units Sold]]*Table1_1[[#This Row],[Unit Cost]]</f>
        <v>302000</v>
      </c>
      <c r="T1457" s="33">
        <f>Table1_1[[#This Row],[Sales Amount]]-S1457</f>
        <v>182999.95</v>
      </c>
      <c r="U1457" s="32">
        <f>IFERROR(Table1_1[[#This Row],[Profit/loss]]/Table1_1[[#This Row],[Sales Amount]],0)</f>
        <v>0.37731952343500241</v>
      </c>
    </row>
    <row r="1458" spans="1:21" ht="18" x14ac:dyDescent="0.35">
      <c r="A1458" s="21" t="s">
        <v>1565</v>
      </c>
      <c r="B1458" s="36">
        <v>45999</v>
      </c>
      <c r="C1458" s="22">
        <f>YEAR(Table1_1[[#This Row],[Order Date]])</f>
        <v>2025</v>
      </c>
      <c r="D1458" s="22" t="str">
        <f>TEXT(Table1_1[[#This Row],[Order Date]],"MMMM")</f>
        <v>December</v>
      </c>
      <c r="E1458" s="22" t="s">
        <v>36</v>
      </c>
      <c r="F1458" s="22" t="s">
        <v>121</v>
      </c>
      <c r="G1458" s="22" t="s">
        <v>28</v>
      </c>
      <c r="H1458" s="22" t="s">
        <v>19</v>
      </c>
      <c r="I1458" s="22" t="s">
        <v>30</v>
      </c>
      <c r="J1458" s="22" t="s">
        <v>31</v>
      </c>
      <c r="K1458" s="22" t="s">
        <v>106</v>
      </c>
      <c r="L1458" s="22" t="s">
        <v>33</v>
      </c>
      <c r="M1458" s="22" t="s">
        <v>78</v>
      </c>
      <c r="N1458" s="22">
        <v>32</v>
      </c>
      <c r="O1458" s="26">
        <v>52990</v>
      </c>
      <c r="P1458" s="22">
        <v>0.1</v>
      </c>
      <c r="Q1458" s="30">
        <v>35100</v>
      </c>
      <c r="R1458" s="33">
        <f>Table1_1[[#This Row],[Units Sold]]*Table1_1[[#This Row],[Unit Price]]*1-Table1_1[[#This Row],[Discount]]</f>
        <v>1695679.9</v>
      </c>
      <c r="S1458" s="33">
        <f>Table1_1[[#This Row],[Units Sold]]*Table1_1[[#This Row],[Unit Cost]]</f>
        <v>1123200</v>
      </c>
      <c r="T1458" s="33">
        <f>Table1_1[[#This Row],[Sales Amount]]-S1458</f>
        <v>572479.89999999991</v>
      </c>
      <c r="U1458" s="32">
        <f>IFERROR(Table1_1[[#This Row],[Profit/loss]]/Table1_1[[#This Row],[Sales Amount]],0)</f>
        <v>0.33761083091213145</v>
      </c>
    </row>
    <row r="1459" spans="1:21" ht="18" x14ac:dyDescent="0.35">
      <c r="A1459" s="21" t="s">
        <v>1566</v>
      </c>
      <c r="B1459" s="36">
        <v>46000</v>
      </c>
      <c r="C1459" s="22">
        <f>YEAR(Table1_1[[#This Row],[Order Date]])</f>
        <v>2025</v>
      </c>
      <c r="D1459" s="22" t="str">
        <f>TEXT(Table1_1[[#This Row],[Order Date]],"MMMM")</f>
        <v>December</v>
      </c>
      <c r="E1459" s="22" t="s">
        <v>26</v>
      </c>
      <c r="F1459" s="22" t="s">
        <v>163</v>
      </c>
      <c r="G1459" s="22" t="s">
        <v>28</v>
      </c>
      <c r="H1459" s="22" t="s">
        <v>19</v>
      </c>
      <c r="I1459" s="22" t="s">
        <v>40</v>
      </c>
      <c r="J1459" s="22" t="s">
        <v>41</v>
      </c>
      <c r="K1459" s="22" t="s">
        <v>1628</v>
      </c>
      <c r="L1459" s="22" t="s">
        <v>33</v>
      </c>
      <c r="M1459" s="22" t="s">
        <v>24</v>
      </c>
      <c r="N1459" s="22">
        <v>32</v>
      </c>
      <c r="O1459" s="26">
        <v>48500</v>
      </c>
      <c r="P1459" s="22">
        <v>0.18</v>
      </c>
      <c r="Q1459" s="30">
        <v>30200</v>
      </c>
      <c r="R1459" s="33">
        <f>Table1_1[[#This Row],[Units Sold]]*Table1_1[[#This Row],[Unit Price]]*1-Table1_1[[#This Row],[Discount]]</f>
        <v>1551999.82</v>
      </c>
      <c r="S1459" s="33">
        <f>Table1_1[[#This Row],[Units Sold]]*Table1_1[[#This Row],[Unit Cost]]</f>
        <v>966400</v>
      </c>
      <c r="T1459" s="33">
        <f>Table1_1[[#This Row],[Sales Amount]]-S1459</f>
        <v>585599.82000000007</v>
      </c>
      <c r="U1459" s="32">
        <f>IFERROR(Table1_1[[#This Row],[Profit/loss]]/Table1_1[[#This Row],[Sales Amount]],0)</f>
        <v>0.37731951541076858</v>
      </c>
    </row>
    <row r="1460" spans="1:21" ht="18" x14ac:dyDescent="0.35">
      <c r="A1460" s="21" t="s">
        <v>1567</v>
      </c>
      <c r="B1460" s="36">
        <v>46000</v>
      </c>
      <c r="C1460" s="22">
        <f>YEAR(Table1_1[[#This Row],[Order Date]])</f>
        <v>2025</v>
      </c>
      <c r="D1460" s="22" t="str">
        <f>TEXT(Table1_1[[#This Row],[Order Date]],"MMMM")</f>
        <v>December</v>
      </c>
      <c r="E1460" s="22" t="s">
        <v>82</v>
      </c>
      <c r="F1460" s="22" t="s">
        <v>87</v>
      </c>
      <c r="G1460" s="22" t="s">
        <v>18</v>
      </c>
      <c r="H1460" s="22" t="s">
        <v>19</v>
      </c>
      <c r="I1460" s="22" t="s">
        <v>20</v>
      </c>
      <c r="J1460" s="22" t="s">
        <v>21</v>
      </c>
      <c r="K1460" s="22" t="s">
        <v>115</v>
      </c>
      <c r="L1460" s="22" t="s">
        <v>33</v>
      </c>
      <c r="M1460" s="22" t="s">
        <v>78</v>
      </c>
      <c r="N1460" s="22">
        <v>16</v>
      </c>
      <c r="O1460" s="26">
        <v>6499</v>
      </c>
      <c r="P1460" s="22">
        <v>0.15</v>
      </c>
      <c r="Q1460" s="30">
        <v>4210</v>
      </c>
      <c r="R1460" s="33">
        <f>Table1_1[[#This Row],[Units Sold]]*Table1_1[[#This Row],[Unit Price]]*1-Table1_1[[#This Row],[Discount]]</f>
        <v>103983.85</v>
      </c>
      <c r="S1460" s="33">
        <f>Table1_1[[#This Row],[Units Sold]]*Table1_1[[#This Row],[Unit Cost]]</f>
        <v>67360</v>
      </c>
      <c r="T1460" s="33">
        <f>Table1_1[[#This Row],[Sales Amount]]-S1460</f>
        <v>36623.850000000006</v>
      </c>
      <c r="U1460" s="32">
        <f>IFERROR(Table1_1[[#This Row],[Profit/loss]]/Table1_1[[#This Row],[Sales Amount]],0)</f>
        <v>0.35220709754447449</v>
      </c>
    </row>
    <row r="1461" spans="1:21" ht="18" x14ac:dyDescent="0.35">
      <c r="A1461" s="21" t="s">
        <v>1568</v>
      </c>
      <c r="B1461" s="36">
        <v>46001</v>
      </c>
      <c r="C1461" s="22">
        <f>YEAR(Table1_1[[#This Row],[Order Date]])</f>
        <v>2025</v>
      </c>
      <c r="D1461" s="22" t="str">
        <f>TEXT(Table1_1[[#This Row],[Order Date]],"MMMM")</f>
        <v>December</v>
      </c>
      <c r="E1461" s="22" t="s">
        <v>48</v>
      </c>
      <c r="F1461" s="22" t="s">
        <v>136</v>
      </c>
      <c r="G1461" s="22" t="s">
        <v>105</v>
      </c>
      <c r="H1461" s="22" t="s">
        <v>29</v>
      </c>
      <c r="I1461" s="22" t="s">
        <v>70</v>
      </c>
      <c r="J1461" s="22" t="s">
        <v>71</v>
      </c>
      <c r="K1461" s="22" t="s">
        <v>88</v>
      </c>
      <c r="L1461" s="22" t="s">
        <v>57</v>
      </c>
      <c r="M1461" s="22" t="s">
        <v>24</v>
      </c>
      <c r="N1461" s="22">
        <v>32</v>
      </c>
      <c r="O1461" s="26">
        <v>999</v>
      </c>
      <c r="P1461" s="22">
        <v>0.18</v>
      </c>
      <c r="Q1461" s="30">
        <v>540</v>
      </c>
      <c r="R1461" s="33">
        <f>Table1_1[[#This Row],[Units Sold]]*Table1_1[[#This Row],[Unit Price]]*1-Table1_1[[#This Row],[Discount]]</f>
        <v>31967.82</v>
      </c>
      <c r="S1461" s="33">
        <f>Table1_1[[#This Row],[Units Sold]]*Table1_1[[#This Row],[Unit Cost]]</f>
        <v>17280</v>
      </c>
      <c r="T1461" s="33">
        <f>Table1_1[[#This Row],[Sales Amount]]-S1461</f>
        <v>14687.82</v>
      </c>
      <c r="U1461" s="32">
        <f>IFERROR(Table1_1[[#This Row],[Profit/loss]]/Table1_1[[#This Row],[Sales Amount]],0)</f>
        <v>0.45945641585819741</v>
      </c>
    </row>
    <row r="1462" spans="1:21" ht="18" x14ac:dyDescent="0.35">
      <c r="A1462" s="21" t="s">
        <v>1569</v>
      </c>
      <c r="B1462" s="36">
        <v>46005</v>
      </c>
      <c r="C1462" s="22">
        <f>YEAR(Table1_1[[#This Row],[Order Date]])</f>
        <v>2025</v>
      </c>
      <c r="D1462" s="22" t="str">
        <f>TEXT(Table1_1[[#This Row],[Order Date]],"MMMM")</f>
        <v>December</v>
      </c>
      <c r="E1462" s="22" t="s">
        <v>48</v>
      </c>
      <c r="F1462" s="22" t="s">
        <v>136</v>
      </c>
      <c r="G1462" s="22" t="s">
        <v>84</v>
      </c>
      <c r="H1462" s="22" t="s">
        <v>29</v>
      </c>
      <c r="I1462" s="22" t="s">
        <v>30</v>
      </c>
      <c r="J1462" s="22" t="s">
        <v>61</v>
      </c>
      <c r="K1462" s="22" t="s">
        <v>62</v>
      </c>
      <c r="L1462" s="22" t="s">
        <v>23</v>
      </c>
      <c r="M1462" s="22" t="s">
        <v>24</v>
      </c>
      <c r="N1462" s="22">
        <v>13</v>
      </c>
      <c r="O1462" s="26">
        <v>12490</v>
      </c>
      <c r="P1462" s="22">
        <v>0.2</v>
      </c>
      <c r="Q1462" s="30">
        <v>7900</v>
      </c>
      <c r="R1462" s="33">
        <f>Table1_1[[#This Row],[Units Sold]]*Table1_1[[#This Row],[Unit Price]]*1-Table1_1[[#This Row],[Discount]]</f>
        <v>162369.79999999999</v>
      </c>
      <c r="S1462" s="33">
        <f>Table1_1[[#This Row],[Units Sold]]*Table1_1[[#This Row],[Unit Cost]]</f>
        <v>102700</v>
      </c>
      <c r="T1462" s="33">
        <f>Table1_1[[#This Row],[Sales Amount]]-S1462</f>
        <v>59669.799999999988</v>
      </c>
      <c r="U1462" s="32">
        <f>IFERROR(Table1_1[[#This Row],[Profit/loss]]/Table1_1[[#This Row],[Sales Amount]],0)</f>
        <v>0.36749321610299446</v>
      </c>
    </row>
    <row r="1463" spans="1:21" ht="18" x14ac:dyDescent="0.35">
      <c r="A1463" s="21" t="s">
        <v>1570</v>
      </c>
      <c r="B1463" s="36">
        <v>46005</v>
      </c>
      <c r="C1463" s="22">
        <f>YEAR(Table1_1[[#This Row],[Order Date]])</f>
        <v>2025</v>
      </c>
      <c r="D1463" s="22" t="str">
        <f>TEXT(Table1_1[[#This Row],[Order Date]],"MMMM")</f>
        <v>December</v>
      </c>
      <c r="E1463" s="22" t="s">
        <v>36</v>
      </c>
      <c r="F1463" s="22" t="s">
        <v>59</v>
      </c>
      <c r="G1463" s="22" t="s">
        <v>50</v>
      </c>
      <c r="H1463" s="22" t="s">
        <v>29</v>
      </c>
      <c r="I1463" s="22" t="s">
        <v>40</v>
      </c>
      <c r="J1463" s="22" t="s">
        <v>41</v>
      </c>
      <c r="K1463" s="22" t="s">
        <v>42</v>
      </c>
      <c r="L1463" s="22" t="s">
        <v>57</v>
      </c>
      <c r="M1463" s="22" t="s">
        <v>24</v>
      </c>
      <c r="N1463" s="22">
        <v>23</v>
      </c>
      <c r="O1463" s="26">
        <v>55230</v>
      </c>
      <c r="P1463" s="22">
        <v>0.2</v>
      </c>
      <c r="Q1463" s="30">
        <v>33800</v>
      </c>
      <c r="R1463" s="33">
        <f>Table1_1[[#This Row],[Units Sold]]*Table1_1[[#This Row],[Unit Price]]*1-Table1_1[[#This Row],[Discount]]</f>
        <v>1270289.8</v>
      </c>
      <c r="S1463" s="33">
        <f>Table1_1[[#This Row],[Units Sold]]*Table1_1[[#This Row],[Unit Cost]]</f>
        <v>777400</v>
      </c>
      <c r="T1463" s="33">
        <f>Table1_1[[#This Row],[Sales Amount]]-S1463</f>
        <v>492889.80000000005</v>
      </c>
      <c r="U1463" s="32">
        <f>IFERROR(Table1_1[[#This Row],[Profit/loss]]/Table1_1[[#This Row],[Sales Amount]],0)</f>
        <v>0.38801366428353595</v>
      </c>
    </row>
    <row r="1464" spans="1:21" ht="18" x14ac:dyDescent="0.35">
      <c r="A1464" s="21" t="s">
        <v>1571</v>
      </c>
      <c r="B1464" s="36">
        <v>46005</v>
      </c>
      <c r="C1464" s="22">
        <f>YEAR(Table1_1[[#This Row],[Order Date]])</f>
        <v>2025</v>
      </c>
      <c r="D1464" s="22" t="str">
        <f>TEXT(Table1_1[[#This Row],[Order Date]],"MMMM")</f>
        <v>December</v>
      </c>
      <c r="E1464" s="22" t="s">
        <v>26</v>
      </c>
      <c r="F1464" s="22" t="s">
        <v>74</v>
      </c>
      <c r="G1464" s="22" t="s">
        <v>69</v>
      </c>
      <c r="H1464" s="22" t="s">
        <v>19</v>
      </c>
      <c r="I1464" s="22" t="s">
        <v>54</v>
      </c>
      <c r="J1464" s="22" t="s">
        <v>90</v>
      </c>
      <c r="K1464" s="22" t="s">
        <v>1621</v>
      </c>
      <c r="L1464" s="22" t="s">
        <v>57</v>
      </c>
      <c r="M1464" s="22" t="s">
        <v>78</v>
      </c>
      <c r="N1464" s="22">
        <v>22</v>
      </c>
      <c r="O1464" s="26">
        <v>31990</v>
      </c>
      <c r="P1464" s="22">
        <v>0.12</v>
      </c>
      <c r="Q1464" s="30">
        <v>21800</v>
      </c>
      <c r="R1464" s="33">
        <f>Table1_1[[#This Row],[Units Sold]]*Table1_1[[#This Row],[Unit Price]]*1-Table1_1[[#This Row],[Discount]]</f>
        <v>703779.88</v>
      </c>
      <c r="S1464" s="33">
        <f>Table1_1[[#This Row],[Units Sold]]*Table1_1[[#This Row],[Unit Cost]]</f>
        <v>479600</v>
      </c>
      <c r="T1464" s="33">
        <f>Table1_1[[#This Row],[Sales Amount]]-S1464</f>
        <v>224179.88</v>
      </c>
      <c r="U1464" s="32">
        <f>IFERROR(Table1_1[[#This Row],[Profit/loss]]/Table1_1[[#This Row],[Sales Amount]],0)</f>
        <v>0.31853692663109379</v>
      </c>
    </row>
    <row r="1465" spans="1:21" ht="18" x14ac:dyDescent="0.35">
      <c r="A1465" s="21" t="s">
        <v>1572</v>
      </c>
      <c r="B1465" s="36">
        <v>46006</v>
      </c>
      <c r="C1465" s="22">
        <f>YEAR(Table1_1[[#This Row],[Order Date]])</f>
        <v>2025</v>
      </c>
      <c r="D1465" s="22" t="str">
        <f>TEXT(Table1_1[[#This Row],[Order Date]],"MMMM")</f>
        <v>December</v>
      </c>
      <c r="E1465" s="22" t="s">
        <v>36</v>
      </c>
      <c r="F1465" s="22" t="s">
        <v>44</v>
      </c>
      <c r="G1465" s="22" t="s">
        <v>60</v>
      </c>
      <c r="H1465" s="22" t="s">
        <v>19</v>
      </c>
      <c r="I1465" s="22" t="s">
        <v>40</v>
      </c>
      <c r="J1465" s="22" t="s">
        <v>64</v>
      </c>
      <c r="K1465" s="22" t="s">
        <v>1619</v>
      </c>
      <c r="L1465" s="22" t="s">
        <v>57</v>
      </c>
      <c r="M1465" s="22" t="s">
        <v>78</v>
      </c>
      <c r="N1465" s="22">
        <v>12</v>
      </c>
      <c r="O1465" s="26">
        <v>1930</v>
      </c>
      <c r="P1465" s="22">
        <v>0.1</v>
      </c>
      <c r="Q1465" s="30">
        <v>1120</v>
      </c>
      <c r="R1465" s="33">
        <f>Table1_1[[#This Row],[Units Sold]]*Table1_1[[#This Row],[Unit Price]]*1-Table1_1[[#This Row],[Discount]]</f>
        <v>23159.9</v>
      </c>
      <c r="S1465" s="33">
        <f>Table1_1[[#This Row],[Units Sold]]*Table1_1[[#This Row],[Unit Cost]]</f>
        <v>13440</v>
      </c>
      <c r="T1465" s="33">
        <f>Table1_1[[#This Row],[Sales Amount]]-S1465</f>
        <v>9719.9000000000015</v>
      </c>
      <c r="U1465" s="32">
        <f>IFERROR(Table1_1[[#This Row],[Profit/loss]]/Table1_1[[#This Row],[Sales Amount]],0)</f>
        <v>0.41968661350005831</v>
      </c>
    </row>
    <row r="1466" spans="1:21" ht="18" x14ac:dyDescent="0.35">
      <c r="A1466" s="21" t="s">
        <v>1573</v>
      </c>
      <c r="B1466" s="36">
        <v>46007</v>
      </c>
      <c r="C1466" s="22">
        <f>YEAR(Table1_1[[#This Row],[Order Date]])</f>
        <v>2025</v>
      </c>
      <c r="D1466" s="22" t="str">
        <f>TEXT(Table1_1[[#This Row],[Order Date]],"MMMM")</f>
        <v>December</v>
      </c>
      <c r="E1466" s="22" t="s">
        <v>48</v>
      </c>
      <c r="F1466" s="22" t="s">
        <v>136</v>
      </c>
      <c r="G1466" s="22" t="s">
        <v>75</v>
      </c>
      <c r="H1466" s="22" t="s">
        <v>39</v>
      </c>
      <c r="I1466" s="22" t="s">
        <v>20</v>
      </c>
      <c r="J1466" s="22" t="s">
        <v>21</v>
      </c>
      <c r="K1466" s="22" t="s">
        <v>51</v>
      </c>
      <c r="L1466" s="22" t="s">
        <v>57</v>
      </c>
      <c r="M1466" s="22" t="s">
        <v>66</v>
      </c>
      <c r="N1466" s="22">
        <v>10</v>
      </c>
      <c r="O1466" s="26">
        <v>5999</v>
      </c>
      <c r="P1466" s="22">
        <v>0.05</v>
      </c>
      <c r="Q1466" s="30">
        <v>3890</v>
      </c>
      <c r="R1466" s="33">
        <f>Table1_1[[#This Row],[Units Sold]]*Table1_1[[#This Row],[Unit Price]]*1-Table1_1[[#This Row],[Discount]]</f>
        <v>59989.95</v>
      </c>
      <c r="S1466" s="33">
        <f>Table1_1[[#This Row],[Units Sold]]*Table1_1[[#This Row],[Unit Cost]]</f>
        <v>38900</v>
      </c>
      <c r="T1466" s="33">
        <f>Table1_1[[#This Row],[Sales Amount]]-S1466</f>
        <v>21089.949999999997</v>
      </c>
      <c r="U1466" s="32">
        <f>IFERROR(Table1_1[[#This Row],[Profit/loss]]/Table1_1[[#This Row],[Sales Amount]],0)</f>
        <v>0.3515580526404839</v>
      </c>
    </row>
    <row r="1467" spans="1:21" ht="18" x14ac:dyDescent="0.35">
      <c r="A1467" s="21" t="s">
        <v>1574</v>
      </c>
      <c r="B1467" s="36">
        <v>46007</v>
      </c>
      <c r="C1467" s="22">
        <f>YEAR(Table1_1[[#This Row],[Order Date]])</f>
        <v>2025</v>
      </c>
      <c r="D1467" s="22" t="str">
        <f>TEXT(Table1_1[[#This Row],[Order Date]],"MMMM")</f>
        <v>December</v>
      </c>
      <c r="E1467" s="22" t="s">
        <v>26</v>
      </c>
      <c r="F1467" s="22" t="s">
        <v>163</v>
      </c>
      <c r="G1467" s="22" t="s">
        <v>18</v>
      </c>
      <c r="H1467" s="22" t="s">
        <v>19</v>
      </c>
      <c r="I1467" s="22" t="s">
        <v>30</v>
      </c>
      <c r="J1467" s="22" t="s">
        <v>31</v>
      </c>
      <c r="K1467" s="22" t="s">
        <v>106</v>
      </c>
      <c r="L1467" s="22" t="s">
        <v>33</v>
      </c>
      <c r="M1467" s="22" t="s">
        <v>78</v>
      </c>
      <c r="N1467" s="22">
        <v>1</v>
      </c>
      <c r="O1467" s="26">
        <v>52990</v>
      </c>
      <c r="P1467" s="22">
        <v>0.18</v>
      </c>
      <c r="Q1467" s="30">
        <v>35100</v>
      </c>
      <c r="R1467" s="33">
        <f>Table1_1[[#This Row],[Units Sold]]*Table1_1[[#This Row],[Unit Price]]*1-Table1_1[[#This Row],[Discount]]</f>
        <v>52989.82</v>
      </c>
      <c r="S1467" s="33">
        <f>Table1_1[[#This Row],[Units Sold]]*Table1_1[[#This Row],[Unit Cost]]</f>
        <v>35100</v>
      </c>
      <c r="T1467" s="33">
        <f>Table1_1[[#This Row],[Sales Amount]]-S1467</f>
        <v>17889.82</v>
      </c>
      <c r="U1467" s="32">
        <f>IFERROR(Table1_1[[#This Row],[Profit/loss]]/Table1_1[[#This Row],[Sales Amount]],0)</f>
        <v>0.3376086199198261</v>
      </c>
    </row>
    <row r="1468" spans="1:21" ht="18" x14ac:dyDescent="0.35">
      <c r="A1468" s="21" t="s">
        <v>1575</v>
      </c>
      <c r="B1468" s="36">
        <v>46008</v>
      </c>
      <c r="C1468" s="22">
        <f>YEAR(Table1_1[[#This Row],[Order Date]])</f>
        <v>2025</v>
      </c>
      <c r="D1468" s="22" t="str">
        <f>TEXT(Table1_1[[#This Row],[Order Date]],"MMMM")</f>
        <v>December</v>
      </c>
      <c r="E1468" s="22" t="s">
        <v>36</v>
      </c>
      <c r="F1468" s="22" t="s">
        <v>44</v>
      </c>
      <c r="G1468" s="22" t="s">
        <v>60</v>
      </c>
      <c r="H1468" s="22" t="s">
        <v>29</v>
      </c>
      <c r="I1468" s="22" t="s">
        <v>40</v>
      </c>
      <c r="J1468" s="22" t="s">
        <v>41</v>
      </c>
      <c r="K1468" s="22" t="s">
        <v>1628</v>
      </c>
      <c r="L1468" s="22" t="s">
        <v>33</v>
      </c>
      <c r="M1468" s="22" t="s">
        <v>24</v>
      </c>
      <c r="N1468" s="22">
        <v>33</v>
      </c>
      <c r="O1468" s="26">
        <v>48500</v>
      </c>
      <c r="P1468" s="22">
        <v>0.05</v>
      </c>
      <c r="Q1468" s="30">
        <v>30200</v>
      </c>
      <c r="R1468" s="33">
        <f>Table1_1[[#This Row],[Units Sold]]*Table1_1[[#This Row],[Unit Price]]*1-Table1_1[[#This Row],[Discount]]</f>
        <v>1600499.95</v>
      </c>
      <c r="S1468" s="33">
        <f>Table1_1[[#This Row],[Units Sold]]*Table1_1[[#This Row],[Unit Cost]]</f>
        <v>996600</v>
      </c>
      <c r="T1468" s="33">
        <f>Table1_1[[#This Row],[Sales Amount]]-S1468</f>
        <v>603899.94999999995</v>
      </c>
      <c r="U1468" s="32">
        <f>IFERROR(Table1_1[[#This Row],[Profit/loss]]/Table1_1[[#This Row],[Sales Amount]],0)</f>
        <v>0.37731956817618145</v>
      </c>
    </row>
    <row r="1469" spans="1:21" ht="18" x14ac:dyDescent="0.35">
      <c r="A1469" s="21" t="s">
        <v>1576</v>
      </c>
      <c r="B1469" s="36">
        <v>46008</v>
      </c>
      <c r="C1469" s="22">
        <f>YEAR(Table1_1[[#This Row],[Order Date]])</f>
        <v>2025</v>
      </c>
      <c r="D1469" s="22" t="str">
        <f>TEXT(Table1_1[[#This Row],[Order Date]],"MMMM")</f>
        <v>December</v>
      </c>
      <c r="E1469" s="22" t="s">
        <v>82</v>
      </c>
      <c r="F1469" s="22" t="s">
        <v>183</v>
      </c>
      <c r="G1469" s="22" t="s">
        <v>18</v>
      </c>
      <c r="H1469" s="22" t="s">
        <v>29</v>
      </c>
      <c r="I1469" s="22" t="s">
        <v>54</v>
      </c>
      <c r="J1469" s="22" t="s">
        <v>90</v>
      </c>
      <c r="K1469" s="22" t="s">
        <v>1631</v>
      </c>
      <c r="L1469" s="22" t="s">
        <v>33</v>
      </c>
      <c r="M1469" s="22" t="s">
        <v>24</v>
      </c>
      <c r="N1469" s="22">
        <v>19</v>
      </c>
      <c r="O1469" s="26">
        <v>29010</v>
      </c>
      <c r="P1469" s="22">
        <v>0.08</v>
      </c>
      <c r="Q1469" s="30">
        <v>19150</v>
      </c>
      <c r="R1469" s="33">
        <f>Table1_1[[#This Row],[Units Sold]]*Table1_1[[#This Row],[Unit Price]]*1-Table1_1[[#This Row],[Discount]]</f>
        <v>551189.92000000004</v>
      </c>
      <c r="S1469" s="33">
        <f>Table1_1[[#This Row],[Units Sold]]*Table1_1[[#This Row],[Unit Cost]]</f>
        <v>363850</v>
      </c>
      <c r="T1469" s="33">
        <f>Table1_1[[#This Row],[Sales Amount]]-S1469</f>
        <v>187339.92000000004</v>
      </c>
      <c r="U1469" s="32">
        <f>IFERROR(Table1_1[[#This Row],[Profit/loss]]/Table1_1[[#This Row],[Sales Amount]],0)</f>
        <v>0.33988270322505176</v>
      </c>
    </row>
    <row r="1470" spans="1:21" ht="18" x14ac:dyDescent="0.35">
      <c r="A1470" s="21" t="s">
        <v>1577</v>
      </c>
      <c r="B1470" s="36">
        <v>46008</v>
      </c>
      <c r="C1470" s="22">
        <f>YEAR(Table1_1[[#This Row],[Order Date]])</f>
        <v>2025</v>
      </c>
      <c r="D1470" s="22" t="str">
        <f>TEXT(Table1_1[[#This Row],[Order Date]],"MMMM")</f>
        <v>December</v>
      </c>
      <c r="E1470" s="22" t="s">
        <v>26</v>
      </c>
      <c r="F1470" s="22" t="s">
        <v>53</v>
      </c>
      <c r="G1470" s="22" t="s">
        <v>69</v>
      </c>
      <c r="H1470" s="22" t="s">
        <v>19</v>
      </c>
      <c r="I1470" s="22" t="s">
        <v>40</v>
      </c>
      <c r="J1470" s="22" t="s">
        <v>41</v>
      </c>
      <c r="K1470" s="22" t="s">
        <v>1624</v>
      </c>
      <c r="L1470" s="22" t="s">
        <v>57</v>
      </c>
      <c r="M1470" s="22" t="s">
        <v>66</v>
      </c>
      <c r="N1470" s="22">
        <v>21</v>
      </c>
      <c r="O1470" s="26">
        <v>48990</v>
      </c>
      <c r="P1470" s="22">
        <v>0.15</v>
      </c>
      <c r="Q1470" s="30">
        <v>30100</v>
      </c>
      <c r="R1470" s="33">
        <f>Table1_1[[#This Row],[Units Sold]]*Table1_1[[#This Row],[Unit Price]]*1-Table1_1[[#This Row],[Discount]]</f>
        <v>1028789.85</v>
      </c>
      <c r="S1470" s="33">
        <f>Table1_1[[#This Row],[Units Sold]]*Table1_1[[#This Row],[Unit Cost]]</f>
        <v>632100</v>
      </c>
      <c r="T1470" s="33">
        <f>Table1_1[[#This Row],[Sales Amount]]-S1470</f>
        <v>396689.85</v>
      </c>
      <c r="U1470" s="32">
        <f>IFERROR(Table1_1[[#This Row],[Profit/loss]]/Table1_1[[#This Row],[Sales Amount]],0)</f>
        <v>0.38558880611040242</v>
      </c>
    </row>
    <row r="1471" spans="1:21" ht="18" x14ac:dyDescent="0.35">
      <c r="A1471" s="21" t="s">
        <v>1578</v>
      </c>
      <c r="B1471" s="36">
        <v>46008</v>
      </c>
      <c r="C1471" s="22">
        <f>YEAR(Table1_1[[#This Row],[Order Date]])</f>
        <v>2025</v>
      </c>
      <c r="D1471" s="22" t="str">
        <f>TEXT(Table1_1[[#This Row],[Order Date]],"MMMM")</f>
        <v>December</v>
      </c>
      <c r="E1471" s="22" t="s">
        <v>16</v>
      </c>
      <c r="F1471" s="22" t="s">
        <v>111</v>
      </c>
      <c r="G1471" s="22" t="s">
        <v>84</v>
      </c>
      <c r="H1471" s="22" t="s">
        <v>29</v>
      </c>
      <c r="I1471" s="22" t="s">
        <v>54</v>
      </c>
      <c r="J1471" s="22" t="s">
        <v>55</v>
      </c>
      <c r="K1471" s="22" t="s">
        <v>56</v>
      </c>
      <c r="L1471" s="22" t="s">
        <v>33</v>
      </c>
      <c r="M1471" s="22" t="s">
        <v>66</v>
      </c>
      <c r="N1471" s="22">
        <v>16</v>
      </c>
      <c r="O1471" s="26">
        <v>7299</v>
      </c>
      <c r="P1471" s="22">
        <v>0.08</v>
      </c>
      <c r="Q1471" s="30">
        <v>5010</v>
      </c>
      <c r="R1471" s="33">
        <f>Table1_1[[#This Row],[Units Sold]]*Table1_1[[#This Row],[Unit Price]]*1-Table1_1[[#This Row],[Discount]]</f>
        <v>116783.92</v>
      </c>
      <c r="S1471" s="33">
        <f>Table1_1[[#This Row],[Units Sold]]*Table1_1[[#This Row],[Unit Cost]]</f>
        <v>80160</v>
      </c>
      <c r="T1471" s="33">
        <f>Table1_1[[#This Row],[Sales Amount]]-S1471</f>
        <v>36623.919999999998</v>
      </c>
      <c r="U1471" s="32">
        <f>IFERROR(Table1_1[[#This Row],[Profit/loss]]/Table1_1[[#This Row],[Sales Amount]],0)</f>
        <v>0.31360413317175856</v>
      </c>
    </row>
    <row r="1472" spans="1:21" ht="18" x14ac:dyDescent="0.35">
      <c r="A1472" s="21" t="s">
        <v>1579</v>
      </c>
      <c r="B1472" s="36">
        <v>46008</v>
      </c>
      <c r="C1472" s="22">
        <f>YEAR(Table1_1[[#This Row],[Order Date]])</f>
        <v>2025</v>
      </c>
      <c r="D1472" s="22" t="str">
        <f>TEXT(Table1_1[[#This Row],[Order Date]],"MMMM")</f>
        <v>December</v>
      </c>
      <c r="E1472" s="22" t="s">
        <v>48</v>
      </c>
      <c r="F1472" s="22" t="s">
        <v>136</v>
      </c>
      <c r="G1472" s="22" t="s">
        <v>50</v>
      </c>
      <c r="H1472" s="22" t="s">
        <v>39</v>
      </c>
      <c r="I1472" s="22" t="s">
        <v>30</v>
      </c>
      <c r="J1472" s="22" t="s">
        <v>61</v>
      </c>
      <c r="K1472" s="22" t="s">
        <v>96</v>
      </c>
      <c r="L1472" s="22" t="s">
        <v>23</v>
      </c>
      <c r="M1472" s="22" t="s">
        <v>24</v>
      </c>
      <c r="N1472" s="22">
        <v>4</v>
      </c>
      <c r="O1472" s="26">
        <v>25110</v>
      </c>
      <c r="P1472" s="22">
        <v>0.05</v>
      </c>
      <c r="Q1472" s="30">
        <v>16730</v>
      </c>
      <c r="R1472" s="33">
        <f>Table1_1[[#This Row],[Units Sold]]*Table1_1[[#This Row],[Unit Price]]*1-Table1_1[[#This Row],[Discount]]</f>
        <v>100439.95</v>
      </c>
      <c r="S1472" s="33">
        <f>Table1_1[[#This Row],[Units Sold]]*Table1_1[[#This Row],[Unit Cost]]</f>
        <v>66920</v>
      </c>
      <c r="T1472" s="33">
        <f>Table1_1[[#This Row],[Sales Amount]]-S1472</f>
        <v>33519.949999999997</v>
      </c>
      <c r="U1472" s="32">
        <f>IFERROR(Table1_1[[#This Row],[Profit/loss]]/Table1_1[[#This Row],[Sales Amount]],0)</f>
        <v>0.3337312493684037</v>
      </c>
    </row>
    <row r="1473" spans="1:21" ht="18" x14ac:dyDescent="0.35">
      <c r="A1473" s="21" t="s">
        <v>1580</v>
      </c>
      <c r="B1473" s="36">
        <v>46010</v>
      </c>
      <c r="C1473" s="22">
        <f>YEAR(Table1_1[[#This Row],[Order Date]])</f>
        <v>2025</v>
      </c>
      <c r="D1473" s="22" t="str">
        <f>TEXT(Table1_1[[#This Row],[Order Date]],"MMMM")</f>
        <v>December</v>
      </c>
      <c r="E1473" s="22" t="s">
        <v>36</v>
      </c>
      <c r="F1473" s="22" t="s">
        <v>44</v>
      </c>
      <c r="G1473" s="22" t="s">
        <v>101</v>
      </c>
      <c r="H1473" s="22" t="s">
        <v>29</v>
      </c>
      <c r="I1473" s="22" t="s">
        <v>54</v>
      </c>
      <c r="J1473" s="22" t="s">
        <v>55</v>
      </c>
      <c r="K1473" s="22" t="s">
        <v>1623</v>
      </c>
      <c r="L1473" s="22" t="s">
        <v>23</v>
      </c>
      <c r="M1473" s="22" t="s">
        <v>24</v>
      </c>
      <c r="N1473" s="22">
        <v>3</v>
      </c>
      <c r="O1473" s="26">
        <v>5890</v>
      </c>
      <c r="P1473" s="22">
        <v>0.2</v>
      </c>
      <c r="Q1473" s="30">
        <v>3980</v>
      </c>
      <c r="R1473" s="33">
        <f>Table1_1[[#This Row],[Units Sold]]*Table1_1[[#This Row],[Unit Price]]*1-Table1_1[[#This Row],[Discount]]</f>
        <v>17669.8</v>
      </c>
      <c r="S1473" s="33">
        <f>Table1_1[[#This Row],[Units Sold]]*Table1_1[[#This Row],[Unit Cost]]</f>
        <v>11940</v>
      </c>
      <c r="T1473" s="33">
        <f>Table1_1[[#This Row],[Sales Amount]]-S1473</f>
        <v>5729.7999999999993</v>
      </c>
      <c r="U1473" s="32">
        <f>IFERROR(Table1_1[[#This Row],[Profit/loss]]/Table1_1[[#This Row],[Sales Amount]],0)</f>
        <v>0.32427078970899498</v>
      </c>
    </row>
    <row r="1474" spans="1:21" ht="18" x14ac:dyDescent="0.35">
      <c r="A1474" s="21" t="s">
        <v>1581</v>
      </c>
      <c r="B1474" s="36">
        <v>46010</v>
      </c>
      <c r="C1474" s="22">
        <f>YEAR(Table1_1[[#This Row],[Order Date]])</f>
        <v>2025</v>
      </c>
      <c r="D1474" s="22" t="str">
        <f>TEXT(Table1_1[[#This Row],[Order Date]],"MMMM")</f>
        <v>December</v>
      </c>
      <c r="E1474" s="22" t="s">
        <v>36</v>
      </c>
      <c r="F1474" s="22" t="s">
        <v>37</v>
      </c>
      <c r="G1474" s="22" t="s">
        <v>60</v>
      </c>
      <c r="H1474" s="22" t="s">
        <v>39</v>
      </c>
      <c r="I1474" s="22" t="s">
        <v>54</v>
      </c>
      <c r="J1474" s="22" t="s">
        <v>129</v>
      </c>
      <c r="K1474" s="22" t="s">
        <v>145</v>
      </c>
      <c r="L1474" s="22" t="s">
        <v>57</v>
      </c>
      <c r="M1474" s="22" t="s">
        <v>24</v>
      </c>
      <c r="N1474" s="22">
        <v>23</v>
      </c>
      <c r="O1474" s="26">
        <v>31490</v>
      </c>
      <c r="P1474" s="22">
        <v>0.12</v>
      </c>
      <c r="Q1474" s="30">
        <v>21300</v>
      </c>
      <c r="R1474" s="33">
        <f>Table1_1[[#This Row],[Units Sold]]*Table1_1[[#This Row],[Unit Price]]*1-Table1_1[[#This Row],[Discount]]</f>
        <v>724269.88</v>
      </c>
      <c r="S1474" s="33">
        <f>Table1_1[[#This Row],[Units Sold]]*Table1_1[[#This Row],[Unit Cost]]</f>
        <v>489900</v>
      </c>
      <c r="T1474" s="33">
        <f>Table1_1[[#This Row],[Sales Amount]]-S1474</f>
        <v>234369.88</v>
      </c>
      <c r="U1474" s="32">
        <f>IFERROR(Table1_1[[#This Row],[Profit/loss]]/Table1_1[[#This Row],[Sales Amount]],0)</f>
        <v>0.32359467992787438</v>
      </c>
    </row>
    <row r="1475" spans="1:21" ht="18" x14ac:dyDescent="0.35">
      <c r="A1475" s="21" t="s">
        <v>1582</v>
      </c>
      <c r="B1475" s="36">
        <v>46011</v>
      </c>
      <c r="C1475" s="22">
        <f>YEAR(Table1_1[[#This Row],[Order Date]])</f>
        <v>2025</v>
      </c>
      <c r="D1475" s="22" t="str">
        <f>TEXT(Table1_1[[#This Row],[Order Date]],"MMMM")</f>
        <v>December</v>
      </c>
      <c r="E1475" s="22" t="s">
        <v>48</v>
      </c>
      <c r="F1475" s="22" t="s">
        <v>93</v>
      </c>
      <c r="G1475" s="22" t="s">
        <v>50</v>
      </c>
      <c r="H1475" s="22" t="s">
        <v>39</v>
      </c>
      <c r="I1475" s="22" t="s">
        <v>54</v>
      </c>
      <c r="J1475" s="22" t="s">
        <v>55</v>
      </c>
      <c r="K1475" s="22" t="s">
        <v>56</v>
      </c>
      <c r="L1475" s="22" t="s">
        <v>23</v>
      </c>
      <c r="M1475" s="22" t="s">
        <v>24</v>
      </c>
      <c r="N1475" s="22">
        <v>16</v>
      </c>
      <c r="O1475" s="26">
        <v>7299</v>
      </c>
      <c r="P1475" s="22">
        <v>0.08</v>
      </c>
      <c r="Q1475" s="30">
        <v>5010</v>
      </c>
      <c r="R1475" s="33">
        <f>Table1_1[[#This Row],[Units Sold]]*Table1_1[[#This Row],[Unit Price]]*1-Table1_1[[#This Row],[Discount]]</f>
        <v>116783.92</v>
      </c>
      <c r="S1475" s="33">
        <f>Table1_1[[#This Row],[Units Sold]]*Table1_1[[#This Row],[Unit Cost]]</f>
        <v>80160</v>
      </c>
      <c r="T1475" s="33">
        <f>Table1_1[[#This Row],[Sales Amount]]-S1475</f>
        <v>36623.919999999998</v>
      </c>
      <c r="U1475" s="32">
        <f>IFERROR(Table1_1[[#This Row],[Profit/loss]]/Table1_1[[#This Row],[Sales Amount]],0)</f>
        <v>0.31360413317175856</v>
      </c>
    </row>
    <row r="1476" spans="1:21" ht="18" x14ac:dyDescent="0.35">
      <c r="A1476" s="21" t="s">
        <v>1583</v>
      </c>
      <c r="B1476" s="36">
        <v>46012</v>
      </c>
      <c r="C1476" s="22">
        <f>YEAR(Table1_1[[#This Row],[Order Date]])</f>
        <v>2025</v>
      </c>
      <c r="D1476" s="22" t="str">
        <f>TEXT(Table1_1[[#This Row],[Order Date]],"MMMM")</f>
        <v>December</v>
      </c>
      <c r="E1476" s="22" t="s">
        <v>26</v>
      </c>
      <c r="F1476" s="22" t="s">
        <v>163</v>
      </c>
      <c r="G1476" s="22" t="s">
        <v>18</v>
      </c>
      <c r="H1476" s="22" t="s">
        <v>39</v>
      </c>
      <c r="I1476" s="22" t="s">
        <v>30</v>
      </c>
      <c r="J1476" s="22" t="s">
        <v>31</v>
      </c>
      <c r="K1476" s="22" t="s">
        <v>85</v>
      </c>
      <c r="L1476" s="22" t="s">
        <v>57</v>
      </c>
      <c r="M1476" s="22" t="s">
        <v>78</v>
      </c>
      <c r="N1476" s="22">
        <v>22</v>
      </c>
      <c r="O1476" s="26">
        <v>43500</v>
      </c>
      <c r="P1476" s="22">
        <v>0.05</v>
      </c>
      <c r="Q1476" s="30">
        <v>29520</v>
      </c>
      <c r="R1476" s="33">
        <f>Table1_1[[#This Row],[Units Sold]]*Table1_1[[#This Row],[Unit Price]]*1-Table1_1[[#This Row],[Discount]]</f>
        <v>956999.95</v>
      </c>
      <c r="S1476" s="33">
        <f>Table1_1[[#This Row],[Units Sold]]*Table1_1[[#This Row],[Unit Cost]]</f>
        <v>649440</v>
      </c>
      <c r="T1476" s="33">
        <f>Table1_1[[#This Row],[Sales Amount]]-S1476</f>
        <v>307559.94999999995</v>
      </c>
      <c r="U1476" s="32">
        <f>IFERROR(Table1_1[[#This Row],[Profit/loss]]/Table1_1[[#This Row],[Sales Amount]],0)</f>
        <v>0.32137927488919926</v>
      </c>
    </row>
    <row r="1477" spans="1:21" ht="18" x14ac:dyDescent="0.35">
      <c r="A1477" s="21" t="s">
        <v>1584</v>
      </c>
      <c r="B1477" s="36">
        <v>46013</v>
      </c>
      <c r="C1477" s="22">
        <f>YEAR(Table1_1[[#This Row],[Order Date]])</f>
        <v>2025</v>
      </c>
      <c r="D1477" s="22" t="str">
        <f>TEXT(Table1_1[[#This Row],[Order Date]],"MMMM")</f>
        <v>December</v>
      </c>
      <c r="E1477" s="22" t="s">
        <v>36</v>
      </c>
      <c r="F1477" s="22" t="s">
        <v>44</v>
      </c>
      <c r="G1477" s="22" t="s">
        <v>38</v>
      </c>
      <c r="H1477" s="22" t="s">
        <v>19</v>
      </c>
      <c r="I1477" s="22" t="s">
        <v>20</v>
      </c>
      <c r="J1477" s="22" t="s">
        <v>45</v>
      </c>
      <c r="K1477" s="22" t="s">
        <v>1618</v>
      </c>
      <c r="L1477" s="22" t="s">
        <v>57</v>
      </c>
      <c r="M1477" s="22" t="s">
        <v>66</v>
      </c>
      <c r="N1477" s="22">
        <v>24</v>
      </c>
      <c r="O1477" s="26">
        <v>1899</v>
      </c>
      <c r="P1477" s="22">
        <v>0.15</v>
      </c>
      <c r="Q1477" s="30">
        <v>1080</v>
      </c>
      <c r="R1477" s="33">
        <f>Table1_1[[#This Row],[Units Sold]]*Table1_1[[#This Row],[Unit Price]]*1-Table1_1[[#This Row],[Discount]]</f>
        <v>45575.85</v>
      </c>
      <c r="S1477" s="33">
        <f>Table1_1[[#This Row],[Units Sold]]*Table1_1[[#This Row],[Unit Cost]]</f>
        <v>25920</v>
      </c>
      <c r="T1477" s="33">
        <f>Table1_1[[#This Row],[Sales Amount]]-S1477</f>
        <v>19655.849999999999</v>
      </c>
      <c r="U1477" s="32">
        <f>IFERROR(Table1_1[[#This Row],[Profit/loss]]/Table1_1[[#This Row],[Sales Amount]],0)</f>
        <v>0.43127774907105404</v>
      </c>
    </row>
    <row r="1478" spans="1:21" ht="18" x14ac:dyDescent="0.35">
      <c r="A1478" s="21" t="s">
        <v>1585</v>
      </c>
      <c r="B1478" s="36">
        <v>46013</v>
      </c>
      <c r="C1478" s="22">
        <f>YEAR(Table1_1[[#This Row],[Order Date]])</f>
        <v>2025</v>
      </c>
      <c r="D1478" s="22" t="str">
        <f>TEXT(Table1_1[[#This Row],[Order Date]],"MMMM")</f>
        <v>December</v>
      </c>
      <c r="E1478" s="22" t="s">
        <v>48</v>
      </c>
      <c r="F1478" s="22" t="s">
        <v>68</v>
      </c>
      <c r="G1478" s="22" t="s">
        <v>69</v>
      </c>
      <c r="H1478" s="22" t="s">
        <v>29</v>
      </c>
      <c r="I1478" s="22" t="s">
        <v>54</v>
      </c>
      <c r="J1478" s="22" t="s">
        <v>90</v>
      </c>
      <c r="K1478" s="22" t="s">
        <v>1625</v>
      </c>
      <c r="L1478" s="22" t="s">
        <v>33</v>
      </c>
      <c r="M1478" s="22" t="s">
        <v>24</v>
      </c>
      <c r="N1478" s="22">
        <v>13</v>
      </c>
      <c r="O1478" s="26">
        <v>32800</v>
      </c>
      <c r="P1478" s="22">
        <v>0.08</v>
      </c>
      <c r="Q1478" s="30">
        <v>23100</v>
      </c>
      <c r="R1478" s="33">
        <f>Table1_1[[#This Row],[Units Sold]]*Table1_1[[#This Row],[Unit Price]]*1-Table1_1[[#This Row],[Discount]]</f>
        <v>426399.92</v>
      </c>
      <c r="S1478" s="33">
        <f>Table1_1[[#This Row],[Units Sold]]*Table1_1[[#This Row],[Unit Cost]]</f>
        <v>300300</v>
      </c>
      <c r="T1478" s="33">
        <f>Table1_1[[#This Row],[Sales Amount]]-S1478</f>
        <v>126099.91999999998</v>
      </c>
      <c r="U1478" s="32">
        <f>IFERROR(Table1_1[[#This Row],[Profit/loss]]/Table1_1[[#This Row],[Sales Amount]],0)</f>
        <v>0.29573157518416043</v>
      </c>
    </row>
    <row r="1479" spans="1:21" ht="18" x14ac:dyDescent="0.35">
      <c r="A1479" s="21" t="s">
        <v>1586</v>
      </c>
      <c r="B1479" s="36">
        <v>46013</v>
      </c>
      <c r="C1479" s="22">
        <f>YEAR(Table1_1[[#This Row],[Order Date]])</f>
        <v>2025</v>
      </c>
      <c r="D1479" s="22" t="str">
        <f>TEXT(Table1_1[[#This Row],[Order Date]],"MMMM")</f>
        <v>December</v>
      </c>
      <c r="E1479" s="22" t="s">
        <v>16</v>
      </c>
      <c r="F1479" s="22" t="s">
        <v>17</v>
      </c>
      <c r="G1479" s="22" t="s">
        <v>50</v>
      </c>
      <c r="H1479" s="22" t="s">
        <v>39</v>
      </c>
      <c r="I1479" s="22" t="s">
        <v>30</v>
      </c>
      <c r="J1479" s="22" t="s">
        <v>31</v>
      </c>
      <c r="K1479" s="22" t="s">
        <v>106</v>
      </c>
      <c r="L1479" s="22" t="s">
        <v>57</v>
      </c>
      <c r="M1479" s="22" t="s">
        <v>66</v>
      </c>
      <c r="N1479" s="22">
        <v>19</v>
      </c>
      <c r="O1479" s="26">
        <v>52990</v>
      </c>
      <c r="P1479" s="22">
        <v>0.08</v>
      </c>
      <c r="Q1479" s="30">
        <v>35100</v>
      </c>
      <c r="R1479" s="33">
        <f>Table1_1[[#This Row],[Units Sold]]*Table1_1[[#This Row],[Unit Price]]*1-Table1_1[[#This Row],[Discount]]</f>
        <v>1006809.92</v>
      </c>
      <c r="S1479" s="33">
        <f>Table1_1[[#This Row],[Units Sold]]*Table1_1[[#This Row],[Unit Cost]]</f>
        <v>666900</v>
      </c>
      <c r="T1479" s="33">
        <f>Table1_1[[#This Row],[Sales Amount]]-S1479</f>
        <v>339909.92000000004</v>
      </c>
      <c r="U1479" s="32">
        <f>IFERROR(Table1_1[[#This Row],[Profit/loss]]/Table1_1[[#This Row],[Sales Amount]],0)</f>
        <v>0.33761081734276122</v>
      </c>
    </row>
    <row r="1480" spans="1:21" ht="18" x14ac:dyDescent="0.35">
      <c r="A1480" s="21" t="s">
        <v>1587</v>
      </c>
      <c r="B1480" s="36">
        <v>46013</v>
      </c>
      <c r="C1480" s="22">
        <f>YEAR(Table1_1[[#This Row],[Order Date]])</f>
        <v>2025</v>
      </c>
      <c r="D1480" s="22" t="str">
        <f>TEXT(Table1_1[[#This Row],[Order Date]],"MMMM")</f>
        <v>December</v>
      </c>
      <c r="E1480" s="22" t="s">
        <v>16</v>
      </c>
      <c r="F1480" s="22" t="s">
        <v>98</v>
      </c>
      <c r="G1480" s="22" t="s">
        <v>60</v>
      </c>
      <c r="H1480" s="22" t="s">
        <v>29</v>
      </c>
      <c r="I1480" s="22" t="s">
        <v>54</v>
      </c>
      <c r="J1480" s="22" t="s">
        <v>129</v>
      </c>
      <c r="K1480" s="22" t="s">
        <v>1630</v>
      </c>
      <c r="L1480" s="22" t="s">
        <v>33</v>
      </c>
      <c r="M1480" s="22" t="s">
        <v>78</v>
      </c>
      <c r="N1480" s="22">
        <v>10</v>
      </c>
      <c r="O1480" s="26">
        <v>29010</v>
      </c>
      <c r="P1480" s="22">
        <v>0.08</v>
      </c>
      <c r="Q1480" s="30">
        <v>19100</v>
      </c>
      <c r="R1480" s="33">
        <f>Table1_1[[#This Row],[Units Sold]]*Table1_1[[#This Row],[Unit Price]]*1-Table1_1[[#This Row],[Discount]]</f>
        <v>290099.92</v>
      </c>
      <c r="S1480" s="33">
        <f>Table1_1[[#This Row],[Units Sold]]*Table1_1[[#This Row],[Unit Cost]]</f>
        <v>191000</v>
      </c>
      <c r="T1480" s="33">
        <f>Table1_1[[#This Row],[Sales Amount]]-S1480</f>
        <v>99099.919999999984</v>
      </c>
      <c r="U1480" s="32">
        <f>IFERROR(Table1_1[[#This Row],[Profit/loss]]/Table1_1[[#This Row],[Sales Amount]],0)</f>
        <v>0.34160616107719022</v>
      </c>
    </row>
    <row r="1481" spans="1:21" ht="18" x14ac:dyDescent="0.35">
      <c r="A1481" s="21" t="s">
        <v>1588</v>
      </c>
      <c r="B1481" s="36">
        <v>46014</v>
      </c>
      <c r="C1481" s="22">
        <f>YEAR(Table1_1[[#This Row],[Order Date]])</f>
        <v>2025</v>
      </c>
      <c r="D1481" s="22" t="str">
        <f>TEXT(Table1_1[[#This Row],[Order Date]],"MMMM")</f>
        <v>December</v>
      </c>
      <c r="E1481" s="22" t="s">
        <v>16</v>
      </c>
      <c r="F1481" s="22" t="s">
        <v>98</v>
      </c>
      <c r="G1481" s="22" t="s">
        <v>50</v>
      </c>
      <c r="H1481" s="22" t="s">
        <v>19</v>
      </c>
      <c r="I1481" s="22" t="s">
        <v>40</v>
      </c>
      <c r="J1481" s="22" t="s">
        <v>64</v>
      </c>
      <c r="K1481" s="22" t="s">
        <v>1629</v>
      </c>
      <c r="L1481" s="22" t="s">
        <v>23</v>
      </c>
      <c r="M1481" s="22" t="s">
        <v>34</v>
      </c>
      <c r="N1481" s="22">
        <v>26</v>
      </c>
      <c r="O1481" s="26">
        <v>3299</v>
      </c>
      <c r="P1481" s="22">
        <v>0.05</v>
      </c>
      <c r="Q1481" s="30">
        <v>2050</v>
      </c>
      <c r="R1481" s="33">
        <f>Table1_1[[#This Row],[Units Sold]]*Table1_1[[#This Row],[Unit Price]]*1-Table1_1[[#This Row],[Discount]]</f>
        <v>85773.95</v>
      </c>
      <c r="S1481" s="33">
        <f>Table1_1[[#This Row],[Units Sold]]*Table1_1[[#This Row],[Unit Cost]]</f>
        <v>53300</v>
      </c>
      <c r="T1481" s="33">
        <f>Table1_1[[#This Row],[Sales Amount]]-S1481</f>
        <v>32473.949999999997</v>
      </c>
      <c r="U1481" s="32">
        <f>IFERROR(Table1_1[[#This Row],[Profit/loss]]/Table1_1[[#This Row],[Sales Amount]],0)</f>
        <v>0.37859921339754082</v>
      </c>
    </row>
    <row r="1482" spans="1:21" ht="18" x14ac:dyDescent="0.35">
      <c r="A1482" s="21" t="s">
        <v>1589</v>
      </c>
      <c r="B1482" s="36">
        <v>46014</v>
      </c>
      <c r="C1482" s="22">
        <f>YEAR(Table1_1[[#This Row],[Order Date]])</f>
        <v>2025</v>
      </c>
      <c r="D1482" s="22" t="str">
        <f>TEXT(Table1_1[[#This Row],[Order Date]],"MMMM")</f>
        <v>December</v>
      </c>
      <c r="E1482" s="22" t="s">
        <v>48</v>
      </c>
      <c r="F1482" s="22" t="s">
        <v>49</v>
      </c>
      <c r="G1482" s="22" t="s">
        <v>18</v>
      </c>
      <c r="H1482" s="22" t="s">
        <v>39</v>
      </c>
      <c r="I1482" s="22" t="s">
        <v>30</v>
      </c>
      <c r="J1482" s="22" t="s">
        <v>31</v>
      </c>
      <c r="K1482" s="22" t="s">
        <v>106</v>
      </c>
      <c r="L1482" s="22" t="s">
        <v>23</v>
      </c>
      <c r="M1482" s="22" t="s">
        <v>24</v>
      </c>
      <c r="N1482" s="22">
        <v>26</v>
      </c>
      <c r="O1482" s="26">
        <v>52990</v>
      </c>
      <c r="P1482" s="22">
        <v>0.15</v>
      </c>
      <c r="Q1482" s="30">
        <v>35100</v>
      </c>
      <c r="R1482" s="33">
        <f>Table1_1[[#This Row],[Units Sold]]*Table1_1[[#This Row],[Unit Price]]*1-Table1_1[[#This Row],[Discount]]</f>
        <v>1377739.85</v>
      </c>
      <c r="S1482" s="33">
        <f>Table1_1[[#This Row],[Units Sold]]*Table1_1[[#This Row],[Unit Cost]]</f>
        <v>912600</v>
      </c>
      <c r="T1482" s="33">
        <f>Table1_1[[#This Row],[Sales Amount]]-S1482</f>
        <v>465139.85000000009</v>
      </c>
      <c r="U1482" s="32">
        <f>IFERROR(Table1_1[[#This Row],[Profit/loss]]/Table1_1[[#This Row],[Sales Amount]],0)</f>
        <v>0.33761079785853626</v>
      </c>
    </row>
    <row r="1483" spans="1:21" ht="18" x14ac:dyDescent="0.35">
      <c r="A1483" s="21" t="s">
        <v>1590</v>
      </c>
      <c r="B1483" s="36">
        <v>46014</v>
      </c>
      <c r="C1483" s="22">
        <f>YEAR(Table1_1[[#This Row],[Order Date]])</f>
        <v>2025</v>
      </c>
      <c r="D1483" s="22" t="str">
        <f>TEXT(Table1_1[[#This Row],[Order Date]],"MMMM")</f>
        <v>December</v>
      </c>
      <c r="E1483" s="22" t="s">
        <v>26</v>
      </c>
      <c r="F1483" s="22" t="s">
        <v>74</v>
      </c>
      <c r="G1483" s="22" t="s">
        <v>69</v>
      </c>
      <c r="H1483" s="22" t="s">
        <v>19</v>
      </c>
      <c r="I1483" s="22" t="s">
        <v>54</v>
      </c>
      <c r="J1483" s="22" t="s">
        <v>90</v>
      </c>
      <c r="K1483" s="22" t="s">
        <v>1631</v>
      </c>
      <c r="L1483" s="22" t="s">
        <v>23</v>
      </c>
      <c r="M1483" s="22" t="s">
        <v>24</v>
      </c>
      <c r="N1483" s="22">
        <v>26</v>
      </c>
      <c r="O1483" s="26">
        <v>29010</v>
      </c>
      <c r="P1483" s="22">
        <v>0.05</v>
      </c>
      <c r="Q1483" s="30">
        <v>19150</v>
      </c>
      <c r="R1483" s="33">
        <f>Table1_1[[#This Row],[Units Sold]]*Table1_1[[#This Row],[Unit Price]]*1-Table1_1[[#This Row],[Discount]]</f>
        <v>754259.95</v>
      </c>
      <c r="S1483" s="33">
        <f>Table1_1[[#This Row],[Units Sold]]*Table1_1[[#This Row],[Unit Cost]]</f>
        <v>497900</v>
      </c>
      <c r="T1483" s="33">
        <f>Table1_1[[#This Row],[Sales Amount]]-S1483</f>
        <v>256359.94999999995</v>
      </c>
      <c r="U1483" s="32">
        <f>IFERROR(Table1_1[[#This Row],[Profit/loss]]/Table1_1[[#This Row],[Sales Amount]],0)</f>
        <v>0.33988275527555184</v>
      </c>
    </row>
    <row r="1484" spans="1:21" ht="18" x14ac:dyDescent="0.35">
      <c r="A1484" s="21" t="s">
        <v>1591</v>
      </c>
      <c r="B1484" s="36">
        <v>46015</v>
      </c>
      <c r="C1484" s="22">
        <f>YEAR(Table1_1[[#This Row],[Order Date]])</f>
        <v>2025</v>
      </c>
      <c r="D1484" s="22" t="str">
        <f>TEXT(Table1_1[[#This Row],[Order Date]],"MMMM")</f>
        <v>December</v>
      </c>
      <c r="E1484" s="22" t="s">
        <v>82</v>
      </c>
      <c r="F1484" s="22" t="s">
        <v>87</v>
      </c>
      <c r="G1484" s="22" t="s">
        <v>101</v>
      </c>
      <c r="H1484" s="22" t="s">
        <v>19</v>
      </c>
      <c r="I1484" s="22" t="s">
        <v>70</v>
      </c>
      <c r="J1484" s="22" t="s">
        <v>71</v>
      </c>
      <c r="K1484" s="22" t="s">
        <v>88</v>
      </c>
      <c r="L1484" s="22" t="s">
        <v>33</v>
      </c>
      <c r="M1484" s="22" t="s">
        <v>78</v>
      </c>
      <c r="N1484" s="22">
        <v>18</v>
      </c>
      <c r="O1484" s="26">
        <v>999</v>
      </c>
      <c r="P1484" s="22">
        <v>0.1</v>
      </c>
      <c r="Q1484" s="30">
        <v>540</v>
      </c>
      <c r="R1484" s="33">
        <f>Table1_1[[#This Row],[Units Sold]]*Table1_1[[#This Row],[Unit Price]]*1-Table1_1[[#This Row],[Discount]]</f>
        <v>17981.900000000001</v>
      </c>
      <c r="S1484" s="33">
        <f>Table1_1[[#This Row],[Units Sold]]*Table1_1[[#This Row],[Unit Cost]]</f>
        <v>9720</v>
      </c>
      <c r="T1484" s="33">
        <f>Table1_1[[#This Row],[Sales Amount]]-S1484</f>
        <v>8261.9000000000015</v>
      </c>
      <c r="U1484" s="32">
        <f>IFERROR(Table1_1[[#This Row],[Profit/loss]]/Table1_1[[#This Row],[Sales Amount]],0)</f>
        <v>0.45945645343373065</v>
      </c>
    </row>
    <row r="1485" spans="1:21" ht="18" x14ac:dyDescent="0.35">
      <c r="A1485" s="21" t="s">
        <v>1592</v>
      </c>
      <c r="B1485" s="36">
        <v>46016</v>
      </c>
      <c r="C1485" s="22">
        <f>YEAR(Table1_1[[#This Row],[Order Date]])</f>
        <v>2025</v>
      </c>
      <c r="D1485" s="22" t="str">
        <f>TEXT(Table1_1[[#This Row],[Order Date]],"MMMM")</f>
        <v>December</v>
      </c>
      <c r="E1485" s="22" t="s">
        <v>48</v>
      </c>
      <c r="F1485" s="22" t="s">
        <v>49</v>
      </c>
      <c r="G1485" s="22" t="s">
        <v>28</v>
      </c>
      <c r="H1485" s="22" t="s">
        <v>39</v>
      </c>
      <c r="I1485" s="22" t="s">
        <v>20</v>
      </c>
      <c r="J1485" s="22" t="s">
        <v>21</v>
      </c>
      <c r="K1485" s="22" t="s">
        <v>115</v>
      </c>
      <c r="L1485" s="22" t="s">
        <v>23</v>
      </c>
      <c r="M1485" s="22" t="s">
        <v>24</v>
      </c>
      <c r="N1485" s="22">
        <v>34</v>
      </c>
      <c r="O1485" s="26">
        <v>6499</v>
      </c>
      <c r="P1485" s="22">
        <v>0.1</v>
      </c>
      <c r="Q1485" s="30">
        <v>4210</v>
      </c>
      <c r="R1485" s="33">
        <f>Table1_1[[#This Row],[Units Sold]]*Table1_1[[#This Row],[Unit Price]]*1-Table1_1[[#This Row],[Discount]]</f>
        <v>220965.9</v>
      </c>
      <c r="S1485" s="33">
        <f>Table1_1[[#This Row],[Units Sold]]*Table1_1[[#This Row],[Unit Cost]]</f>
        <v>143140</v>
      </c>
      <c r="T1485" s="33">
        <f>Table1_1[[#This Row],[Sales Amount]]-S1485</f>
        <v>77825.899999999994</v>
      </c>
      <c r="U1485" s="32">
        <f>IFERROR(Table1_1[[#This Row],[Profit/loss]]/Table1_1[[#This Row],[Sales Amount]],0)</f>
        <v>0.35220773884115147</v>
      </c>
    </row>
    <row r="1486" spans="1:21" ht="18" x14ac:dyDescent="0.35">
      <c r="A1486" s="21" t="s">
        <v>1593</v>
      </c>
      <c r="B1486" s="36">
        <v>46016</v>
      </c>
      <c r="C1486" s="22">
        <f>YEAR(Table1_1[[#This Row],[Order Date]])</f>
        <v>2025</v>
      </c>
      <c r="D1486" s="22" t="str">
        <f>TEXT(Table1_1[[#This Row],[Order Date]],"MMMM")</f>
        <v>December</v>
      </c>
      <c r="E1486" s="22" t="s">
        <v>48</v>
      </c>
      <c r="F1486" s="22" t="s">
        <v>49</v>
      </c>
      <c r="G1486" s="22" t="s">
        <v>50</v>
      </c>
      <c r="H1486" s="22" t="s">
        <v>19</v>
      </c>
      <c r="I1486" s="22" t="s">
        <v>54</v>
      </c>
      <c r="J1486" s="22" t="s">
        <v>55</v>
      </c>
      <c r="K1486" s="22" t="s">
        <v>1623</v>
      </c>
      <c r="L1486" s="22" t="s">
        <v>33</v>
      </c>
      <c r="M1486" s="22" t="s">
        <v>24</v>
      </c>
      <c r="N1486" s="22">
        <v>15</v>
      </c>
      <c r="O1486" s="26">
        <v>5890</v>
      </c>
      <c r="P1486" s="22">
        <v>0.15</v>
      </c>
      <c r="Q1486" s="30">
        <v>3980</v>
      </c>
      <c r="R1486" s="33">
        <f>Table1_1[[#This Row],[Units Sold]]*Table1_1[[#This Row],[Unit Price]]*1-Table1_1[[#This Row],[Discount]]</f>
        <v>88349.85</v>
      </c>
      <c r="S1486" s="33">
        <f>Table1_1[[#This Row],[Units Sold]]*Table1_1[[#This Row],[Unit Cost]]</f>
        <v>59700</v>
      </c>
      <c r="T1486" s="33">
        <f>Table1_1[[#This Row],[Sales Amount]]-S1486</f>
        <v>28649.850000000006</v>
      </c>
      <c r="U1486" s="32">
        <f>IFERROR(Table1_1[[#This Row],[Profit/loss]]/Table1_1[[#This Row],[Sales Amount]],0)</f>
        <v>0.32427729079336304</v>
      </c>
    </row>
    <row r="1487" spans="1:21" ht="18" x14ac:dyDescent="0.35">
      <c r="A1487" s="21" t="s">
        <v>1594</v>
      </c>
      <c r="B1487" s="36">
        <v>46017</v>
      </c>
      <c r="C1487" s="22">
        <f>YEAR(Table1_1[[#This Row],[Order Date]])</f>
        <v>2025</v>
      </c>
      <c r="D1487" s="22" t="str">
        <f>TEXT(Table1_1[[#This Row],[Order Date]],"MMMM")</f>
        <v>December</v>
      </c>
      <c r="E1487" s="22" t="s">
        <v>82</v>
      </c>
      <c r="F1487" s="22" t="s">
        <v>100</v>
      </c>
      <c r="G1487" s="22" t="s">
        <v>38</v>
      </c>
      <c r="H1487" s="22" t="s">
        <v>39</v>
      </c>
      <c r="I1487" s="22" t="s">
        <v>30</v>
      </c>
      <c r="J1487" s="22" t="s">
        <v>61</v>
      </c>
      <c r="K1487" s="22" t="s">
        <v>96</v>
      </c>
      <c r="L1487" s="22" t="s">
        <v>57</v>
      </c>
      <c r="M1487" s="22" t="s">
        <v>24</v>
      </c>
      <c r="N1487" s="22">
        <v>37</v>
      </c>
      <c r="O1487" s="26">
        <v>25110</v>
      </c>
      <c r="P1487" s="22">
        <v>0.15</v>
      </c>
      <c r="Q1487" s="30">
        <v>16730</v>
      </c>
      <c r="R1487" s="33">
        <f>Table1_1[[#This Row],[Units Sold]]*Table1_1[[#This Row],[Unit Price]]*1-Table1_1[[#This Row],[Discount]]</f>
        <v>929069.85</v>
      </c>
      <c r="S1487" s="33">
        <f>Table1_1[[#This Row],[Units Sold]]*Table1_1[[#This Row],[Unit Cost]]</f>
        <v>619010</v>
      </c>
      <c r="T1487" s="33">
        <f>Table1_1[[#This Row],[Sales Amount]]-S1487</f>
        <v>310059.84999999998</v>
      </c>
      <c r="U1487" s="32">
        <f>IFERROR(Table1_1[[#This Row],[Profit/loss]]/Table1_1[[#This Row],[Sales Amount]],0)</f>
        <v>0.33373147347317317</v>
      </c>
    </row>
    <row r="1488" spans="1:21" ht="18" x14ac:dyDescent="0.35">
      <c r="A1488" s="21" t="s">
        <v>1595</v>
      </c>
      <c r="B1488" s="36">
        <v>46017</v>
      </c>
      <c r="C1488" s="22">
        <f>YEAR(Table1_1[[#This Row],[Order Date]])</f>
        <v>2025</v>
      </c>
      <c r="D1488" s="22" t="str">
        <f>TEXT(Table1_1[[#This Row],[Order Date]],"MMMM")</f>
        <v>December</v>
      </c>
      <c r="E1488" s="22" t="s">
        <v>16</v>
      </c>
      <c r="F1488" s="22" t="s">
        <v>126</v>
      </c>
      <c r="G1488" s="22" t="s">
        <v>105</v>
      </c>
      <c r="H1488" s="22" t="s">
        <v>19</v>
      </c>
      <c r="I1488" s="22" t="s">
        <v>54</v>
      </c>
      <c r="J1488" s="22" t="s">
        <v>90</v>
      </c>
      <c r="K1488" s="22" t="s">
        <v>1621</v>
      </c>
      <c r="L1488" s="22" t="s">
        <v>57</v>
      </c>
      <c r="M1488" s="22" t="s">
        <v>24</v>
      </c>
      <c r="N1488" s="22">
        <v>9</v>
      </c>
      <c r="O1488" s="26">
        <v>31990</v>
      </c>
      <c r="P1488" s="22">
        <v>0.1</v>
      </c>
      <c r="Q1488" s="30">
        <v>21800</v>
      </c>
      <c r="R1488" s="33">
        <f>Table1_1[[#This Row],[Units Sold]]*Table1_1[[#This Row],[Unit Price]]*1-Table1_1[[#This Row],[Discount]]</f>
        <v>287909.90000000002</v>
      </c>
      <c r="S1488" s="33">
        <f>Table1_1[[#This Row],[Units Sold]]*Table1_1[[#This Row],[Unit Cost]]</f>
        <v>196200</v>
      </c>
      <c r="T1488" s="33">
        <f>Table1_1[[#This Row],[Sales Amount]]-S1488</f>
        <v>91709.900000000023</v>
      </c>
      <c r="U1488" s="32">
        <f>IFERROR(Table1_1[[#This Row],[Profit/loss]]/Table1_1[[#This Row],[Sales Amount]],0)</f>
        <v>0.31853680613275198</v>
      </c>
    </row>
    <row r="1489" spans="1:21" ht="18" x14ac:dyDescent="0.35">
      <c r="A1489" s="21" t="s">
        <v>1596</v>
      </c>
      <c r="B1489" s="36">
        <v>46017</v>
      </c>
      <c r="C1489" s="22">
        <f>YEAR(Table1_1[[#This Row],[Order Date]])</f>
        <v>2025</v>
      </c>
      <c r="D1489" s="22" t="str">
        <f>TEXT(Table1_1[[#This Row],[Order Date]],"MMMM")</f>
        <v>December</v>
      </c>
      <c r="E1489" s="22" t="s">
        <v>82</v>
      </c>
      <c r="F1489" s="22" t="s">
        <v>100</v>
      </c>
      <c r="G1489" s="22" t="s">
        <v>84</v>
      </c>
      <c r="H1489" s="22" t="s">
        <v>39</v>
      </c>
      <c r="I1489" s="22" t="s">
        <v>20</v>
      </c>
      <c r="J1489" s="22" t="s">
        <v>45</v>
      </c>
      <c r="K1489" s="22" t="s">
        <v>1618</v>
      </c>
      <c r="L1489" s="22" t="s">
        <v>23</v>
      </c>
      <c r="M1489" s="22" t="s">
        <v>24</v>
      </c>
      <c r="N1489" s="22">
        <v>23</v>
      </c>
      <c r="O1489" s="26">
        <v>1899</v>
      </c>
      <c r="P1489" s="22">
        <v>0.18</v>
      </c>
      <c r="Q1489" s="30">
        <v>1080</v>
      </c>
      <c r="R1489" s="33">
        <f>Table1_1[[#This Row],[Units Sold]]*Table1_1[[#This Row],[Unit Price]]*1-Table1_1[[#This Row],[Discount]]</f>
        <v>43676.82</v>
      </c>
      <c r="S1489" s="33">
        <f>Table1_1[[#This Row],[Units Sold]]*Table1_1[[#This Row],[Unit Cost]]</f>
        <v>24840</v>
      </c>
      <c r="T1489" s="33">
        <f>Table1_1[[#This Row],[Sales Amount]]-S1489</f>
        <v>18836.82</v>
      </c>
      <c r="U1489" s="32">
        <f>IFERROR(Table1_1[[#This Row],[Profit/loss]]/Table1_1[[#This Row],[Sales Amount]],0)</f>
        <v>0.43127727705451085</v>
      </c>
    </row>
    <row r="1490" spans="1:21" ht="18" x14ac:dyDescent="0.35">
      <c r="A1490" s="21" t="s">
        <v>1597</v>
      </c>
      <c r="B1490" s="36">
        <v>46018</v>
      </c>
      <c r="C1490" s="22">
        <f>YEAR(Table1_1[[#This Row],[Order Date]])</f>
        <v>2025</v>
      </c>
      <c r="D1490" s="22" t="str">
        <f>TEXT(Table1_1[[#This Row],[Order Date]],"MMMM")</f>
        <v>December</v>
      </c>
      <c r="E1490" s="22" t="s">
        <v>82</v>
      </c>
      <c r="F1490" s="22" t="s">
        <v>183</v>
      </c>
      <c r="G1490" s="22" t="s">
        <v>50</v>
      </c>
      <c r="H1490" s="22" t="s">
        <v>19</v>
      </c>
      <c r="I1490" s="22" t="s">
        <v>40</v>
      </c>
      <c r="J1490" s="22" t="s">
        <v>41</v>
      </c>
      <c r="K1490" s="22" t="s">
        <v>1624</v>
      </c>
      <c r="L1490" s="22" t="s">
        <v>33</v>
      </c>
      <c r="M1490" s="22" t="s">
        <v>34</v>
      </c>
      <c r="N1490" s="22">
        <v>36</v>
      </c>
      <c r="O1490" s="26">
        <v>48990</v>
      </c>
      <c r="P1490" s="22">
        <v>0.18</v>
      </c>
      <c r="Q1490" s="30">
        <v>30100</v>
      </c>
      <c r="R1490" s="33">
        <f>Table1_1[[#This Row],[Units Sold]]*Table1_1[[#This Row],[Unit Price]]*1-Table1_1[[#This Row],[Discount]]</f>
        <v>1763639.82</v>
      </c>
      <c r="S1490" s="33">
        <f>Table1_1[[#This Row],[Units Sold]]*Table1_1[[#This Row],[Unit Cost]]</f>
        <v>1083600</v>
      </c>
      <c r="T1490" s="33">
        <f>Table1_1[[#This Row],[Sales Amount]]-S1490</f>
        <v>680039.82000000007</v>
      </c>
      <c r="U1490" s="32">
        <f>IFERROR(Table1_1[[#This Row],[Profit/loss]]/Table1_1[[#This Row],[Sales Amount]],0)</f>
        <v>0.38558883298518404</v>
      </c>
    </row>
    <row r="1491" spans="1:21" ht="18" x14ac:dyDescent="0.35">
      <c r="A1491" s="21" t="s">
        <v>1598</v>
      </c>
      <c r="B1491" s="36">
        <v>46019</v>
      </c>
      <c r="C1491" s="22">
        <f>YEAR(Table1_1[[#This Row],[Order Date]])</f>
        <v>2025</v>
      </c>
      <c r="D1491" s="22" t="str">
        <f>TEXT(Table1_1[[#This Row],[Order Date]],"MMMM")</f>
        <v>December</v>
      </c>
      <c r="E1491" s="22" t="s">
        <v>82</v>
      </c>
      <c r="F1491" s="22" t="s">
        <v>83</v>
      </c>
      <c r="G1491" s="22" t="s">
        <v>60</v>
      </c>
      <c r="H1491" s="22" t="s">
        <v>39</v>
      </c>
      <c r="I1491" s="22" t="s">
        <v>40</v>
      </c>
      <c r="J1491" s="22" t="s">
        <v>64</v>
      </c>
      <c r="K1491" s="22" t="s">
        <v>1629</v>
      </c>
      <c r="L1491" s="22" t="s">
        <v>57</v>
      </c>
      <c r="M1491" s="22" t="s">
        <v>78</v>
      </c>
      <c r="N1491" s="22">
        <v>8</v>
      </c>
      <c r="O1491" s="26">
        <v>3299</v>
      </c>
      <c r="P1491" s="22">
        <v>0.1</v>
      </c>
      <c r="Q1491" s="30">
        <v>2050</v>
      </c>
      <c r="R1491" s="33">
        <f>Table1_1[[#This Row],[Units Sold]]*Table1_1[[#This Row],[Unit Price]]*1-Table1_1[[#This Row],[Discount]]</f>
        <v>26391.9</v>
      </c>
      <c r="S1491" s="33">
        <f>Table1_1[[#This Row],[Units Sold]]*Table1_1[[#This Row],[Unit Cost]]</f>
        <v>16400</v>
      </c>
      <c r="T1491" s="33">
        <f>Table1_1[[#This Row],[Sales Amount]]-S1491</f>
        <v>9991.9000000000015</v>
      </c>
      <c r="U1491" s="32">
        <f>IFERROR(Table1_1[[#This Row],[Profit/loss]]/Table1_1[[#This Row],[Sales Amount]],0)</f>
        <v>0.37859722111708521</v>
      </c>
    </row>
    <row r="1492" spans="1:21" ht="18" x14ac:dyDescent="0.35">
      <c r="A1492" s="21" t="s">
        <v>1599</v>
      </c>
      <c r="B1492" s="36">
        <v>46020</v>
      </c>
      <c r="C1492" s="22">
        <f>YEAR(Table1_1[[#This Row],[Order Date]])</f>
        <v>2025</v>
      </c>
      <c r="D1492" s="22" t="str">
        <f>TEXT(Table1_1[[#This Row],[Order Date]],"MMMM")</f>
        <v>December</v>
      </c>
      <c r="E1492" s="22" t="s">
        <v>36</v>
      </c>
      <c r="F1492" s="22" t="s">
        <v>59</v>
      </c>
      <c r="G1492" s="22" t="s">
        <v>69</v>
      </c>
      <c r="H1492" s="22" t="s">
        <v>29</v>
      </c>
      <c r="I1492" s="22" t="s">
        <v>70</v>
      </c>
      <c r="J1492" s="22" t="s">
        <v>71</v>
      </c>
      <c r="K1492" s="22" t="s">
        <v>88</v>
      </c>
      <c r="L1492" s="22" t="s">
        <v>57</v>
      </c>
      <c r="M1492" s="22" t="s">
        <v>66</v>
      </c>
      <c r="N1492" s="22">
        <v>17</v>
      </c>
      <c r="O1492" s="26">
        <v>999</v>
      </c>
      <c r="P1492" s="22">
        <v>0.2</v>
      </c>
      <c r="Q1492" s="30">
        <v>540</v>
      </c>
      <c r="R1492" s="33">
        <f>Table1_1[[#This Row],[Units Sold]]*Table1_1[[#This Row],[Unit Price]]*1-Table1_1[[#This Row],[Discount]]</f>
        <v>16982.8</v>
      </c>
      <c r="S1492" s="33">
        <f>Table1_1[[#This Row],[Units Sold]]*Table1_1[[#This Row],[Unit Cost]]</f>
        <v>9180</v>
      </c>
      <c r="T1492" s="33">
        <f>Table1_1[[#This Row],[Sales Amount]]-S1492</f>
        <v>7802.7999999999993</v>
      </c>
      <c r="U1492" s="32">
        <f>IFERROR(Table1_1[[#This Row],[Profit/loss]]/Table1_1[[#This Row],[Sales Amount]],0)</f>
        <v>0.4594530937183503</v>
      </c>
    </row>
    <row r="1493" spans="1:21" ht="18" x14ac:dyDescent="0.35">
      <c r="A1493" s="21" t="s">
        <v>1600</v>
      </c>
      <c r="B1493" s="36">
        <v>46020</v>
      </c>
      <c r="C1493" s="22">
        <f>YEAR(Table1_1[[#This Row],[Order Date]])</f>
        <v>2025</v>
      </c>
      <c r="D1493" s="22" t="str">
        <f>TEXT(Table1_1[[#This Row],[Order Date]],"MMMM")</f>
        <v>December</v>
      </c>
      <c r="E1493" s="22" t="s">
        <v>82</v>
      </c>
      <c r="F1493" s="22" t="s">
        <v>183</v>
      </c>
      <c r="G1493" s="22" t="s">
        <v>60</v>
      </c>
      <c r="H1493" s="22" t="s">
        <v>39</v>
      </c>
      <c r="I1493" s="22" t="s">
        <v>54</v>
      </c>
      <c r="J1493" s="22" t="s">
        <v>129</v>
      </c>
      <c r="K1493" s="22" t="s">
        <v>130</v>
      </c>
      <c r="L1493" s="22" t="s">
        <v>33</v>
      </c>
      <c r="M1493" s="22" t="s">
        <v>78</v>
      </c>
      <c r="N1493" s="22">
        <v>30</v>
      </c>
      <c r="O1493" s="26">
        <v>27890</v>
      </c>
      <c r="P1493" s="22">
        <v>0.15</v>
      </c>
      <c r="Q1493" s="30">
        <v>18800</v>
      </c>
      <c r="R1493" s="33">
        <f>Table1_1[[#This Row],[Units Sold]]*Table1_1[[#This Row],[Unit Price]]*1-Table1_1[[#This Row],[Discount]]</f>
        <v>836699.85</v>
      </c>
      <c r="S1493" s="33">
        <f>Table1_1[[#This Row],[Units Sold]]*Table1_1[[#This Row],[Unit Cost]]</f>
        <v>564000</v>
      </c>
      <c r="T1493" s="33">
        <f>Table1_1[[#This Row],[Sales Amount]]-S1493</f>
        <v>272699.84999999998</v>
      </c>
      <c r="U1493" s="32">
        <f>IFERROR(Table1_1[[#This Row],[Profit/loss]]/Table1_1[[#This Row],[Sales Amount]],0)</f>
        <v>0.32592314914362658</v>
      </c>
    </row>
    <row r="1494" spans="1:21" ht="18" x14ac:dyDescent="0.35">
      <c r="A1494" s="21" t="s">
        <v>1601</v>
      </c>
      <c r="B1494" s="36">
        <v>46020</v>
      </c>
      <c r="C1494" s="22">
        <f>YEAR(Table1_1[[#This Row],[Order Date]])</f>
        <v>2025</v>
      </c>
      <c r="D1494" s="22" t="str">
        <f>TEXT(Table1_1[[#This Row],[Order Date]],"MMMM")</f>
        <v>December</v>
      </c>
      <c r="E1494" s="22" t="s">
        <v>48</v>
      </c>
      <c r="F1494" s="22" t="s">
        <v>68</v>
      </c>
      <c r="G1494" s="22" t="s">
        <v>60</v>
      </c>
      <c r="H1494" s="22" t="s">
        <v>39</v>
      </c>
      <c r="I1494" s="22" t="s">
        <v>70</v>
      </c>
      <c r="J1494" s="22" t="s">
        <v>71</v>
      </c>
      <c r="K1494" s="22" t="s">
        <v>80</v>
      </c>
      <c r="L1494" s="22" t="s">
        <v>33</v>
      </c>
      <c r="M1494" s="22" t="s">
        <v>78</v>
      </c>
      <c r="N1494" s="22">
        <v>22</v>
      </c>
      <c r="O1494" s="26">
        <v>1299</v>
      </c>
      <c r="P1494" s="22">
        <v>0.2</v>
      </c>
      <c r="Q1494" s="30">
        <v>720</v>
      </c>
      <c r="R1494" s="33">
        <f>Table1_1[[#This Row],[Units Sold]]*Table1_1[[#This Row],[Unit Price]]*1-Table1_1[[#This Row],[Discount]]</f>
        <v>28577.8</v>
      </c>
      <c r="S1494" s="33">
        <f>Table1_1[[#This Row],[Units Sold]]*Table1_1[[#This Row],[Unit Cost]]</f>
        <v>15840</v>
      </c>
      <c r="T1494" s="33">
        <f>Table1_1[[#This Row],[Sales Amount]]-S1494</f>
        <v>12737.8</v>
      </c>
      <c r="U1494" s="32">
        <f>IFERROR(Table1_1[[#This Row],[Profit/loss]]/Table1_1[[#This Row],[Sales Amount]],0)</f>
        <v>0.44572360363638908</v>
      </c>
    </row>
    <row r="1495" spans="1:21" ht="18" x14ac:dyDescent="0.35">
      <c r="A1495" s="21" t="s">
        <v>1602</v>
      </c>
      <c r="B1495" s="36">
        <v>46020</v>
      </c>
      <c r="C1495" s="22">
        <f>YEAR(Table1_1[[#This Row],[Order Date]])</f>
        <v>2025</v>
      </c>
      <c r="D1495" s="22" t="str">
        <f>TEXT(Table1_1[[#This Row],[Order Date]],"MMMM")</f>
        <v>December</v>
      </c>
      <c r="E1495" s="22" t="s">
        <v>82</v>
      </c>
      <c r="F1495" s="22" t="s">
        <v>100</v>
      </c>
      <c r="G1495" s="22" t="s">
        <v>84</v>
      </c>
      <c r="H1495" s="22" t="s">
        <v>39</v>
      </c>
      <c r="I1495" s="22" t="s">
        <v>54</v>
      </c>
      <c r="J1495" s="22" t="s">
        <v>90</v>
      </c>
      <c r="K1495" s="22" t="s">
        <v>1631</v>
      </c>
      <c r="L1495" s="22" t="s">
        <v>57</v>
      </c>
      <c r="M1495" s="22" t="s">
        <v>24</v>
      </c>
      <c r="N1495" s="22">
        <v>6</v>
      </c>
      <c r="O1495" s="26">
        <v>29010</v>
      </c>
      <c r="P1495" s="22">
        <v>0.1</v>
      </c>
      <c r="Q1495" s="30">
        <v>19150</v>
      </c>
      <c r="R1495" s="33">
        <f>Table1_1[[#This Row],[Units Sold]]*Table1_1[[#This Row],[Unit Price]]*1-Table1_1[[#This Row],[Discount]]</f>
        <v>174059.9</v>
      </c>
      <c r="S1495" s="33">
        <f>Table1_1[[#This Row],[Units Sold]]*Table1_1[[#This Row],[Unit Cost]]</f>
        <v>114900</v>
      </c>
      <c r="T1495" s="33">
        <f>Table1_1[[#This Row],[Sales Amount]]-S1495</f>
        <v>59159.899999999994</v>
      </c>
      <c r="U1495" s="32">
        <f>IFERROR(Table1_1[[#This Row],[Profit/loss]]/Table1_1[[#This Row],[Sales Amount]],0)</f>
        <v>0.33988241978767075</v>
      </c>
    </row>
    <row r="1496" spans="1:21" ht="18" x14ac:dyDescent="0.35">
      <c r="A1496" s="21" t="s">
        <v>1603</v>
      </c>
      <c r="B1496" s="36">
        <v>46020</v>
      </c>
      <c r="C1496" s="22">
        <f>YEAR(Table1_1[[#This Row],[Order Date]])</f>
        <v>2025</v>
      </c>
      <c r="D1496" s="22" t="str">
        <f>TEXT(Table1_1[[#This Row],[Order Date]],"MMMM")</f>
        <v>December</v>
      </c>
      <c r="E1496" s="22" t="s">
        <v>82</v>
      </c>
      <c r="F1496" s="22" t="s">
        <v>100</v>
      </c>
      <c r="G1496" s="22" t="s">
        <v>50</v>
      </c>
      <c r="H1496" s="22" t="s">
        <v>39</v>
      </c>
      <c r="I1496" s="22" t="s">
        <v>40</v>
      </c>
      <c r="J1496" s="22" t="s">
        <v>76</v>
      </c>
      <c r="K1496" s="22" t="s">
        <v>113</v>
      </c>
      <c r="L1496" s="22" t="s">
        <v>57</v>
      </c>
      <c r="M1496" s="22" t="s">
        <v>66</v>
      </c>
      <c r="N1496" s="22">
        <v>28</v>
      </c>
      <c r="O1496" s="26">
        <v>22999</v>
      </c>
      <c r="P1496" s="22">
        <v>0.05</v>
      </c>
      <c r="Q1496" s="30">
        <v>15100</v>
      </c>
      <c r="R1496" s="33">
        <f>Table1_1[[#This Row],[Units Sold]]*Table1_1[[#This Row],[Unit Price]]*1-Table1_1[[#This Row],[Discount]]</f>
        <v>643971.94999999995</v>
      </c>
      <c r="S1496" s="33">
        <f>Table1_1[[#This Row],[Units Sold]]*Table1_1[[#This Row],[Unit Cost]]</f>
        <v>422800</v>
      </c>
      <c r="T1496" s="33">
        <f>Table1_1[[#This Row],[Sales Amount]]-S1496</f>
        <v>221171.94999999995</v>
      </c>
      <c r="U1496" s="32">
        <f>IFERROR(Table1_1[[#This Row],[Profit/loss]]/Table1_1[[#This Row],[Sales Amount]],0)</f>
        <v>0.34344966422838752</v>
      </c>
    </row>
    <row r="1497" spans="1:21" ht="18" x14ac:dyDescent="0.35">
      <c r="A1497" s="21" t="s">
        <v>1604</v>
      </c>
      <c r="B1497" s="36">
        <v>46021</v>
      </c>
      <c r="C1497" s="22">
        <f>YEAR(Table1_1[[#This Row],[Order Date]])</f>
        <v>2025</v>
      </c>
      <c r="D1497" s="22" t="str">
        <f>TEXT(Table1_1[[#This Row],[Order Date]],"MMMM")</f>
        <v>December</v>
      </c>
      <c r="E1497" s="22" t="s">
        <v>82</v>
      </c>
      <c r="F1497" s="22" t="s">
        <v>87</v>
      </c>
      <c r="G1497" s="22" t="s">
        <v>28</v>
      </c>
      <c r="H1497" s="22" t="s">
        <v>39</v>
      </c>
      <c r="I1497" s="22" t="s">
        <v>40</v>
      </c>
      <c r="J1497" s="22" t="s">
        <v>76</v>
      </c>
      <c r="K1497" s="22" t="s">
        <v>1626</v>
      </c>
      <c r="L1497" s="22" t="s">
        <v>33</v>
      </c>
      <c r="M1497" s="22" t="s">
        <v>24</v>
      </c>
      <c r="N1497" s="22">
        <v>20</v>
      </c>
      <c r="O1497" s="26">
        <v>25999</v>
      </c>
      <c r="P1497" s="22">
        <v>0.12</v>
      </c>
      <c r="Q1497" s="30">
        <v>17800</v>
      </c>
      <c r="R1497" s="33">
        <f>Table1_1[[#This Row],[Units Sold]]*Table1_1[[#This Row],[Unit Price]]*1-Table1_1[[#This Row],[Discount]]</f>
        <v>519979.88</v>
      </c>
      <c r="S1497" s="33">
        <f>Table1_1[[#This Row],[Units Sold]]*Table1_1[[#This Row],[Unit Cost]]</f>
        <v>356000</v>
      </c>
      <c r="T1497" s="33">
        <f>Table1_1[[#This Row],[Sales Amount]]-S1497</f>
        <v>163979.88</v>
      </c>
      <c r="U1497" s="32">
        <f>IFERROR(Table1_1[[#This Row],[Profit/loss]]/Table1_1[[#This Row],[Sales Amount]],0)</f>
        <v>0.31535812501052923</v>
      </c>
    </row>
    <row r="1498" spans="1:21" ht="18" x14ac:dyDescent="0.35">
      <c r="A1498" s="21" t="s">
        <v>1605</v>
      </c>
      <c r="B1498" s="36">
        <v>46021</v>
      </c>
      <c r="C1498" s="22">
        <f>YEAR(Table1_1[[#This Row],[Order Date]])</f>
        <v>2025</v>
      </c>
      <c r="D1498" s="22" t="str">
        <f>TEXT(Table1_1[[#This Row],[Order Date]],"MMMM")</f>
        <v>December</v>
      </c>
      <c r="E1498" s="22" t="s">
        <v>48</v>
      </c>
      <c r="F1498" s="22" t="s">
        <v>49</v>
      </c>
      <c r="G1498" s="22" t="s">
        <v>69</v>
      </c>
      <c r="H1498" s="22" t="s">
        <v>39</v>
      </c>
      <c r="I1498" s="22" t="s">
        <v>54</v>
      </c>
      <c r="J1498" s="22" t="s">
        <v>55</v>
      </c>
      <c r="K1498" s="22" t="s">
        <v>56</v>
      </c>
      <c r="L1498" s="22" t="s">
        <v>57</v>
      </c>
      <c r="M1498" s="22" t="s">
        <v>66</v>
      </c>
      <c r="N1498" s="22">
        <v>23</v>
      </c>
      <c r="O1498" s="26">
        <v>7299</v>
      </c>
      <c r="P1498" s="22">
        <v>0.15</v>
      </c>
      <c r="Q1498" s="30">
        <v>5010</v>
      </c>
      <c r="R1498" s="33">
        <f>Table1_1[[#This Row],[Units Sold]]*Table1_1[[#This Row],[Unit Price]]*1-Table1_1[[#This Row],[Discount]]</f>
        <v>167876.85</v>
      </c>
      <c r="S1498" s="33">
        <f>Table1_1[[#This Row],[Units Sold]]*Table1_1[[#This Row],[Unit Cost]]</f>
        <v>115230</v>
      </c>
      <c r="T1498" s="33">
        <f>Table1_1[[#This Row],[Sales Amount]]-S1498</f>
        <v>52646.850000000006</v>
      </c>
      <c r="U1498" s="32">
        <f>IFERROR(Table1_1[[#This Row],[Profit/loss]]/Table1_1[[#This Row],[Sales Amount]],0)</f>
        <v>0.31360399006771933</v>
      </c>
    </row>
    <row r="1499" spans="1:21" ht="18" x14ac:dyDescent="0.35">
      <c r="A1499" s="21" t="s">
        <v>1606</v>
      </c>
      <c r="B1499" s="36">
        <v>46021</v>
      </c>
      <c r="C1499" s="22">
        <f>YEAR(Table1_1[[#This Row],[Order Date]])</f>
        <v>2025</v>
      </c>
      <c r="D1499" s="22" t="str">
        <f>TEXT(Table1_1[[#This Row],[Order Date]],"MMMM")</f>
        <v>December</v>
      </c>
      <c r="E1499" s="22" t="s">
        <v>16</v>
      </c>
      <c r="F1499" s="22" t="s">
        <v>17</v>
      </c>
      <c r="G1499" s="22" t="s">
        <v>18</v>
      </c>
      <c r="H1499" s="22" t="s">
        <v>19</v>
      </c>
      <c r="I1499" s="22" t="s">
        <v>54</v>
      </c>
      <c r="J1499" s="22" t="s">
        <v>90</v>
      </c>
      <c r="K1499" s="22" t="s">
        <v>1625</v>
      </c>
      <c r="L1499" s="22" t="s">
        <v>57</v>
      </c>
      <c r="M1499" s="22" t="s">
        <v>66</v>
      </c>
      <c r="N1499" s="22">
        <v>5</v>
      </c>
      <c r="O1499" s="26">
        <v>32800</v>
      </c>
      <c r="P1499" s="22">
        <v>0.12</v>
      </c>
      <c r="Q1499" s="30">
        <v>23100</v>
      </c>
      <c r="R1499" s="33">
        <f>Table1_1[[#This Row],[Units Sold]]*Table1_1[[#This Row],[Unit Price]]*1-Table1_1[[#This Row],[Discount]]</f>
        <v>163999.88</v>
      </c>
      <c r="S1499" s="33">
        <f>Table1_1[[#This Row],[Units Sold]]*Table1_1[[#This Row],[Unit Cost]]</f>
        <v>115500</v>
      </c>
      <c r="T1499" s="33">
        <f>Table1_1[[#This Row],[Sales Amount]]-S1499</f>
        <v>48499.880000000005</v>
      </c>
      <c r="U1499" s="32">
        <f>IFERROR(Table1_1[[#This Row],[Profit/loss]]/Table1_1[[#This Row],[Sales Amount]],0)</f>
        <v>0.29573119199843317</v>
      </c>
    </row>
    <row r="1500" spans="1:21" ht="18" x14ac:dyDescent="0.35">
      <c r="A1500" s="21" t="s">
        <v>1607</v>
      </c>
      <c r="B1500" s="36">
        <v>46022</v>
      </c>
      <c r="C1500" s="22">
        <f>YEAR(Table1_1[[#This Row],[Order Date]])</f>
        <v>2025</v>
      </c>
      <c r="D1500" s="22" t="str">
        <f>TEXT(Table1_1[[#This Row],[Order Date]],"MMMM")</f>
        <v>December</v>
      </c>
      <c r="E1500" s="22" t="s">
        <v>26</v>
      </c>
      <c r="F1500" s="22" t="s">
        <v>27</v>
      </c>
      <c r="G1500" s="22" t="s">
        <v>38</v>
      </c>
      <c r="H1500" s="22" t="s">
        <v>19</v>
      </c>
      <c r="I1500" s="22" t="s">
        <v>40</v>
      </c>
      <c r="J1500" s="22" t="s">
        <v>76</v>
      </c>
      <c r="K1500" s="22" t="s">
        <v>1626</v>
      </c>
      <c r="L1500" s="22" t="s">
        <v>57</v>
      </c>
      <c r="M1500" s="22" t="s">
        <v>24</v>
      </c>
      <c r="N1500" s="22">
        <v>18</v>
      </c>
      <c r="O1500" s="26">
        <v>25999</v>
      </c>
      <c r="P1500" s="22">
        <v>0.1</v>
      </c>
      <c r="Q1500" s="30">
        <v>17800</v>
      </c>
      <c r="R1500" s="33">
        <f>Table1_1[[#This Row],[Units Sold]]*Table1_1[[#This Row],[Unit Price]]*1-Table1_1[[#This Row],[Discount]]</f>
        <v>467981.9</v>
      </c>
      <c r="S1500" s="33">
        <f>Table1_1[[#This Row],[Units Sold]]*Table1_1[[#This Row],[Unit Cost]]</f>
        <v>320400</v>
      </c>
      <c r="T1500" s="33">
        <f>Table1_1[[#This Row],[Sales Amount]]-S1500</f>
        <v>147581.90000000002</v>
      </c>
      <c r="U1500" s="32">
        <f>IFERROR(Table1_1[[#This Row],[Profit/loss]]/Table1_1[[#This Row],[Sales Amount]],0)</f>
        <v>0.31535813671426183</v>
      </c>
    </row>
    <row r="1501" spans="1:21" ht="18" x14ac:dyDescent="0.35">
      <c r="A1501" s="23" t="s">
        <v>1608</v>
      </c>
      <c r="B1501" s="37">
        <v>46022</v>
      </c>
      <c r="C1501" s="24">
        <f>YEAR(Table1_1[[#This Row],[Order Date]])</f>
        <v>2025</v>
      </c>
      <c r="D1501" s="24" t="str">
        <f>TEXT(Table1_1[[#This Row],[Order Date]],"MMMM")</f>
        <v>December</v>
      </c>
      <c r="E1501" s="24" t="s">
        <v>26</v>
      </c>
      <c r="F1501" s="24" t="s">
        <v>53</v>
      </c>
      <c r="G1501" s="24" t="s">
        <v>101</v>
      </c>
      <c r="H1501" s="24" t="s">
        <v>39</v>
      </c>
      <c r="I1501" s="24" t="s">
        <v>30</v>
      </c>
      <c r="J1501" s="24" t="s">
        <v>31</v>
      </c>
      <c r="K1501" s="24" t="s">
        <v>85</v>
      </c>
      <c r="L1501" s="24" t="s">
        <v>57</v>
      </c>
      <c r="M1501" s="24" t="s">
        <v>34</v>
      </c>
      <c r="N1501" s="24">
        <v>24</v>
      </c>
      <c r="O1501" s="27">
        <v>43500</v>
      </c>
      <c r="P1501" s="24">
        <v>0.1</v>
      </c>
      <c r="Q1501" s="31">
        <v>29520</v>
      </c>
      <c r="R1501" s="33">
        <f>Table1_1[[#This Row],[Units Sold]]*Table1_1[[#This Row],[Unit Price]]*1-Table1_1[[#This Row],[Discount]]</f>
        <v>1043999.9</v>
      </c>
      <c r="S1501" s="33">
        <f>Table1_1[[#This Row],[Units Sold]]*Table1_1[[#This Row],[Unit Cost]]</f>
        <v>708480</v>
      </c>
      <c r="T1501" s="33">
        <f>Table1_1[[#This Row],[Sales Amount]]-S1501</f>
        <v>335519.90000000002</v>
      </c>
      <c r="U1501" s="32">
        <f>IFERROR(Table1_1[[#This Row],[Profit/loss]]/Table1_1[[#This Row],[Sales Amount]],0)</f>
        <v>0.32137924534283963</v>
      </c>
    </row>
  </sheetData>
  <phoneticPr fontId="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cols>
    <col min="1" max="2" width="55" customWidth="1"/>
  </cols>
  <sheetData>
    <row r="1" spans="1:2" x14ac:dyDescent="0.3">
      <c r="A1" s="1" t="s">
        <v>1609</v>
      </c>
      <c r="B1" s="1" t="s">
        <v>1610</v>
      </c>
    </row>
    <row r="2" spans="1:2" x14ac:dyDescent="0.3">
      <c r="A2" t="s">
        <v>1611</v>
      </c>
      <c r="B2">
        <v>1500</v>
      </c>
    </row>
    <row r="3" spans="1:2" x14ac:dyDescent="0.3">
      <c r="A3" t="s">
        <v>1612</v>
      </c>
      <c r="B3" t="s">
        <v>1613</v>
      </c>
    </row>
    <row r="4" spans="1:2" x14ac:dyDescent="0.3">
      <c r="A4" t="s">
        <v>1614</v>
      </c>
      <c r="B4" t="s">
        <v>1615</v>
      </c>
    </row>
    <row r="5" spans="1:2" x14ac:dyDescent="0.3">
      <c r="A5" t="s">
        <v>1616</v>
      </c>
      <c r="B5" t="s">
        <v>1617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8BDD41-2DF6-4DDF-91DA-86963365EE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Sales Performance Data</vt:lpstr>
      <vt:lpstr>Cleaned Data</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Rohit Singh</cp:lastModifiedBy>
  <dcterms:created xsi:type="dcterms:W3CDTF">2026-10-05T07:46:30Z</dcterms:created>
  <dcterms:modified xsi:type="dcterms:W3CDTF">2026-10-09T07:44:48Z</dcterms:modified>
</cp:coreProperties>
</file>